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8" documentId="13_ncr:1_{1F4801C9-ED16-400C-AD37-A33B0E67B3CA}" xr6:coauthVersionLast="47" xr6:coauthVersionMax="47" xr10:uidLastSave="{6DB13218-3AF6-4A56-AB91-C59000667156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6" i="1" l="1"/>
  <c r="M480" i="1"/>
  <c r="M163" i="1"/>
  <c r="M162" i="1"/>
  <c r="M161" i="1"/>
  <c r="M160" i="1"/>
  <c r="M159" i="1"/>
  <c r="M158" i="1"/>
  <c r="M157" i="1"/>
  <c r="M156" i="1"/>
  <c r="M155" i="1"/>
  <c r="N163" i="1"/>
  <c r="N449" i="1" l="1"/>
  <c r="N448" i="1"/>
  <c r="M449" i="1"/>
  <c r="M448" i="1"/>
  <c r="L451" i="1"/>
  <c r="N451" i="1" s="1"/>
  <c r="L450" i="1"/>
  <c r="N450" i="1" s="1"/>
  <c r="K451" i="1"/>
  <c r="K450" i="1"/>
  <c r="L447" i="1"/>
  <c r="N447" i="1" s="1"/>
  <c r="L446" i="1"/>
  <c r="N446" i="1" s="1"/>
  <c r="K445" i="1"/>
  <c r="K444" i="1"/>
  <c r="N441" i="1"/>
  <c r="N440" i="1"/>
  <c r="N439" i="1"/>
  <c r="M441" i="1"/>
  <c r="M440" i="1"/>
  <c r="L443" i="1"/>
  <c r="M443" i="1" s="1"/>
  <c r="L442" i="1"/>
  <c r="M442" i="1" s="1"/>
  <c r="K443" i="1"/>
  <c r="K442" i="1"/>
  <c r="L439" i="1"/>
  <c r="M439" i="1" s="1"/>
  <c r="L438" i="1"/>
  <c r="N438" i="1" s="1"/>
  <c r="K437" i="1"/>
  <c r="K436" i="1"/>
  <c r="L483" i="1"/>
  <c r="K483" i="1"/>
  <c r="N483" i="1"/>
  <c r="N434" i="1"/>
  <c r="N433" i="1"/>
  <c r="K435" i="1"/>
  <c r="N435" i="1" s="1"/>
  <c r="L435" i="1"/>
  <c r="N442" i="1" l="1"/>
  <c r="M446" i="1"/>
  <c r="M438" i="1"/>
  <c r="M447" i="1"/>
  <c r="N443" i="1"/>
  <c r="M450" i="1"/>
  <c r="M451" i="1"/>
  <c r="M483" i="1"/>
  <c r="M435" i="1"/>
  <c r="M434" i="1"/>
  <c r="M433" i="1"/>
  <c r="M432" i="1"/>
  <c r="L432" i="1"/>
  <c r="N432" i="1" s="1"/>
  <c r="L431" i="1"/>
  <c r="M431" i="1" s="1"/>
  <c r="K430" i="1"/>
  <c r="L430" i="1"/>
  <c r="N430" i="1" s="1"/>
  <c r="K429" i="1"/>
  <c r="M430" i="1" l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428" i="1"/>
  <c r="K484" i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K503" i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N393" i="1" s="1"/>
  <c r="L392" i="1"/>
  <c r="N392" i="1" s="1"/>
  <c r="N428" i="1" l="1"/>
  <c r="M393" i="1"/>
  <c r="N484" i="1"/>
  <c r="M428" i="1"/>
  <c r="M484" i="1"/>
  <c r="M392" i="1"/>
  <c r="N503" i="1"/>
  <c r="M503" i="1"/>
  <c r="N384" i="1" l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K479" i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M385" i="1" l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M429" i="1"/>
  <c r="N429" i="1"/>
  <c r="N437" i="1"/>
  <c r="M437" i="1"/>
  <c r="M444" i="1"/>
  <c r="N444" i="1"/>
  <c r="M445" i="1"/>
  <c r="N445" i="1"/>
  <c r="I479" i="1"/>
  <c r="I196" i="1"/>
  <c r="I193" i="1"/>
  <c r="I192" i="1"/>
  <c r="Q478" i="1"/>
  <c r="H478" i="1"/>
  <c r="G478" i="1"/>
  <c r="I478" i="1" l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<sst xmlns="http://schemas.openxmlformats.org/spreadsheetml/2006/main" count="14263" uniqueCount="519">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</sst>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2" borderId="0" xfId="0" applyFill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4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K24">
        <v>55756</v>
      </c>
      <c r="L24" s="4">
        <v>56931</v>
      </c>
      <c r="M24">
        <f>+L24/K24</f>
        <v>1.0210739651337972</v>
      </c>
      <c r="N24">
        <f>+L24/K24</f>
        <v>1.0210739651337972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K25">
        <v>55756</v>
      </c>
      <c r="L25" s="4">
        <v>56931</v>
      </c>
      <c r="M25">
        <f>+L25/K25</f>
        <v>1.0210739651337972</v>
      </c>
      <c r="N25">
        <f>+L25/K25</f>
        <v>1.0210739651337972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f>+L47/K47</f>
        <v>1.0321095502301971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K48">
        <v>8510</v>
      </c>
      <c r="L48" s="4">
        <v>8729</v>
      </c>
      <c r="M48">
        <f>+L48/K48</f>
        <v>1.0257344300822562</v>
      </c>
      <c r="N48">
        <f>+L48/K48</f>
        <v>1.0257344300822562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K49">
        <v>16981</v>
      </c>
      <c r="L49">
        <v>17472</v>
      </c>
      <c r="M49">
        <f>+L49/K49</f>
        <v>1.0289146693363171</v>
      </c>
      <c r="N49">
        <f>+L49/K49</f>
        <v>1.0289146693363171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f>+L71/K71</f>
        <v>1.0575471071452296</v>
      </c>
      <c r="N71">
        <f>+L71/K71</f>
        <v>1.0575471071452296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K72">
        <v>47246</v>
      </c>
      <c r="L72" s="4">
        <v>48202</v>
      </c>
      <c r="M72">
        <f>+L72/K72</f>
        <v>1.020234517207806</v>
      </c>
      <c r="N72">
        <f>+L72/K72</f>
        <v>1.020234517207806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K73">
        <v>92409</v>
      </c>
      <c r="L73">
        <v>95964</v>
      </c>
      <c r="M73">
        <f>+L73/K73</f>
        <v>1.0384702788689413</v>
      </c>
      <c r="N73">
        <f>+L73/K73</f>
        <v>1.0384702788689413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f t="shared" ref="M92:M97" si="16">+L92/K92</f>
        <v>0.99574122895964312</v>
      </c>
      <c r="N92">
        <f t="shared" ref="N92:N97" si="17">+L92/K92</f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f t="shared" si="16"/>
        <v>1.0057843157653814</v>
      </c>
      <c r="N93">
        <f t="shared" si="17"/>
        <v>1.0057843157653814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f t="shared" si="16"/>
        <v>1.0006983598812789</v>
      </c>
      <c r="N94">
        <f t="shared" si="17"/>
        <v>1.0006983598812789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f t="shared" si="16"/>
        <v>1.0494762288477035</v>
      </c>
      <c r="N95">
        <f t="shared" si="17"/>
        <v>1.0494762288477035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51739</v>
      </c>
      <c r="L96" s="4">
        <v>52271</v>
      </c>
      <c r="M96">
        <f t="shared" si="16"/>
        <v>1.0102823788631401</v>
      </c>
      <c r="N96">
        <f t="shared" si="17"/>
        <v>1.0102823788631401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K97">
        <v>101379</v>
      </c>
      <c r="L97">
        <v>104367</v>
      </c>
      <c r="M97">
        <f t="shared" si="16"/>
        <v>1.0294735596129376</v>
      </c>
      <c r="N97">
        <f t="shared" si="17"/>
        <v>1.0294735596129376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8">YEAR(F98)</f>
        <v>2018</v>
      </c>
      <c r="H98" t="str">
        <f t="shared" ref="H98:H109" si="19">PROPER(TEXT(F98,"mmmm"))</f>
        <v>Junio</v>
      </c>
      <c r="I98" t="str">
        <f t="shared" ref="I98:I109" si="20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21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8"/>
        <v>2018</v>
      </c>
      <c r="H99" t="str">
        <f t="shared" si="19"/>
        <v>Diciembre</v>
      </c>
      <c r="I99" t="str">
        <f t="shared" si="20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21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8"/>
        <v>2018</v>
      </c>
      <c r="H100" t="str">
        <f t="shared" si="19"/>
        <v>Diciembre</v>
      </c>
      <c r="I100" t="str">
        <f t="shared" si="20"/>
        <v>2018-2</v>
      </c>
      <c r="L100">
        <v>3483</v>
      </c>
      <c r="O100" t="s">
        <v>35</v>
      </c>
      <c r="P100" t="s">
        <v>35</v>
      </c>
      <c r="Q100" t="str">
        <f t="shared" si="21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8"/>
        <v>2019</v>
      </c>
      <c r="H101" t="str">
        <f t="shared" si="19"/>
        <v>Junio</v>
      </c>
      <c r="I101" t="str">
        <f t="shared" si="20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21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8"/>
        <v>2019</v>
      </c>
      <c r="H102" t="str">
        <f t="shared" si="19"/>
        <v>Diciembre</v>
      </c>
      <c r="I102" t="str">
        <f t="shared" si="20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21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8"/>
        <v>2019</v>
      </c>
      <c r="H103" t="str">
        <f t="shared" si="19"/>
        <v>Diciembre</v>
      </c>
      <c r="I103" t="str">
        <f t="shared" si="20"/>
        <v>2019-2</v>
      </c>
      <c r="L103">
        <v>3870</v>
      </c>
      <c r="O103" t="s">
        <v>35</v>
      </c>
      <c r="P103" t="s">
        <v>35</v>
      </c>
      <c r="Q103" t="str">
        <f t="shared" si="21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8"/>
        <v>2020</v>
      </c>
      <c r="H104" t="str">
        <f t="shared" si="19"/>
        <v>Junio</v>
      </c>
      <c r="I104" t="str">
        <f t="shared" si="20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21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8"/>
        <v>2020</v>
      </c>
      <c r="H105" t="str">
        <f t="shared" si="19"/>
        <v>Diciembre</v>
      </c>
      <c r="I105" t="str">
        <f t="shared" si="20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21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8"/>
        <v>2020</v>
      </c>
      <c r="H106" t="str">
        <f t="shared" si="19"/>
        <v>Diciembre</v>
      </c>
      <c r="I106" t="str">
        <f t="shared" si="20"/>
        <v>2020-2</v>
      </c>
      <c r="L106">
        <v>4235</v>
      </c>
      <c r="O106" t="s">
        <v>35</v>
      </c>
      <c r="P106" t="s">
        <v>35</v>
      </c>
      <c r="Q106" t="str">
        <f t="shared" si="21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8"/>
        <v>2021</v>
      </c>
      <c r="H107" t="str">
        <f t="shared" si="19"/>
        <v>Junio</v>
      </c>
      <c r="I107" t="str">
        <f t="shared" si="20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21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8"/>
        <v>2021</v>
      </c>
      <c r="H108" t="str">
        <f t="shared" si="19"/>
        <v>Diciembre</v>
      </c>
      <c r="I108" t="str">
        <f t="shared" si="20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21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8"/>
        <v>2021</v>
      </c>
      <c r="H109" t="str">
        <f t="shared" si="19"/>
        <v>Diciembre</v>
      </c>
      <c r="I109" t="str">
        <f t="shared" si="20"/>
        <v>2021-2</v>
      </c>
      <c r="L109">
        <v>4332</v>
      </c>
      <c r="O109" t="s">
        <v>35</v>
      </c>
      <c r="P109" t="s">
        <v>35</v>
      </c>
      <c r="Q109" t="str">
        <f t="shared" si="21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f t="shared" ref="M116:M121" si="22">+L116/K116</f>
        <v>1.1267377950210151</v>
      </c>
      <c r="N116">
        <f>+L116/K116</f>
        <v>1.1267377950210151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f t="shared" si="22"/>
        <v>1.2</v>
      </c>
      <c r="N117">
        <f t="shared" ref="N117:N121" si="23">+L117/K117</f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f t="shared" si="22"/>
        <v>1.163142485361093</v>
      </c>
      <c r="N118">
        <f t="shared" si="23"/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f t="shared" si="22"/>
        <v>1.1039058587881823</v>
      </c>
      <c r="N119">
        <f t="shared" si="23"/>
        <v>1.1039058587881823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4017</v>
      </c>
      <c r="L120" s="4">
        <v>4660</v>
      </c>
      <c r="M120">
        <f t="shared" si="22"/>
        <v>1.1600697037590242</v>
      </c>
      <c r="N120">
        <f t="shared" si="23"/>
        <v>1.1600697037590242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K121">
        <f>+K119+K120</f>
        <v>8011</v>
      </c>
      <c r="L121">
        <f>+L119+L120</f>
        <v>9069</v>
      </c>
      <c r="M121">
        <f t="shared" si="22"/>
        <v>1.13206840594183</v>
      </c>
      <c r="N121">
        <f t="shared" si="23"/>
        <v>1.13206840594183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f>+L128/K128</f>
        <v>1.0137285223367698</v>
      </c>
      <c r="N128">
        <f>+L128/K128</f>
        <v>1.0137285223367698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f>+L129/K129</f>
        <v>0.99518900343642624</v>
      </c>
      <c r="N129">
        <f>+L129/K129</f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f>+L130/K130</f>
        <v>1.004458762886598</v>
      </c>
      <c r="N130">
        <f>+L130/K130</f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f>+L131/K131</f>
        <v>0.97577319587628875</v>
      </c>
      <c r="N131">
        <f>+L131/K131</f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45991</v>
      </c>
      <c r="G132">
        <v>2025</v>
      </c>
      <c r="H132" t="s">
        <v>508</v>
      </c>
      <c r="I132" t="s">
        <v>465</v>
      </c>
      <c r="J132">
        <v>2</v>
      </c>
      <c r="K132">
        <v>97</v>
      </c>
      <c r="L132">
        <v>95.74545454545455</v>
      </c>
      <c r="M132">
        <f>+L132/K132</f>
        <v>0.98706654170571706</v>
      </c>
      <c r="N132">
        <f>+L132/K132</f>
        <v>0.98706654170571706</v>
      </c>
      <c r="O132" t="s">
        <v>58</v>
      </c>
      <c r="P132" t="s">
        <v>58</v>
      </c>
      <c r="Q132" t="s">
        <v>503</v>
      </c>
      <c r="R132">
        <v>0</v>
      </c>
      <c r="S132">
        <v>1</v>
      </c>
      <c r="T132" t="s">
        <v>31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45291</v>
      </c>
      <c r="G135">
        <v>2023</v>
      </c>
      <c r="H135" t="s">
        <v>44</v>
      </c>
      <c r="I135" t="s">
        <v>49</v>
      </c>
      <c r="J135">
        <v>2</v>
      </c>
      <c r="K135">
        <v>611</v>
      </c>
      <c r="L135">
        <v>705</v>
      </c>
      <c r="M135">
        <f>+L135/K135</f>
        <v>1.1538461538461537</v>
      </c>
      <c r="N135">
        <f>+L135/K135</f>
        <v>1.1538461538461537</v>
      </c>
      <c r="O135" t="s">
        <v>35</v>
      </c>
      <c r="P135" t="s">
        <v>35</v>
      </c>
      <c r="Q135" t="s">
        <v>80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K136">
        <v>611</v>
      </c>
      <c r="L136">
        <v>705</v>
      </c>
      <c r="M136">
        <f>+L136/K136</f>
        <v>1.1538461538461537</v>
      </c>
      <c r="N136">
        <f>+L136/K136</f>
        <v>1.1538461538461537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443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45657</v>
      </c>
      <c r="G137">
        <v>2024</v>
      </c>
      <c r="H137" t="s">
        <v>44</v>
      </c>
      <c r="I137" t="s">
        <v>53</v>
      </c>
      <c r="J137">
        <v>2</v>
      </c>
      <c r="K137">
        <v>672</v>
      </c>
      <c r="L137">
        <v>740</v>
      </c>
      <c r="M137">
        <f>+L137/K137</f>
        <v>1.1011904761904763</v>
      </c>
      <c r="N137">
        <f>+L137/K137</f>
        <v>1.1011904761904763</v>
      </c>
      <c r="O137" t="s">
        <v>35</v>
      </c>
      <c r="P137" t="s">
        <v>35</v>
      </c>
      <c r="Q137" t="s">
        <v>394</v>
      </c>
      <c r="R137">
        <v>0</v>
      </c>
      <c r="S137">
        <v>0</v>
      </c>
      <c r="T137" t="s">
        <v>31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45657</v>
      </c>
      <c r="G138">
        <v>2024</v>
      </c>
      <c r="H138" t="s">
        <v>44</v>
      </c>
      <c r="I138" t="s">
        <v>53</v>
      </c>
      <c r="K138">
        <v>672</v>
      </c>
      <c r="L138">
        <v>740</v>
      </c>
      <c r="M138">
        <f>+L138/K138</f>
        <v>1.1011904761904763</v>
      </c>
      <c r="N138">
        <f>+L138/K138</f>
        <v>1.1011904761904763</v>
      </c>
      <c r="O138" t="s">
        <v>35</v>
      </c>
      <c r="P138" t="s">
        <v>35</v>
      </c>
      <c r="Q138" t="s">
        <v>394</v>
      </c>
      <c r="R138">
        <v>0</v>
      </c>
      <c r="S138">
        <v>0</v>
      </c>
      <c r="T138" t="s">
        <v>443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98</v>
      </c>
      <c r="B139" t="s">
        <v>91</v>
      </c>
      <c r="C139" t="s">
        <v>83</v>
      </c>
      <c r="D139" t="s">
        <v>31</v>
      </c>
      <c r="E139" t="s">
        <v>32</v>
      </c>
      <c r="F139" s="3">
        <v>44742</v>
      </c>
      <c r="G139">
        <v>2022</v>
      </c>
      <c r="H139" t="s">
        <v>33</v>
      </c>
      <c r="I139" t="s">
        <v>34</v>
      </c>
      <c r="J139">
        <v>1</v>
      </c>
      <c r="K139">
        <v>0</v>
      </c>
      <c r="L139">
        <v>0</v>
      </c>
      <c r="O139" t="s">
        <v>35</v>
      </c>
      <c r="P139" t="s">
        <v>35</v>
      </c>
      <c r="Q139" t="s">
        <v>92</v>
      </c>
      <c r="R139">
        <v>0</v>
      </c>
      <c r="S139">
        <v>0</v>
      </c>
      <c r="T139" t="s">
        <v>31</v>
      </c>
      <c r="U139" t="s">
        <v>37</v>
      </c>
      <c r="V139" t="s">
        <v>83</v>
      </c>
      <c r="W139" t="s">
        <v>38</v>
      </c>
      <c r="X139" t="s">
        <v>39</v>
      </c>
      <c r="Y139" t="s">
        <v>85</v>
      </c>
      <c r="Z139" t="s">
        <v>86</v>
      </c>
      <c r="AA139" t="s">
        <v>87</v>
      </c>
      <c r="AB139" t="s">
        <v>78</v>
      </c>
      <c r="AC139" t="s">
        <v>66</v>
      </c>
    </row>
    <row r="140" spans="1:29" x14ac:dyDescent="0.3">
      <c r="A140">
        <v>98</v>
      </c>
      <c r="B140" t="s">
        <v>91</v>
      </c>
      <c r="C140" t="s">
        <v>83</v>
      </c>
      <c r="D140" t="s">
        <v>31</v>
      </c>
      <c r="E140" t="s">
        <v>32</v>
      </c>
      <c r="F140" s="3">
        <v>44926</v>
      </c>
      <c r="G140">
        <v>2022</v>
      </c>
      <c r="H140" t="s">
        <v>44</v>
      </c>
      <c r="I140" t="s">
        <v>45</v>
      </c>
      <c r="J140">
        <v>2</v>
      </c>
      <c r="K140">
        <v>4</v>
      </c>
      <c r="L140">
        <v>4</v>
      </c>
      <c r="M140">
        <v>1</v>
      </c>
      <c r="N140">
        <v>1</v>
      </c>
      <c r="O140" t="s">
        <v>35</v>
      </c>
      <c r="P140" t="s">
        <v>35</v>
      </c>
      <c r="Q140" t="s">
        <v>93</v>
      </c>
      <c r="R140">
        <v>0</v>
      </c>
      <c r="S140">
        <v>0</v>
      </c>
      <c r="T140" t="s">
        <v>31</v>
      </c>
      <c r="U140" t="s">
        <v>37</v>
      </c>
      <c r="V140" t="s">
        <v>83</v>
      </c>
      <c r="W140" t="s">
        <v>38</v>
      </c>
      <c r="X140" t="s">
        <v>39</v>
      </c>
      <c r="Y140" t="s">
        <v>85</v>
      </c>
      <c r="Z140" t="s">
        <v>86</v>
      </c>
      <c r="AA140" t="s">
        <v>87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44926</v>
      </c>
      <c r="G141">
        <v>2022</v>
      </c>
      <c r="H141" t="s">
        <v>44</v>
      </c>
      <c r="I141" t="s">
        <v>45</v>
      </c>
      <c r="K141">
        <v>4</v>
      </c>
      <c r="L141">
        <v>4</v>
      </c>
      <c r="M141">
        <v>1</v>
      </c>
      <c r="N141">
        <v>1</v>
      </c>
      <c r="O141" t="s">
        <v>35</v>
      </c>
      <c r="P141" t="s">
        <v>35</v>
      </c>
      <c r="Q141" t="s">
        <v>93</v>
      </c>
      <c r="R141">
        <v>0</v>
      </c>
      <c r="S141">
        <v>0</v>
      </c>
      <c r="T141" t="s">
        <v>443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45107</v>
      </c>
      <c r="G142">
        <v>2023</v>
      </c>
      <c r="H142" t="s">
        <v>33</v>
      </c>
      <c r="I142" t="s">
        <v>47</v>
      </c>
      <c r="J142">
        <v>1</v>
      </c>
      <c r="K142">
        <v>0</v>
      </c>
      <c r="L142">
        <v>0</v>
      </c>
      <c r="O142" t="s">
        <v>35</v>
      </c>
      <c r="P142" t="s">
        <v>35</v>
      </c>
      <c r="Q142" t="s">
        <v>94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45291</v>
      </c>
      <c r="G143">
        <v>2023</v>
      </c>
      <c r="H143" t="s">
        <v>44</v>
      </c>
      <c r="I143" t="s">
        <v>49</v>
      </c>
      <c r="J143">
        <v>2</v>
      </c>
      <c r="K143">
        <v>1</v>
      </c>
      <c r="L143">
        <v>1</v>
      </c>
      <c r="M143">
        <v>1</v>
      </c>
      <c r="N143">
        <v>1</v>
      </c>
      <c r="O143" t="s">
        <v>35</v>
      </c>
      <c r="P143" t="s">
        <v>35</v>
      </c>
      <c r="Q143" t="s">
        <v>95</v>
      </c>
      <c r="R143">
        <v>0</v>
      </c>
      <c r="S143">
        <v>0</v>
      </c>
      <c r="T143" t="s">
        <v>31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45291</v>
      </c>
      <c r="G144">
        <v>2023</v>
      </c>
      <c r="H144" t="s">
        <v>44</v>
      </c>
      <c r="I144" t="s">
        <v>49</v>
      </c>
      <c r="K144">
        <v>1</v>
      </c>
      <c r="L144">
        <v>1</v>
      </c>
      <c r="M144">
        <v>1</v>
      </c>
      <c r="N144">
        <v>1</v>
      </c>
      <c r="O144" t="s">
        <v>35</v>
      </c>
      <c r="P144" t="s">
        <v>35</v>
      </c>
      <c r="Q144" t="s">
        <v>95</v>
      </c>
      <c r="R144">
        <v>0</v>
      </c>
      <c r="S144">
        <v>0</v>
      </c>
      <c r="T144" t="s">
        <v>443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45473</v>
      </c>
      <c r="G145">
        <v>2024</v>
      </c>
      <c r="H145" t="s">
        <v>33</v>
      </c>
      <c r="I145" t="s">
        <v>47</v>
      </c>
      <c r="J145">
        <v>1</v>
      </c>
      <c r="K145">
        <v>0</v>
      </c>
      <c r="L145">
        <v>0</v>
      </c>
      <c r="Q145" t="s">
        <v>397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45657</v>
      </c>
      <c r="G146">
        <v>2024</v>
      </c>
      <c r="H146" t="s">
        <v>44</v>
      </c>
      <c r="I146" t="s">
        <v>53</v>
      </c>
      <c r="J146">
        <v>2</v>
      </c>
      <c r="K146">
        <v>5</v>
      </c>
      <c r="L146">
        <v>5</v>
      </c>
      <c r="M146">
        <v>1</v>
      </c>
      <c r="N146">
        <v>1</v>
      </c>
      <c r="O146" t="s">
        <v>35</v>
      </c>
      <c r="P146" t="s">
        <v>35</v>
      </c>
      <c r="Q146" t="s">
        <v>398</v>
      </c>
      <c r="R146">
        <v>0</v>
      </c>
      <c r="S146">
        <v>0</v>
      </c>
      <c r="T146" t="s">
        <v>31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45657</v>
      </c>
      <c r="G147">
        <v>2024</v>
      </c>
      <c r="H147" t="s">
        <v>44</v>
      </c>
      <c r="I147" t="s">
        <v>53</v>
      </c>
      <c r="K147">
        <v>5</v>
      </c>
      <c r="L147">
        <v>5</v>
      </c>
      <c r="M147">
        <v>1</v>
      </c>
      <c r="N147">
        <v>1</v>
      </c>
      <c r="O147" t="s">
        <v>35</v>
      </c>
      <c r="P147" t="s">
        <v>35</v>
      </c>
      <c r="Q147" t="s">
        <v>398</v>
      </c>
      <c r="R147">
        <v>0</v>
      </c>
      <c r="S147">
        <v>0</v>
      </c>
      <c r="T147" t="s">
        <v>443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45838</v>
      </c>
      <c r="G148">
        <v>2025</v>
      </c>
      <c r="H148" t="s">
        <v>33</v>
      </c>
      <c r="I148" t="s">
        <v>404</v>
      </c>
      <c r="J148">
        <v>1</v>
      </c>
      <c r="K148">
        <v>10</v>
      </c>
      <c r="L148">
        <v>10</v>
      </c>
      <c r="M148">
        <v>1</v>
      </c>
      <c r="N148">
        <v>1</v>
      </c>
      <c r="O148" t="s">
        <v>35</v>
      </c>
      <c r="P148" t="s">
        <v>35</v>
      </c>
      <c r="Q148" t="s">
        <v>418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46022</v>
      </c>
      <c r="G149">
        <v>2025</v>
      </c>
      <c r="H149" t="s">
        <v>44</v>
      </c>
      <c r="I149" t="s">
        <v>465</v>
      </c>
      <c r="J149">
        <v>2</v>
      </c>
      <c r="K149">
        <v>0</v>
      </c>
      <c r="L149">
        <v>0</v>
      </c>
      <c r="O149" t="s">
        <v>35</v>
      </c>
      <c r="P149" t="s">
        <v>35</v>
      </c>
      <c r="Q149" t="s">
        <v>509</v>
      </c>
      <c r="R149">
        <v>0</v>
      </c>
      <c r="S149">
        <v>0</v>
      </c>
      <c r="T149" t="s">
        <v>31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109</v>
      </c>
      <c r="B150" t="s">
        <v>96</v>
      </c>
      <c r="C150" t="s">
        <v>97</v>
      </c>
      <c r="D150" t="s">
        <v>66</v>
      </c>
      <c r="E150" t="s">
        <v>32</v>
      </c>
      <c r="F150" s="3">
        <v>45291</v>
      </c>
      <c r="G150">
        <v>2023</v>
      </c>
      <c r="H150" t="s">
        <v>44</v>
      </c>
      <c r="I150" t="s">
        <v>49</v>
      </c>
      <c r="J150">
        <v>2</v>
      </c>
      <c r="K150">
        <v>80</v>
      </c>
      <c r="L150">
        <v>87.392767703668298</v>
      </c>
      <c r="M150">
        <v>1.092409596295854</v>
      </c>
      <c r="N150">
        <v>1.092409596295854</v>
      </c>
      <c r="O150" t="s">
        <v>58</v>
      </c>
      <c r="P150" t="s">
        <v>58</v>
      </c>
      <c r="Q150" t="s">
        <v>98</v>
      </c>
      <c r="R150">
        <v>0</v>
      </c>
      <c r="S150">
        <v>0</v>
      </c>
      <c r="T150" t="s">
        <v>31</v>
      </c>
      <c r="U150" t="s">
        <v>37</v>
      </c>
      <c r="V150" t="s">
        <v>99</v>
      </c>
      <c r="W150" t="s">
        <v>60</v>
      </c>
      <c r="X150" t="s">
        <v>100</v>
      </c>
      <c r="Z150" t="s">
        <v>101</v>
      </c>
      <c r="AA150" t="s">
        <v>102</v>
      </c>
      <c r="AB150" t="s">
        <v>65</v>
      </c>
      <c r="AC150" t="s">
        <v>66</v>
      </c>
    </row>
    <row r="151" spans="1:29" x14ac:dyDescent="0.3">
      <c r="A151">
        <v>109</v>
      </c>
      <c r="B151" t="s">
        <v>96</v>
      </c>
      <c r="C151" t="s">
        <v>99</v>
      </c>
      <c r="D151" t="s">
        <v>66</v>
      </c>
      <c r="E151" t="s">
        <v>32</v>
      </c>
      <c r="F151" s="3">
        <v>45291</v>
      </c>
      <c r="G151">
        <v>2023</v>
      </c>
      <c r="H151" t="s">
        <v>44</v>
      </c>
      <c r="I151" t="s">
        <v>49</v>
      </c>
      <c r="K151">
        <v>80</v>
      </c>
      <c r="L151">
        <v>87.392767703668298</v>
      </c>
      <c r="M151">
        <v>1.092409596295854</v>
      </c>
      <c r="N151">
        <v>1.092409596295854</v>
      </c>
      <c r="O151" t="s">
        <v>58</v>
      </c>
      <c r="P151" t="s">
        <v>58</v>
      </c>
      <c r="Q151" t="s">
        <v>98</v>
      </c>
      <c r="R151">
        <v>0</v>
      </c>
      <c r="S151">
        <v>0</v>
      </c>
      <c r="T151" t="s">
        <v>443</v>
      </c>
      <c r="U151" t="s">
        <v>37</v>
      </c>
      <c r="V151" t="s">
        <v>99</v>
      </c>
      <c r="W151" t="s">
        <v>60</v>
      </c>
      <c r="X151" t="s">
        <v>100</v>
      </c>
      <c r="Z151" t="s">
        <v>101</v>
      </c>
      <c r="AA151" t="s">
        <v>102</v>
      </c>
      <c r="AB151" t="s">
        <v>65</v>
      </c>
      <c r="AC151" t="s">
        <v>66</v>
      </c>
    </row>
    <row r="152" spans="1:29" x14ac:dyDescent="0.3">
      <c r="A152">
        <v>109</v>
      </c>
      <c r="B152" t="s">
        <v>96</v>
      </c>
      <c r="C152" t="s">
        <v>99</v>
      </c>
      <c r="D152" t="s">
        <v>66</v>
      </c>
      <c r="E152" t="s">
        <v>32</v>
      </c>
      <c r="F152" s="3">
        <v>45657</v>
      </c>
      <c r="G152">
        <v>2024</v>
      </c>
      <c r="H152" t="s">
        <v>44</v>
      </c>
      <c r="I152" t="s">
        <v>53</v>
      </c>
      <c r="J152">
        <v>2</v>
      </c>
      <c r="K152">
        <v>80</v>
      </c>
      <c r="L152">
        <v>85</v>
      </c>
      <c r="M152">
        <v>1.0625</v>
      </c>
      <c r="N152">
        <v>1.0625</v>
      </c>
      <c r="O152" t="s">
        <v>58</v>
      </c>
      <c r="P152" t="s">
        <v>58</v>
      </c>
      <c r="Q152" t="s">
        <v>103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45657</v>
      </c>
      <c r="G153">
        <v>2024</v>
      </c>
      <c r="H153" t="s">
        <v>44</v>
      </c>
      <c r="I153" t="s">
        <v>53</v>
      </c>
      <c r="K153">
        <v>80</v>
      </c>
      <c r="L153">
        <v>85</v>
      </c>
      <c r="M153">
        <v>1.0625</v>
      </c>
      <c r="N153">
        <v>1.0625</v>
      </c>
      <c r="O153" t="s">
        <v>58</v>
      </c>
      <c r="P153" t="s">
        <v>58</v>
      </c>
      <c r="Q153" t="s">
        <v>103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46022</v>
      </c>
      <c r="G154">
        <v>2025</v>
      </c>
      <c r="H154" t="s">
        <v>44</v>
      </c>
      <c r="I154" t="s">
        <v>465</v>
      </c>
      <c r="K154">
        <v>80</v>
      </c>
      <c r="L154">
        <v>94</v>
      </c>
      <c r="M154">
        <f>+L154/K154</f>
        <v>1.175</v>
      </c>
      <c r="N154">
        <v>1.0625</v>
      </c>
      <c r="O154" t="s">
        <v>58</v>
      </c>
      <c r="P154" t="s">
        <v>58</v>
      </c>
      <c r="Q154" t="s">
        <v>488</v>
      </c>
      <c r="R154">
        <v>0</v>
      </c>
      <c r="S154">
        <v>0</v>
      </c>
      <c r="T154" t="s">
        <v>443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148</v>
      </c>
      <c r="B155" t="s">
        <v>104</v>
      </c>
      <c r="C155" t="s">
        <v>105</v>
      </c>
      <c r="D155" t="s">
        <v>31</v>
      </c>
      <c r="E155" t="s">
        <v>32</v>
      </c>
      <c r="F155" s="3">
        <v>44926</v>
      </c>
      <c r="G155">
        <v>2022</v>
      </c>
      <c r="H155" t="s">
        <v>44</v>
      </c>
      <c r="I155" t="s">
        <v>45</v>
      </c>
      <c r="K155">
        <v>5</v>
      </c>
      <c r="L155">
        <v>4.66</v>
      </c>
      <c r="M155">
        <f>IF(+L155/K155&gt;1.3,1.3,L155/K155)</f>
        <v>0.93200000000000005</v>
      </c>
      <c r="N155">
        <f>+L155/K155</f>
        <v>0.93200000000000005</v>
      </c>
      <c r="O155" t="s">
        <v>58</v>
      </c>
      <c r="P155" t="s">
        <v>58</v>
      </c>
      <c r="Q155" t="s">
        <v>444</v>
      </c>
      <c r="R155">
        <v>0</v>
      </c>
      <c r="S155">
        <v>1</v>
      </c>
      <c r="T155" t="s">
        <v>443</v>
      </c>
      <c r="U155" t="s">
        <v>37</v>
      </c>
      <c r="V155" t="s">
        <v>105</v>
      </c>
      <c r="W155" t="s">
        <v>73</v>
      </c>
      <c r="X155" t="s">
        <v>74</v>
      </c>
      <c r="Y155" t="s">
        <v>75</v>
      </c>
      <c r="Z155" t="s">
        <v>76</v>
      </c>
      <c r="AA155" t="s">
        <v>77</v>
      </c>
      <c r="AB155" t="s">
        <v>43</v>
      </c>
      <c r="AC155" t="s">
        <v>31</v>
      </c>
    </row>
    <row r="156" spans="1:29" x14ac:dyDescent="0.3">
      <c r="A156">
        <v>148</v>
      </c>
      <c r="B156" t="s">
        <v>104</v>
      </c>
      <c r="C156" t="s">
        <v>105</v>
      </c>
      <c r="D156" t="s">
        <v>31</v>
      </c>
      <c r="E156" t="s">
        <v>32</v>
      </c>
      <c r="F156" s="3">
        <v>45107</v>
      </c>
      <c r="G156">
        <v>2023</v>
      </c>
      <c r="H156" t="s">
        <v>33</v>
      </c>
      <c r="I156" t="s">
        <v>47</v>
      </c>
      <c r="J156">
        <v>1</v>
      </c>
      <c r="K156">
        <v>2.5</v>
      </c>
      <c r="L156">
        <v>3.57</v>
      </c>
      <c r="M156">
        <f t="shared" ref="M156:M163" si="24">IF(+L156/K156&gt;1.3,1.3,L156/K156)</f>
        <v>1.3</v>
      </c>
      <c r="N156">
        <f t="shared" ref="N156:N162" si="25">+L156/K156</f>
        <v>1.4279999999999999</v>
      </c>
      <c r="O156" t="s">
        <v>58</v>
      </c>
      <c r="P156" t="s">
        <v>58</v>
      </c>
      <c r="Q156" t="s">
        <v>106</v>
      </c>
      <c r="R156">
        <v>1</v>
      </c>
      <c r="S156">
        <v>1</v>
      </c>
      <c r="T156" t="s">
        <v>31</v>
      </c>
      <c r="U156" t="s">
        <v>37</v>
      </c>
      <c r="V156" t="s">
        <v>105</v>
      </c>
      <c r="W156" t="s">
        <v>73</v>
      </c>
      <c r="X156" t="s">
        <v>74</v>
      </c>
      <c r="Y156" t="s">
        <v>75</v>
      </c>
      <c r="Z156" t="s">
        <v>76</v>
      </c>
      <c r="AA156" t="s">
        <v>77</v>
      </c>
      <c r="AB156" t="s">
        <v>43</v>
      </c>
      <c r="AC156" t="s">
        <v>31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45291</v>
      </c>
      <c r="G157">
        <v>2023</v>
      </c>
      <c r="H157" t="s">
        <v>44</v>
      </c>
      <c r="I157" t="s">
        <v>49</v>
      </c>
      <c r="J157">
        <v>2</v>
      </c>
      <c r="K157">
        <v>5</v>
      </c>
      <c r="L157">
        <v>5.71</v>
      </c>
      <c r="M157">
        <f t="shared" si="24"/>
        <v>1.1419999999999999</v>
      </c>
      <c r="N157">
        <f t="shared" si="25"/>
        <v>1.1419999999999999</v>
      </c>
      <c r="O157" t="s">
        <v>58</v>
      </c>
      <c r="P157" t="s">
        <v>58</v>
      </c>
      <c r="Q157" t="s">
        <v>107</v>
      </c>
      <c r="R157">
        <v>1</v>
      </c>
      <c r="S157">
        <v>1</v>
      </c>
      <c r="T157" t="s">
        <v>31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45291</v>
      </c>
      <c r="G158">
        <v>2023</v>
      </c>
      <c r="H158" t="s">
        <v>44</v>
      </c>
      <c r="I158" t="s">
        <v>49</v>
      </c>
      <c r="K158">
        <v>5</v>
      </c>
      <c r="L158">
        <v>5.71</v>
      </c>
      <c r="M158">
        <f t="shared" si="24"/>
        <v>1.1419999999999999</v>
      </c>
      <c r="N158">
        <f t="shared" si="25"/>
        <v>1.1419999999999999</v>
      </c>
      <c r="O158" t="s">
        <v>58</v>
      </c>
      <c r="P158" t="s">
        <v>58</v>
      </c>
      <c r="Q158" t="s">
        <v>107</v>
      </c>
      <c r="R158">
        <v>0</v>
      </c>
      <c r="S158">
        <v>1</v>
      </c>
      <c r="T158" t="s">
        <v>443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45473</v>
      </c>
      <c r="G159">
        <v>2024</v>
      </c>
      <c r="H159" t="s">
        <v>33</v>
      </c>
      <c r="I159" t="s">
        <v>51</v>
      </c>
      <c r="J159">
        <v>1</v>
      </c>
      <c r="K159">
        <v>5</v>
      </c>
      <c r="L159">
        <v>4.3</v>
      </c>
      <c r="M159">
        <f t="shared" si="24"/>
        <v>0.86</v>
      </c>
      <c r="N159">
        <f t="shared" si="25"/>
        <v>0.86</v>
      </c>
      <c r="O159" t="s">
        <v>58</v>
      </c>
      <c r="P159" t="s">
        <v>58</v>
      </c>
      <c r="Q159" t="s">
        <v>108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45657</v>
      </c>
      <c r="G160">
        <v>2024</v>
      </c>
      <c r="H160" t="s">
        <v>44</v>
      </c>
      <c r="I160" t="s">
        <v>53</v>
      </c>
      <c r="J160">
        <v>2</v>
      </c>
      <c r="K160">
        <v>5</v>
      </c>
      <c r="L160">
        <v>6.3</v>
      </c>
      <c r="M160">
        <f t="shared" si="24"/>
        <v>1.26</v>
      </c>
      <c r="N160">
        <f t="shared" si="25"/>
        <v>1.26</v>
      </c>
      <c r="O160" t="s">
        <v>58</v>
      </c>
      <c r="P160" t="s">
        <v>58</v>
      </c>
      <c r="Q160" t="s">
        <v>109</v>
      </c>
      <c r="R160">
        <v>0</v>
      </c>
      <c r="S160">
        <v>0</v>
      </c>
      <c r="T160" t="s">
        <v>31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45657</v>
      </c>
      <c r="G161">
        <v>2024</v>
      </c>
      <c r="H161" t="s">
        <v>44</v>
      </c>
      <c r="I161" t="s">
        <v>53</v>
      </c>
      <c r="K161">
        <v>5</v>
      </c>
      <c r="L161">
        <v>6.3</v>
      </c>
      <c r="M161">
        <f t="shared" si="24"/>
        <v>1.26</v>
      </c>
      <c r="N161">
        <f t="shared" si="25"/>
        <v>1.26</v>
      </c>
      <c r="O161" t="s">
        <v>58</v>
      </c>
      <c r="P161" t="s">
        <v>58</v>
      </c>
      <c r="Q161" t="s">
        <v>109</v>
      </c>
      <c r="R161">
        <v>0</v>
      </c>
      <c r="S161">
        <v>1</v>
      </c>
      <c r="T161" t="s">
        <v>443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45838</v>
      </c>
      <c r="G162">
        <v>2025</v>
      </c>
      <c r="H162" t="s">
        <v>33</v>
      </c>
      <c r="I162" t="s">
        <v>404</v>
      </c>
      <c r="J162">
        <v>1</v>
      </c>
      <c r="K162">
        <v>4</v>
      </c>
      <c r="L162">
        <v>4.08</v>
      </c>
      <c r="M162">
        <f t="shared" si="24"/>
        <v>1.02</v>
      </c>
      <c r="N162">
        <f t="shared" si="25"/>
        <v>1.02</v>
      </c>
      <c r="O162" t="s">
        <v>58</v>
      </c>
      <c r="P162" t="s">
        <v>58</v>
      </c>
      <c r="Q162" t="s">
        <v>406</v>
      </c>
      <c r="R162">
        <v>0</v>
      </c>
      <c r="S162">
        <v>1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46022</v>
      </c>
      <c r="G163">
        <v>2025</v>
      </c>
      <c r="H163" t="s">
        <v>44</v>
      </c>
      <c r="I163" t="s">
        <v>465</v>
      </c>
      <c r="J163">
        <v>2</v>
      </c>
      <c r="K163">
        <v>5</v>
      </c>
      <c r="L163">
        <v>6.78</v>
      </c>
      <c r="M163">
        <f t="shared" si="24"/>
        <v>1.3</v>
      </c>
      <c r="N163">
        <f>+L163/K163</f>
        <v>1.3560000000000001</v>
      </c>
      <c r="O163" t="s">
        <v>58</v>
      </c>
      <c r="P163" t="s">
        <v>58</v>
      </c>
      <c r="Q163" t="s">
        <v>510</v>
      </c>
      <c r="R163">
        <v>0</v>
      </c>
      <c r="S163">
        <v>1</v>
      </c>
      <c r="T163" t="s">
        <v>31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193</v>
      </c>
      <c r="B164" s="5" t="s">
        <v>478</v>
      </c>
      <c r="C164" t="s">
        <v>30</v>
      </c>
      <c r="D164" t="s">
        <v>31</v>
      </c>
      <c r="E164" t="s">
        <v>32</v>
      </c>
      <c r="F164" s="3">
        <v>44742</v>
      </c>
      <c r="G164">
        <v>2022</v>
      </c>
      <c r="H164" t="s">
        <v>33</v>
      </c>
      <c r="I164" t="s">
        <v>34</v>
      </c>
      <c r="J164">
        <v>1</v>
      </c>
      <c r="K164">
        <v>76</v>
      </c>
      <c r="L164">
        <v>91.8</v>
      </c>
      <c r="M164">
        <f>+L164/K164</f>
        <v>1.2078947368421051</v>
      </c>
      <c r="N164">
        <f>+L164/K164</f>
        <v>1.2078947368421051</v>
      </c>
      <c r="O164" t="s">
        <v>58</v>
      </c>
      <c r="P164" t="s">
        <v>58</v>
      </c>
      <c r="Q164" t="s">
        <v>111</v>
      </c>
      <c r="R164">
        <v>1</v>
      </c>
      <c r="S164">
        <v>1</v>
      </c>
      <c r="T164" t="s">
        <v>31</v>
      </c>
      <c r="U164" t="s">
        <v>37</v>
      </c>
      <c r="V164" t="s">
        <v>30</v>
      </c>
      <c r="W164" t="s">
        <v>112</v>
      </c>
      <c r="X164" t="s">
        <v>113</v>
      </c>
      <c r="Y164" t="s">
        <v>114</v>
      </c>
      <c r="Z164" t="s">
        <v>63</v>
      </c>
      <c r="AA164" t="s">
        <v>115</v>
      </c>
      <c r="AB164" t="s">
        <v>65</v>
      </c>
      <c r="AC164" t="s">
        <v>31</v>
      </c>
    </row>
    <row r="165" spans="1:29" x14ac:dyDescent="0.3">
      <c r="A165">
        <v>193</v>
      </c>
      <c r="B165" s="5" t="s">
        <v>478</v>
      </c>
      <c r="C165" t="s">
        <v>30</v>
      </c>
      <c r="D165" t="s">
        <v>31</v>
      </c>
      <c r="E165" t="s">
        <v>32</v>
      </c>
      <c r="F165" s="3">
        <v>44926</v>
      </c>
      <c r="G165">
        <v>2022</v>
      </c>
      <c r="H165" t="s">
        <v>44</v>
      </c>
      <c r="I165" t="s">
        <v>45</v>
      </c>
      <c r="J165">
        <v>2</v>
      </c>
      <c r="K165">
        <v>76</v>
      </c>
      <c r="L165">
        <v>92.4</v>
      </c>
      <c r="M165">
        <f t="shared" ref="M165:M174" si="26">+L165/K165</f>
        <v>1.2157894736842105</v>
      </c>
      <c r="N165">
        <f t="shared" ref="N165:N174" si="27">+L165/K165</f>
        <v>1.2157894736842105</v>
      </c>
      <c r="O165" t="s">
        <v>58</v>
      </c>
      <c r="P165" t="s">
        <v>58</v>
      </c>
      <c r="Q165" t="s">
        <v>116</v>
      </c>
      <c r="R165">
        <v>1</v>
      </c>
      <c r="S165">
        <v>1</v>
      </c>
      <c r="T165" t="s">
        <v>31</v>
      </c>
      <c r="U165" t="s">
        <v>37</v>
      </c>
      <c r="V165" t="s">
        <v>30</v>
      </c>
      <c r="W165" t="s">
        <v>112</v>
      </c>
      <c r="X165" t="s">
        <v>113</v>
      </c>
      <c r="Y165" t="s">
        <v>114</v>
      </c>
      <c r="Z165" t="s">
        <v>63</v>
      </c>
      <c r="AA165" t="s">
        <v>115</v>
      </c>
      <c r="AB165" t="s">
        <v>65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44926</v>
      </c>
      <c r="G166">
        <v>2022</v>
      </c>
      <c r="H166" t="s">
        <v>44</v>
      </c>
      <c r="I166" t="s">
        <v>45</v>
      </c>
      <c r="K166">
        <v>76</v>
      </c>
      <c r="L166">
        <v>92.4</v>
      </c>
      <c r="M166">
        <f t="shared" si="26"/>
        <v>1.2157894736842105</v>
      </c>
      <c r="N166">
        <f t="shared" si="27"/>
        <v>1.2157894736842105</v>
      </c>
      <c r="O166" t="s">
        <v>58</v>
      </c>
      <c r="P166" t="s">
        <v>58</v>
      </c>
      <c r="Q166" t="s">
        <v>116</v>
      </c>
      <c r="R166">
        <v>1</v>
      </c>
      <c r="S166">
        <v>1</v>
      </c>
      <c r="T166" t="s">
        <v>443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45107</v>
      </c>
      <c r="G167">
        <v>2023</v>
      </c>
      <c r="H167" t="s">
        <v>33</v>
      </c>
      <c r="I167" t="s">
        <v>47</v>
      </c>
      <c r="J167">
        <v>1</v>
      </c>
      <c r="K167">
        <v>92</v>
      </c>
      <c r="L167">
        <v>91.9</v>
      </c>
      <c r="M167">
        <f t="shared" si="26"/>
        <v>0.99891304347826093</v>
      </c>
      <c r="N167">
        <f t="shared" si="27"/>
        <v>0.99891304347826093</v>
      </c>
      <c r="O167" t="s">
        <v>58</v>
      </c>
      <c r="P167" t="s">
        <v>58</v>
      </c>
      <c r="Q167" t="s">
        <v>117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45291</v>
      </c>
      <c r="G168">
        <v>2023</v>
      </c>
      <c r="H168" t="s">
        <v>44</v>
      </c>
      <c r="I168" t="s">
        <v>49</v>
      </c>
      <c r="J168">
        <v>2</v>
      </c>
      <c r="K168">
        <v>92</v>
      </c>
      <c r="L168">
        <v>91.3</v>
      </c>
      <c r="M168">
        <f t="shared" si="26"/>
        <v>0.99239130434782608</v>
      </c>
      <c r="N168">
        <f t="shared" si="27"/>
        <v>0.99239130434782608</v>
      </c>
      <c r="O168" t="s">
        <v>58</v>
      </c>
      <c r="P168" t="s">
        <v>58</v>
      </c>
      <c r="Q168" t="s">
        <v>118</v>
      </c>
      <c r="R168">
        <v>1</v>
      </c>
      <c r="S168">
        <v>1</v>
      </c>
      <c r="T168" t="s">
        <v>31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K169">
        <v>92</v>
      </c>
      <c r="L169">
        <v>91.3</v>
      </c>
      <c r="M169">
        <f t="shared" si="26"/>
        <v>0.99239130434782608</v>
      </c>
      <c r="N169">
        <f t="shared" si="27"/>
        <v>0.99239130434782608</v>
      </c>
      <c r="O169" t="s">
        <v>58</v>
      </c>
      <c r="P169" t="s">
        <v>58</v>
      </c>
      <c r="Q169" t="s">
        <v>118</v>
      </c>
      <c r="R169">
        <v>1</v>
      </c>
      <c r="S169">
        <v>1</v>
      </c>
      <c r="T169" t="s">
        <v>443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45473</v>
      </c>
      <c r="G170">
        <v>2024</v>
      </c>
      <c r="H170" t="s">
        <v>33</v>
      </c>
      <c r="I170" t="s">
        <v>51</v>
      </c>
      <c r="J170">
        <v>1</v>
      </c>
      <c r="K170">
        <v>90</v>
      </c>
      <c r="L170">
        <v>91.7</v>
      </c>
      <c r="M170">
        <f t="shared" si="26"/>
        <v>1.018888888888889</v>
      </c>
      <c r="N170">
        <f t="shared" si="27"/>
        <v>1.018888888888889</v>
      </c>
      <c r="O170" t="s">
        <v>58</v>
      </c>
      <c r="P170" t="s">
        <v>58</v>
      </c>
      <c r="Q170" t="s">
        <v>119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45657</v>
      </c>
      <c r="G171">
        <v>2024</v>
      </c>
      <c r="H171" t="s">
        <v>44</v>
      </c>
      <c r="I171" t="s">
        <v>53</v>
      </c>
      <c r="J171">
        <v>2</v>
      </c>
      <c r="K171">
        <v>90</v>
      </c>
      <c r="L171">
        <v>93.5</v>
      </c>
      <c r="M171">
        <f t="shared" si="26"/>
        <v>1.038888888888889</v>
      </c>
      <c r="N171">
        <f t="shared" si="27"/>
        <v>1.038888888888889</v>
      </c>
      <c r="O171" t="s">
        <v>58</v>
      </c>
      <c r="P171" t="s">
        <v>58</v>
      </c>
      <c r="Q171" t="s">
        <v>120</v>
      </c>
      <c r="R171">
        <v>0</v>
      </c>
      <c r="S171">
        <v>0</v>
      </c>
      <c r="T171" t="s">
        <v>31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K172">
        <v>90</v>
      </c>
      <c r="L172">
        <v>93.5</v>
      </c>
      <c r="M172">
        <f t="shared" si="26"/>
        <v>1.038888888888889</v>
      </c>
      <c r="N172">
        <f t="shared" si="27"/>
        <v>1.038888888888889</v>
      </c>
      <c r="O172" t="s">
        <v>58</v>
      </c>
      <c r="P172" t="s">
        <v>58</v>
      </c>
      <c r="Q172" t="s">
        <v>120</v>
      </c>
      <c r="R172">
        <v>1</v>
      </c>
      <c r="S172">
        <v>1</v>
      </c>
      <c r="T172" t="s">
        <v>443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45838</v>
      </c>
      <c r="G173">
        <v>2025</v>
      </c>
      <c r="H173" t="s">
        <v>33</v>
      </c>
      <c r="I173" t="s">
        <v>404</v>
      </c>
      <c r="J173">
        <v>1</v>
      </c>
      <c r="K173">
        <v>93</v>
      </c>
      <c r="L173">
        <v>96.21</v>
      </c>
      <c r="M173">
        <f t="shared" si="26"/>
        <v>1.034516129032258</v>
      </c>
      <c r="N173">
        <f t="shared" si="27"/>
        <v>1.034516129032258</v>
      </c>
      <c r="O173" t="s">
        <v>58</v>
      </c>
      <c r="P173" t="s">
        <v>58</v>
      </c>
      <c r="Q173" t="s">
        <v>420</v>
      </c>
      <c r="R173">
        <v>1</v>
      </c>
      <c r="S173">
        <v>1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46022</v>
      </c>
      <c r="G174">
        <v>2025</v>
      </c>
      <c r="H174" t="s">
        <v>44</v>
      </c>
      <c r="I174" t="s">
        <v>465</v>
      </c>
      <c r="J174">
        <v>2</v>
      </c>
      <c r="K174">
        <v>94</v>
      </c>
      <c r="L174">
        <v>95</v>
      </c>
      <c r="M174">
        <f t="shared" si="26"/>
        <v>1.0106382978723405</v>
      </c>
      <c r="N174">
        <f t="shared" si="27"/>
        <v>1.0106382978723405</v>
      </c>
      <c r="O174" t="s">
        <v>58</v>
      </c>
      <c r="P174" t="s">
        <v>58</v>
      </c>
      <c r="Q174" t="s">
        <v>511</v>
      </c>
      <c r="R174">
        <v>1</v>
      </c>
      <c r="S174">
        <v>1</v>
      </c>
      <c r="T174" t="s">
        <v>31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194</v>
      </c>
      <c r="B175" t="s">
        <v>121</v>
      </c>
      <c r="C175" t="s">
        <v>30</v>
      </c>
      <c r="D175" t="s">
        <v>31</v>
      </c>
      <c r="E175" t="s">
        <v>32</v>
      </c>
      <c r="F175" s="3">
        <v>44742</v>
      </c>
      <c r="G175">
        <v>2022</v>
      </c>
      <c r="H175" t="s">
        <v>33</v>
      </c>
      <c r="I175" t="s">
        <v>34</v>
      </c>
      <c r="J175">
        <v>1</v>
      </c>
      <c r="K175">
        <v>73</v>
      </c>
      <c r="L175">
        <v>83.26</v>
      </c>
      <c r="M175">
        <f>+L175/K175</f>
        <v>1.1405479452054794</v>
      </c>
      <c r="N175">
        <f>+L175/K175</f>
        <v>1.1405479452054794</v>
      </c>
      <c r="O175" t="s">
        <v>58</v>
      </c>
      <c r="P175" t="s">
        <v>58</v>
      </c>
      <c r="Q175" t="s">
        <v>122</v>
      </c>
      <c r="R175">
        <v>0</v>
      </c>
      <c r="S175">
        <v>0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123</v>
      </c>
      <c r="Z175" t="s">
        <v>41</v>
      </c>
      <c r="AA175" t="s">
        <v>124</v>
      </c>
      <c r="AB175" t="s">
        <v>43</v>
      </c>
      <c r="AC175" t="s">
        <v>66</v>
      </c>
    </row>
    <row r="176" spans="1:29" x14ac:dyDescent="0.3">
      <c r="A176">
        <v>194</v>
      </c>
      <c r="B176" t="s">
        <v>121</v>
      </c>
      <c r="C176" t="s">
        <v>30</v>
      </c>
      <c r="D176" t="s">
        <v>31</v>
      </c>
      <c r="E176" t="s">
        <v>32</v>
      </c>
      <c r="F176" s="3">
        <v>44926</v>
      </c>
      <c r="G176">
        <v>2022</v>
      </c>
      <c r="H176" t="s">
        <v>44</v>
      </c>
      <c r="I176" t="s">
        <v>45</v>
      </c>
      <c r="J176">
        <v>2</v>
      </c>
      <c r="K176">
        <v>73</v>
      </c>
      <c r="L176">
        <v>83.11</v>
      </c>
      <c r="M176">
        <f t="shared" ref="M176:M185" si="28">+L176/K176</f>
        <v>1.1384931506849314</v>
      </c>
      <c r="N176">
        <f t="shared" ref="N176:N185" si="29">+L176/K176</f>
        <v>1.1384931506849314</v>
      </c>
      <c r="O176" t="s">
        <v>58</v>
      </c>
      <c r="P176" t="s">
        <v>58</v>
      </c>
      <c r="Q176" t="s">
        <v>125</v>
      </c>
      <c r="R176">
        <v>0</v>
      </c>
      <c r="S176">
        <v>0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123</v>
      </c>
      <c r="Z176" t="s">
        <v>41</v>
      </c>
      <c r="AA176" t="s">
        <v>124</v>
      </c>
      <c r="AB176" t="s">
        <v>43</v>
      </c>
      <c r="AC176" t="s">
        <v>66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K177">
        <v>73</v>
      </c>
      <c r="L177">
        <v>83.11</v>
      </c>
      <c r="M177">
        <f t="shared" si="28"/>
        <v>1.1384931506849314</v>
      </c>
      <c r="N177">
        <f t="shared" si="29"/>
        <v>1.1384931506849314</v>
      </c>
      <c r="O177" t="s">
        <v>58</v>
      </c>
      <c r="P177" t="s">
        <v>58</v>
      </c>
      <c r="Q177" t="s">
        <v>125</v>
      </c>
      <c r="R177">
        <v>0</v>
      </c>
      <c r="S177">
        <v>0</v>
      </c>
      <c r="T177" t="s">
        <v>443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45107</v>
      </c>
      <c r="G178">
        <v>2023</v>
      </c>
      <c r="H178" t="s">
        <v>33</v>
      </c>
      <c r="I178" t="s">
        <v>47</v>
      </c>
      <c r="J178">
        <v>1</v>
      </c>
      <c r="K178">
        <v>80</v>
      </c>
      <c r="L178">
        <v>79.180000000000007</v>
      </c>
      <c r="M178">
        <f t="shared" si="28"/>
        <v>0.98975000000000013</v>
      </c>
      <c r="N178">
        <f t="shared" si="29"/>
        <v>0.98975000000000013</v>
      </c>
      <c r="O178" t="s">
        <v>58</v>
      </c>
      <c r="P178" t="s">
        <v>58</v>
      </c>
      <c r="Q178" t="s">
        <v>126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45291</v>
      </c>
      <c r="G179">
        <v>2023</v>
      </c>
      <c r="H179" t="s">
        <v>44</v>
      </c>
      <c r="I179" t="s">
        <v>49</v>
      </c>
      <c r="J179">
        <v>2</v>
      </c>
      <c r="K179">
        <v>80</v>
      </c>
      <c r="L179">
        <v>81.91</v>
      </c>
      <c r="M179">
        <f t="shared" si="28"/>
        <v>1.0238749999999999</v>
      </c>
      <c r="N179">
        <f t="shared" si="29"/>
        <v>1.0238749999999999</v>
      </c>
      <c r="O179" t="s">
        <v>58</v>
      </c>
      <c r="P179" t="s">
        <v>58</v>
      </c>
      <c r="Q179" t="s">
        <v>127</v>
      </c>
      <c r="R179">
        <v>0</v>
      </c>
      <c r="S179">
        <v>0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K180">
        <v>80</v>
      </c>
      <c r="L180">
        <v>81.91</v>
      </c>
      <c r="M180">
        <f t="shared" si="28"/>
        <v>1.0238749999999999</v>
      </c>
      <c r="N180">
        <f t="shared" si="29"/>
        <v>1.0238749999999999</v>
      </c>
      <c r="O180" t="s">
        <v>58</v>
      </c>
      <c r="P180" t="s">
        <v>58</v>
      </c>
      <c r="Q180" t="s">
        <v>127</v>
      </c>
      <c r="R180">
        <v>0</v>
      </c>
      <c r="S180">
        <v>0</v>
      </c>
      <c r="T180" t="s">
        <v>443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45473</v>
      </c>
      <c r="G181">
        <v>2024</v>
      </c>
      <c r="H181" t="s">
        <v>33</v>
      </c>
      <c r="I181" t="s">
        <v>51</v>
      </c>
      <c r="J181">
        <v>1</v>
      </c>
      <c r="K181">
        <v>81</v>
      </c>
      <c r="L181">
        <v>83.01</v>
      </c>
      <c r="M181">
        <f t="shared" si="28"/>
        <v>1.0248148148148148</v>
      </c>
      <c r="N181">
        <f t="shared" si="29"/>
        <v>1.0248148148148148</v>
      </c>
      <c r="O181" t="s">
        <v>58</v>
      </c>
      <c r="P181" t="s">
        <v>58</v>
      </c>
      <c r="Q181" t="s">
        <v>128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45657</v>
      </c>
      <c r="G182">
        <v>2024</v>
      </c>
      <c r="H182" t="s">
        <v>44</v>
      </c>
      <c r="I182" t="s">
        <v>53</v>
      </c>
      <c r="J182">
        <v>2</v>
      </c>
      <c r="K182">
        <v>81</v>
      </c>
      <c r="L182">
        <v>89</v>
      </c>
      <c r="M182">
        <f t="shared" si="28"/>
        <v>1.0987654320987654</v>
      </c>
      <c r="N182">
        <f t="shared" si="29"/>
        <v>1.0987654320987654</v>
      </c>
      <c r="O182" t="s">
        <v>58</v>
      </c>
      <c r="P182" t="s">
        <v>58</v>
      </c>
      <c r="Q182" t="s">
        <v>403</v>
      </c>
      <c r="R182">
        <v>0</v>
      </c>
      <c r="S182">
        <v>0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K183">
        <v>81</v>
      </c>
      <c r="L183">
        <v>89</v>
      </c>
      <c r="M183">
        <f t="shared" si="28"/>
        <v>1.0987654320987654</v>
      </c>
      <c r="N183">
        <f t="shared" si="29"/>
        <v>1.0987654320987654</v>
      </c>
      <c r="O183" t="s">
        <v>58</v>
      </c>
      <c r="P183" t="s">
        <v>58</v>
      </c>
      <c r="Q183" t="s">
        <v>403</v>
      </c>
      <c r="R183">
        <v>0</v>
      </c>
      <c r="S183">
        <v>0</v>
      </c>
      <c r="T183" t="s">
        <v>443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45838</v>
      </c>
      <c r="G184">
        <v>2025</v>
      </c>
      <c r="H184" t="s">
        <v>33</v>
      </c>
      <c r="I184" t="s">
        <v>404</v>
      </c>
      <c r="J184">
        <v>1</v>
      </c>
      <c r="K184">
        <v>80</v>
      </c>
      <c r="L184">
        <v>90</v>
      </c>
      <c r="M184">
        <f t="shared" si="28"/>
        <v>1.125</v>
      </c>
      <c r="N184">
        <f t="shared" si="29"/>
        <v>1.125</v>
      </c>
      <c r="O184" t="s">
        <v>58</v>
      </c>
      <c r="P184" t="s">
        <v>58</v>
      </c>
      <c r="Q184" t="s">
        <v>419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46022</v>
      </c>
      <c r="G185">
        <v>2025</v>
      </c>
      <c r="H185" t="s">
        <v>44</v>
      </c>
      <c r="I185" t="s">
        <v>465</v>
      </c>
      <c r="J185">
        <v>2</v>
      </c>
      <c r="K185">
        <v>85</v>
      </c>
      <c r="L185">
        <v>89.9</v>
      </c>
      <c r="M185">
        <f t="shared" si="28"/>
        <v>1.0576470588235294</v>
      </c>
      <c r="N185">
        <f t="shared" si="29"/>
        <v>1.0576470588235294</v>
      </c>
      <c r="O185" t="s">
        <v>58</v>
      </c>
      <c r="P185" t="s">
        <v>58</v>
      </c>
      <c r="Q185" t="s">
        <v>419</v>
      </c>
      <c r="R185">
        <v>0</v>
      </c>
      <c r="S185">
        <v>0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200</v>
      </c>
      <c r="B186" t="s">
        <v>129</v>
      </c>
      <c r="C186" t="s">
        <v>130</v>
      </c>
      <c r="D186" t="s">
        <v>66</v>
      </c>
      <c r="E186" t="s">
        <v>32</v>
      </c>
      <c r="F186" s="3">
        <v>45291</v>
      </c>
      <c r="G186">
        <v>2023</v>
      </c>
      <c r="H186" t="s">
        <v>44</v>
      </c>
      <c r="I186" t="s">
        <v>49</v>
      </c>
      <c r="J186">
        <v>2</v>
      </c>
      <c r="L186">
        <v>90</v>
      </c>
      <c r="O186" t="s">
        <v>131</v>
      </c>
      <c r="P186" t="s">
        <v>58</v>
      </c>
      <c r="Q186" t="s">
        <v>132</v>
      </c>
      <c r="R186">
        <v>0</v>
      </c>
      <c r="S186">
        <v>0</v>
      </c>
      <c r="T186" t="s">
        <v>31</v>
      </c>
      <c r="U186" t="s">
        <v>37</v>
      </c>
      <c r="V186" t="s">
        <v>130</v>
      </c>
      <c r="W186" t="s">
        <v>60</v>
      </c>
      <c r="X186" t="s">
        <v>100</v>
      </c>
      <c r="Y186" t="s">
        <v>133</v>
      </c>
      <c r="Z186" t="s">
        <v>134</v>
      </c>
      <c r="AA186" t="s">
        <v>135</v>
      </c>
      <c r="AB186" t="s">
        <v>43</v>
      </c>
      <c r="AC186" t="s">
        <v>66</v>
      </c>
    </row>
    <row r="187" spans="1:29" x14ac:dyDescent="0.3">
      <c r="A187">
        <v>200</v>
      </c>
      <c r="B187" t="s">
        <v>129</v>
      </c>
      <c r="C187" t="s">
        <v>130</v>
      </c>
      <c r="D187" t="s">
        <v>66</v>
      </c>
      <c r="E187" t="s">
        <v>32</v>
      </c>
      <c r="F187" s="3">
        <v>45291</v>
      </c>
      <c r="G187">
        <v>2023</v>
      </c>
      <c r="H187" t="s">
        <v>44</v>
      </c>
      <c r="I187" t="s">
        <v>49</v>
      </c>
      <c r="L187">
        <v>90</v>
      </c>
      <c r="O187" t="s">
        <v>284</v>
      </c>
      <c r="P187" t="s">
        <v>58</v>
      </c>
      <c r="Q187" t="s">
        <v>132</v>
      </c>
      <c r="R187">
        <v>0</v>
      </c>
      <c r="S187">
        <v>0</v>
      </c>
      <c r="T187" t="s">
        <v>443</v>
      </c>
      <c r="U187" t="s">
        <v>37</v>
      </c>
      <c r="V187" t="s">
        <v>130</v>
      </c>
      <c r="W187" t="s">
        <v>60</v>
      </c>
      <c r="X187" t="s">
        <v>100</v>
      </c>
      <c r="Y187" t="s">
        <v>133</v>
      </c>
      <c r="Z187" t="s">
        <v>134</v>
      </c>
      <c r="AA187" t="s">
        <v>135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45657</v>
      </c>
      <c r="G188">
        <v>2024</v>
      </c>
      <c r="H188" t="s">
        <v>44</v>
      </c>
      <c r="I188" t="s">
        <v>53</v>
      </c>
      <c r="J188">
        <v>2</v>
      </c>
      <c r="K188">
        <v>80</v>
      </c>
      <c r="L188">
        <v>87.4</v>
      </c>
      <c r="M188">
        <f>+L188/K188</f>
        <v>1.0925</v>
      </c>
      <c r="N188">
        <v>1.0925</v>
      </c>
      <c r="Q188" t="s">
        <v>136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45657</v>
      </c>
      <c r="G189">
        <v>2024</v>
      </c>
      <c r="H189" t="s">
        <v>44</v>
      </c>
      <c r="I189" t="s">
        <v>53</v>
      </c>
      <c r="K189">
        <v>80</v>
      </c>
      <c r="L189">
        <v>87.4</v>
      </c>
      <c r="M189">
        <f>+L189/K189</f>
        <v>1.0925</v>
      </c>
      <c r="N189">
        <v>1.0925</v>
      </c>
      <c r="O189" t="s">
        <v>58</v>
      </c>
      <c r="P189" t="s">
        <v>58</v>
      </c>
      <c r="Q189" t="s">
        <v>136</v>
      </c>
      <c r="R189">
        <v>0</v>
      </c>
      <c r="S189">
        <v>1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45838</v>
      </c>
      <c r="G190">
        <v>2025</v>
      </c>
      <c r="H190" t="s">
        <v>33</v>
      </c>
      <c r="I190" t="s">
        <v>404</v>
      </c>
      <c r="J190">
        <v>1</v>
      </c>
      <c r="K190">
        <v>80</v>
      </c>
      <c r="L190">
        <v>87.4</v>
      </c>
      <c r="M190">
        <f>+L190/K190</f>
        <v>1.0925</v>
      </c>
      <c r="N190">
        <v>1.0925</v>
      </c>
      <c r="O190" t="s">
        <v>58</v>
      </c>
      <c r="P190" t="s">
        <v>58</v>
      </c>
      <c r="Q190" t="s">
        <v>463</v>
      </c>
      <c r="R190">
        <v>0</v>
      </c>
      <c r="S190">
        <v>1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202</v>
      </c>
      <c r="B191" t="s">
        <v>137</v>
      </c>
      <c r="C191" t="s">
        <v>130</v>
      </c>
      <c r="D191" t="s">
        <v>66</v>
      </c>
      <c r="E191" t="s">
        <v>32</v>
      </c>
      <c r="F191" s="3">
        <v>43100</v>
      </c>
      <c r="G191">
        <f t="shared" ref="G191:G196" si="30">YEAR(F191)</f>
        <v>2017</v>
      </c>
      <c r="H191" t="str">
        <f t="shared" ref="H191:H196" si="31">PROPER(TEXT(F191,"mmmm"))</f>
        <v>Diciembre</v>
      </c>
      <c r="I191" t="str">
        <f t="shared" ref="I191:I196" si="32">IF(H191="Junio",G191&amp;"-1",G191&amp;"-2")</f>
        <v>2017-2</v>
      </c>
      <c r="L191">
        <v>64.400000000000006</v>
      </c>
      <c r="O191" t="s">
        <v>245</v>
      </c>
      <c r="P191" t="s">
        <v>245</v>
      </c>
      <c r="Q191" t="str">
        <f t="shared" ref="Q191:Q196" si="33">A191&amp;"-"&amp;TEXT(F191,"yyyy-mm-dd")</f>
        <v>202-2017-12-31</v>
      </c>
      <c r="R191">
        <v>1</v>
      </c>
      <c r="S191">
        <v>1</v>
      </c>
      <c r="T191" t="s">
        <v>31</v>
      </c>
      <c r="U191" t="s">
        <v>37</v>
      </c>
      <c r="V191" t="s">
        <v>130</v>
      </c>
      <c r="W191" t="s">
        <v>60</v>
      </c>
      <c r="X191" t="s">
        <v>100</v>
      </c>
      <c r="Y191" t="s">
        <v>139</v>
      </c>
      <c r="Z191" t="s">
        <v>63</v>
      </c>
      <c r="AA191" t="s">
        <v>115</v>
      </c>
      <c r="AB191" t="s">
        <v>43</v>
      </c>
      <c r="AC191" t="s">
        <v>66</v>
      </c>
    </row>
    <row r="192" spans="1:29" x14ac:dyDescent="0.3">
      <c r="A192">
        <v>202</v>
      </c>
      <c r="B192" t="s">
        <v>137</v>
      </c>
      <c r="C192" t="s">
        <v>130</v>
      </c>
      <c r="D192" t="s">
        <v>66</v>
      </c>
      <c r="E192" t="s">
        <v>32</v>
      </c>
      <c r="F192" s="3">
        <v>43100</v>
      </c>
      <c r="G192">
        <f t="shared" si="30"/>
        <v>2017</v>
      </c>
      <c r="H192" t="str">
        <f t="shared" si="31"/>
        <v>Diciembre</v>
      </c>
      <c r="I192" t="str">
        <f t="shared" si="32"/>
        <v>2017-2</v>
      </c>
      <c r="J192">
        <v>2</v>
      </c>
      <c r="L192">
        <v>64.400000000000006</v>
      </c>
      <c r="O192" t="s">
        <v>245</v>
      </c>
      <c r="P192" t="s">
        <v>245</v>
      </c>
      <c r="Q192" t="str">
        <f t="shared" si="33"/>
        <v>202-2017-12-31</v>
      </c>
      <c r="R192">
        <v>1</v>
      </c>
      <c r="S192">
        <v>1</v>
      </c>
      <c r="T192" t="s">
        <v>31</v>
      </c>
      <c r="U192" t="s">
        <v>37</v>
      </c>
      <c r="V192" t="s">
        <v>130</v>
      </c>
      <c r="W192" t="s">
        <v>60</v>
      </c>
      <c r="X192" t="s">
        <v>100</v>
      </c>
      <c r="Y192" t="s">
        <v>139</v>
      </c>
      <c r="Z192" t="s">
        <v>63</v>
      </c>
      <c r="AA192" t="s">
        <v>115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43830</v>
      </c>
      <c r="G193">
        <f t="shared" si="30"/>
        <v>2019</v>
      </c>
      <c r="H193" t="str">
        <f t="shared" si="31"/>
        <v>Diciembre</v>
      </c>
      <c r="I193" t="str">
        <f t="shared" si="32"/>
        <v>2019-2</v>
      </c>
      <c r="J193">
        <v>2</v>
      </c>
      <c r="L193">
        <v>77.099999999999994</v>
      </c>
      <c r="O193" t="s">
        <v>245</v>
      </c>
      <c r="P193" t="s">
        <v>245</v>
      </c>
      <c r="Q193" t="str">
        <f t="shared" si="33"/>
        <v>202-2019-12-31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43830</v>
      </c>
      <c r="G194">
        <f t="shared" si="30"/>
        <v>2019</v>
      </c>
      <c r="H194" t="str">
        <f t="shared" si="31"/>
        <v>Diciembre</v>
      </c>
      <c r="I194" t="str">
        <f t="shared" si="32"/>
        <v>2019-2</v>
      </c>
      <c r="L194">
        <v>77.099999999999994</v>
      </c>
      <c r="O194" t="s">
        <v>245</v>
      </c>
      <c r="P194" t="s">
        <v>245</v>
      </c>
      <c r="Q194" t="str">
        <f t="shared" si="33"/>
        <v>202-2019-12-31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44561</v>
      </c>
      <c r="G195">
        <f t="shared" si="30"/>
        <v>2021</v>
      </c>
      <c r="H195" t="str">
        <f t="shared" si="31"/>
        <v>Diciembre</v>
      </c>
      <c r="I195" t="str">
        <f t="shared" si="32"/>
        <v>2021-2</v>
      </c>
      <c r="J195">
        <v>2</v>
      </c>
      <c r="L195">
        <v>61.7</v>
      </c>
      <c r="O195" t="s">
        <v>245</v>
      </c>
      <c r="P195" t="s">
        <v>245</v>
      </c>
      <c r="Q195" t="str">
        <f t="shared" si="33"/>
        <v>202-2021-12-31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44561</v>
      </c>
      <c r="G196">
        <f t="shared" si="30"/>
        <v>2021</v>
      </c>
      <c r="H196" t="str">
        <f t="shared" si="31"/>
        <v>Diciembre</v>
      </c>
      <c r="I196" t="str">
        <f t="shared" si="32"/>
        <v>2021-2</v>
      </c>
      <c r="L196">
        <v>61.7</v>
      </c>
      <c r="O196" t="s">
        <v>245</v>
      </c>
      <c r="P196" t="s">
        <v>245</v>
      </c>
      <c r="Q196" t="str">
        <f t="shared" si="33"/>
        <v>202-2021-12-31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45291</v>
      </c>
      <c r="G197">
        <v>2023</v>
      </c>
      <c r="H197" t="s">
        <v>44</v>
      </c>
      <c r="I197" t="s">
        <v>49</v>
      </c>
      <c r="J197">
        <v>2</v>
      </c>
      <c r="K197">
        <v>66</v>
      </c>
      <c r="L197">
        <v>64.7</v>
      </c>
      <c r="M197">
        <f>+L197/K197</f>
        <v>0.98030303030303034</v>
      </c>
      <c r="N197">
        <f>+L197/K197</f>
        <v>0.98030303030303034</v>
      </c>
      <c r="O197" t="s">
        <v>35</v>
      </c>
      <c r="P197" t="s">
        <v>245</v>
      </c>
      <c r="Q197" t="s">
        <v>138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K198">
        <v>66</v>
      </c>
      <c r="L198">
        <v>64.7</v>
      </c>
      <c r="M198">
        <f>+L198/K198</f>
        <v>0.98030303030303034</v>
      </c>
      <c r="N198">
        <f>+L198/K198</f>
        <v>0.98030303030303034</v>
      </c>
      <c r="O198" t="s">
        <v>35</v>
      </c>
      <c r="P198" t="s">
        <v>245</v>
      </c>
      <c r="Q198" t="s">
        <v>138</v>
      </c>
      <c r="R198">
        <v>1</v>
      </c>
      <c r="S198">
        <v>1</v>
      </c>
      <c r="T198" t="s">
        <v>443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45838</v>
      </c>
      <c r="G199">
        <v>2025</v>
      </c>
      <c r="H199" t="s">
        <v>44</v>
      </c>
      <c r="I199" t="s">
        <v>465</v>
      </c>
      <c r="J199">
        <v>2</v>
      </c>
      <c r="K199">
        <v>68.7</v>
      </c>
      <c r="L199">
        <v>81</v>
      </c>
      <c r="M199">
        <f>+L199/K199</f>
        <v>1.1790393013100435</v>
      </c>
      <c r="N199">
        <f>+L199/K199</f>
        <v>1.1790393013100435</v>
      </c>
      <c r="O199" t="s">
        <v>245</v>
      </c>
      <c r="P199" t="s">
        <v>35</v>
      </c>
      <c r="Q199" t="s">
        <v>513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s="6" t="s">
        <v>137</v>
      </c>
      <c r="C200" t="s">
        <v>130</v>
      </c>
      <c r="D200" t="s">
        <v>66</v>
      </c>
      <c r="E200" t="s">
        <v>32</v>
      </c>
      <c r="F200" s="3">
        <v>46022</v>
      </c>
      <c r="G200">
        <v>2025</v>
      </c>
      <c r="H200" t="s">
        <v>44</v>
      </c>
      <c r="I200" t="s">
        <v>465</v>
      </c>
      <c r="K200">
        <v>68.7</v>
      </c>
      <c r="L200">
        <v>81</v>
      </c>
      <c r="M200">
        <f>+L200/K200</f>
        <v>1.1790393013100435</v>
      </c>
      <c r="N200">
        <f>+L200/K200</f>
        <v>1.1790393013100435</v>
      </c>
      <c r="O200" t="s">
        <v>245</v>
      </c>
      <c r="P200" t="s">
        <v>35</v>
      </c>
      <c r="Q200" t="s">
        <v>513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203</v>
      </c>
      <c r="B201" t="s">
        <v>141</v>
      </c>
      <c r="C201" t="s">
        <v>142</v>
      </c>
      <c r="D201" t="s">
        <v>31</v>
      </c>
      <c r="E201" t="s">
        <v>32</v>
      </c>
      <c r="F201" s="3">
        <v>44742</v>
      </c>
      <c r="G201">
        <v>2022</v>
      </c>
      <c r="H201" t="s">
        <v>33</v>
      </c>
      <c r="I201" t="s">
        <v>34</v>
      </c>
      <c r="J201">
        <v>1</v>
      </c>
      <c r="K201">
        <v>113672</v>
      </c>
      <c r="L201">
        <v>119144</v>
      </c>
      <c r="M201">
        <f t="shared" ref="M201:M210" si="34">+L201/K201</f>
        <v>1.0481385037652193</v>
      </c>
      <c r="N201">
        <f>+L201/K201</f>
        <v>1.0481385037652193</v>
      </c>
      <c r="O201" t="s">
        <v>143</v>
      </c>
      <c r="P201" t="s">
        <v>143</v>
      </c>
      <c r="Q201" t="s">
        <v>144</v>
      </c>
      <c r="R201">
        <v>0</v>
      </c>
      <c r="S201">
        <v>0</v>
      </c>
      <c r="T201" t="s">
        <v>31</v>
      </c>
      <c r="U201" t="s">
        <v>37</v>
      </c>
      <c r="V201" t="s">
        <v>142</v>
      </c>
      <c r="W201" t="s">
        <v>145</v>
      </c>
      <c r="X201" t="s">
        <v>146</v>
      </c>
      <c r="Y201" t="s">
        <v>147</v>
      </c>
      <c r="Z201" t="s">
        <v>63</v>
      </c>
      <c r="AA201" t="s">
        <v>148</v>
      </c>
      <c r="AB201" t="s">
        <v>78</v>
      </c>
      <c r="AC201" t="s">
        <v>66</v>
      </c>
    </row>
    <row r="202" spans="1:29" x14ac:dyDescent="0.3">
      <c r="A202">
        <v>203</v>
      </c>
      <c r="B202" t="s">
        <v>141</v>
      </c>
      <c r="C202" t="s">
        <v>142</v>
      </c>
      <c r="D202" t="s">
        <v>31</v>
      </c>
      <c r="E202" t="s">
        <v>32</v>
      </c>
      <c r="F202" s="3">
        <v>44926</v>
      </c>
      <c r="G202">
        <v>2022</v>
      </c>
      <c r="H202" t="s">
        <v>44</v>
      </c>
      <c r="I202" t="s">
        <v>45</v>
      </c>
      <c r="J202">
        <v>2</v>
      </c>
      <c r="K202">
        <v>110768</v>
      </c>
      <c r="L202">
        <v>121738</v>
      </c>
      <c r="M202">
        <f t="shared" si="34"/>
        <v>1.0990358226202512</v>
      </c>
      <c r="N202">
        <f t="shared" ref="N202:N210" si="35">+L202/K202</f>
        <v>1.0990358226202512</v>
      </c>
      <c r="O202" t="s">
        <v>143</v>
      </c>
      <c r="P202" t="s">
        <v>143</v>
      </c>
      <c r="Q202" t="s">
        <v>149</v>
      </c>
      <c r="R202">
        <v>0</v>
      </c>
      <c r="S202">
        <v>0</v>
      </c>
      <c r="T202" t="s">
        <v>31</v>
      </c>
      <c r="U202" t="s">
        <v>37</v>
      </c>
      <c r="V202" t="s">
        <v>142</v>
      </c>
      <c r="W202" t="s">
        <v>145</v>
      </c>
      <c r="X202" t="s">
        <v>146</v>
      </c>
      <c r="Y202" t="s">
        <v>147</v>
      </c>
      <c r="Z202" t="s">
        <v>63</v>
      </c>
      <c r="AA202" t="s">
        <v>148</v>
      </c>
      <c r="AB202" t="s">
        <v>78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44926</v>
      </c>
      <c r="G203">
        <v>2022</v>
      </c>
      <c r="H203" t="s">
        <v>44</v>
      </c>
      <c r="I203" t="s">
        <v>45</v>
      </c>
      <c r="K203">
        <v>224440</v>
      </c>
      <c r="L203">
        <v>241706</v>
      </c>
      <c r="M203">
        <f t="shared" si="34"/>
        <v>1.0769292461236857</v>
      </c>
      <c r="N203">
        <f t="shared" si="35"/>
        <v>1.0769292461236857</v>
      </c>
      <c r="O203" t="s">
        <v>143</v>
      </c>
      <c r="P203" t="s">
        <v>143</v>
      </c>
      <c r="Q203" t="s">
        <v>149</v>
      </c>
      <c r="R203">
        <v>0</v>
      </c>
      <c r="S203">
        <v>0</v>
      </c>
      <c r="T203" t="s">
        <v>443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45107</v>
      </c>
      <c r="G204">
        <v>2023</v>
      </c>
      <c r="H204" t="s">
        <v>33</v>
      </c>
      <c r="I204" t="s">
        <v>47</v>
      </c>
      <c r="J204">
        <v>1</v>
      </c>
      <c r="K204">
        <v>123465.69985999999</v>
      </c>
      <c r="L204">
        <v>129185.069909</v>
      </c>
      <c r="M204">
        <f t="shared" si="34"/>
        <v>1.0463235542785188</v>
      </c>
      <c r="N204">
        <f t="shared" si="35"/>
        <v>1.0463235542785188</v>
      </c>
      <c r="O204" t="s">
        <v>143</v>
      </c>
      <c r="P204" t="s">
        <v>143</v>
      </c>
      <c r="Q204" t="s">
        <v>150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45291</v>
      </c>
      <c r="G205">
        <v>2023</v>
      </c>
      <c r="H205" t="s">
        <v>44</v>
      </c>
      <c r="I205" t="s">
        <v>49</v>
      </c>
      <c r="J205">
        <v>2</v>
      </c>
      <c r="K205">
        <v>141378.739416</v>
      </c>
      <c r="L205">
        <v>144681.981019</v>
      </c>
      <c r="M205">
        <f t="shared" si="34"/>
        <v>1.0233644861783664</v>
      </c>
      <c r="N205">
        <f t="shared" si="35"/>
        <v>1.0233644861783664</v>
      </c>
      <c r="O205" t="s">
        <v>143</v>
      </c>
      <c r="P205" t="s">
        <v>143</v>
      </c>
      <c r="Q205" t="s">
        <v>151</v>
      </c>
      <c r="R205">
        <v>0</v>
      </c>
      <c r="S205">
        <v>0</v>
      </c>
      <c r="T205" t="s">
        <v>31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K206">
        <v>264844.43927600002</v>
      </c>
      <c r="L206">
        <v>273867.05092800001</v>
      </c>
      <c r="M206">
        <f t="shared" si="34"/>
        <v>1.0340675895505487</v>
      </c>
      <c r="N206">
        <f t="shared" si="35"/>
        <v>1.0340675895505487</v>
      </c>
      <c r="O206" t="s">
        <v>143</v>
      </c>
      <c r="P206" t="s">
        <v>143</v>
      </c>
      <c r="Q206" t="s">
        <v>151</v>
      </c>
      <c r="R206">
        <v>0</v>
      </c>
      <c r="S206">
        <v>0</v>
      </c>
      <c r="T206" t="s">
        <v>443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45473</v>
      </c>
      <c r="G207">
        <v>2024</v>
      </c>
      <c r="H207" t="s">
        <v>33</v>
      </c>
      <c r="I207" t="s">
        <v>51</v>
      </c>
      <c r="J207">
        <v>1</v>
      </c>
      <c r="K207">
        <v>142872.2583337345</v>
      </c>
      <c r="L207">
        <v>145741.54103414001</v>
      </c>
      <c r="M207">
        <f t="shared" si="34"/>
        <v>1.0200828539694751</v>
      </c>
      <c r="N207">
        <f t="shared" si="35"/>
        <v>1.0200828539694751</v>
      </c>
      <c r="O207" t="s">
        <v>143</v>
      </c>
      <c r="P207" t="s">
        <v>143</v>
      </c>
      <c r="Q207" t="s">
        <v>152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J208">
        <v>2</v>
      </c>
      <c r="K208">
        <v>146766.19433692191</v>
      </c>
      <c r="L208">
        <v>152125.58089486</v>
      </c>
      <c r="M208">
        <f t="shared" si="34"/>
        <v>1.0365164919765848</v>
      </c>
      <c r="N208">
        <f t="shared" si="35"/>
        <v>1.0365164919765848</v>
      </c>
      <c r="O208" t="s">
        <v>143</v>
      </c>
      <c r="P208" t="s">
        <v>143</v>
      </c>
      <c r="Q208" t="s">
        <v>153</v>
      </c>
      <c r="R208">
        <v>0</v>
      </c>
      <c r="S208">
        <v>0</v>
      </c>
      <c r="T208" t="s">
        <v>31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45657</v>
      </c>
      <c r="G209">
        <v>2024</v>
      </c>
      <c r="H209" t="s">
        <v>44</v>
      </c>
      <c r="I209" t="s">
        <v>53</v>
      </c>
      <c r="K209">
        <v>289638.45267000003</v>
      </c>
      <c r="L209">
        <v>297867.12192900002</v>
      </c>
      <c r="M209">
        <f t="shared" si="34"/>
        <v>1.0284101409296484</v>
      </c>
      <c r="N209">
        <f t="shared" si="35"/>
        <v>1.0284101409296484</v>
      </c>
      <c r="O209" t="s">
        <v>143</v>
      </c>
      <c r="P209" t="s">
        <v>143</v>
      </c>
      <c r="Q209" t="s">
        <v>153</v>
      </c>
      <c r="R209">
        <v>0</v>
      </c>
      <c r="S209">
        <v>0</v>
      </c>
      <c r="T209" t="s">
        <v>443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45838</v>
      </c>
      <c r="G210">
        <v>2025</v>
      </c>
      <c r="H210" t="s">
        <v>33</v>
      </c>
      <c r="I210" t="s">
        <v>404</v>
      </c>
      <c r="J210">
        <v>1</v>
      </c>
      <c r="K210">
        <v>149950.76733</v>
      </c>
      <c r="L210">
        <v>167595.14529690001</v>
      </c>
      <c r="M210">
        <f t="shared" si="34"/>
        <v>1.1176678071147821</v>
      </c>
      <c r="N210">
        <f t="shared" si="35"/>
        <v>1.1176678071147821</v>
      </c>
      <c r="O210" t="s">
        <v>143</v>
      </c>
      <c r="P210" t="s">
        <v>143</v>
      </c>
      <c r="Q210" t="s">
        <v>426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204</v>
      </c>
      <c r="B211" t="s">
        <v>154</v>
      </c>
      <c r="C211" t="s">
        <v>142</v>
      </c>
      <c r="D211" t="s">
        <v>31</v>
      </c>
      <c r="E211" t="s">
        <v>32</v>
      </c>
      <c r="F211" s="3">
        <v>45291</v>
      </c>
      <c r="G211">
        <v>2023</v>
      </c>
      <c r="H211" t="s">
        <v>44</v>
      </c>
      <c r="I211" t="s">
        <v>49</v>
      </c>
      <c r="J211">
        <v>2</v>
      </c>
      <c r="K211">
        <v>86846.60702431656</v>
      </c>
      <c r="L211">
        <v>141016.76289899999</v>
      </c>
      <c r="M211">
        <v>1.3</v>
      </c>
      <c r="N211">
        <v>1.6237452185036549</v>
      </c>
      <c r="O211" t="s">
        <v>143</v>
      </c>
      <c r="P211" t="s">
        <v>143</v>
      </c>
      <c r="Q211" t="s">
        <v>158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43</v>
      </c>
      <c r="AC211" t="s">
        <v>66</v>
      </c>
    </row>
    <row r="212" spans="1:29" x14ac:dyDescent="0.3">
      <c r="A212">
        <v>204</v>
      </c>
      <c r="B212" t="s">
        <v>154</v>
      </c>
      <c r="C212" t="s">
        <v>142</v>
      </c>
      <c r="D212" t="s">
        <v>31</v>
      </c>
      <c r="E212" t="s">
        <v>32</v>
      </c>
      <c r="F212" s="3">
        <v>45291</v>
      </c>
      <c r="G212">
        <v>2023</v>
      </c>
      <c r="H212" t="s">
        <v>44</v>
      </c>
      <c r="I212" t="s">
        <v>49</v>
      </c>
      <c r="K212">
        <v>86846.60702431656</v>
      </c>
      <c r="L212">
        <v>141016.76289899999</v>
      </c>
      <c r="M212">
        <v>1.3</v>
      </c>
      <c r="N212">
        <v>1.6237452185036549</v>
      </c>
      <c r="O212" t="s">
        <v>143</v>
      </c>
      <c r="P212" t="s">
        <v>143</v>
      </c>
      <c r="Q212" t="s">
        <v>158</v>
      </c>
      <c r="R212">
        <v>0</v>
      </c>
      <c r="S212">
        <v>0</v>
      </c>
      <c r="T212" t="s">
        <v>443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43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45657</v>
      </c>
      <c r="G213">
        <v>2024</v>
      </c>
      <c r="H213" t="s">
        <v>44</v>
      </c>
      <c r="I213" t="s">
        <v>53</v>
      </c>
      <c r="J213">
        <v>2</v>
      </c>
      <c r="K213">
        <v>122440.821151</v>
      </c>
      <c r="L213">
        <v>176962.74882400001</v>
      </c>
      <c r="M213">
        <v>1.3</v>
      </c>
      <c r="N213">
        <v>1.335538462273004</v>
      </c>
      <c r="O213" t="s">
        <v>143</v>
      </c>
      <c r="P213" t="s">
        <v>143</v>
      </c>
      <c r="Q213" t="s">
        <v>160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45657</v>
      </c>
      <c r="G214">
        <v>2024</v>
      </c>
      <c r="H214" t="s">
        <v>44</v>
      </c>
      <c r="I214" t="s">
        <v>53</v>
      </c>
      <c r="K214">
        <v>122440.821151</v>
      </c>
      <c r="L214">
        <v>176962.74882400001</v>
      </c>
      <c r="M214">
        <v>1.3</v>
      </c>
      <c r="N214">
        <v>1.4452920779235949</v>
      </c>
      <c r="O214" t="s">
        <v>143</v>
      </c>
      <c r="P214" t="s">
        <v>143</v>
      </c>
      <c r="Q214" t="s">
        <v>160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46022</v>
      </c>
      <c r="G215">
        <v>2025</v>
      </c>
      <c r="H215" t="s">
        <v>44</v>
      </c>
      <c r="I215" t="s">
        <v>465</v>
      </c>
      <c r="J215">
        <v>2</v>
      </c>
      <c r="L215">
        <f>128448131182/1000000</f>
        <v>128448.131182</v>
      </c>
      <c r="O215" t="s">
        <v>143</v>
      </c>
      <c r="P215" t="s">
        <v>143</v>
      </c>
      <c r="Q215" t="s">
        <v>496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46022</v>
      </c>
      <c r="G216">
        <v>2025</v>
      </c>
      <c r="H216" t="s">
        <v>44</v>
      </c>
      <c r="I216" t="s">
        <v>465</v>
      </c>
      <c r="K216">
        <f>128448131182/1000000</f>
        <v>128448.131182</v>
      </c>
      <c r="L216">
        <f>128448131182/1000000</f>
        <v>128448.131182</v>
      </c>
      <c r="O216" t="s">
        <v>143</v>
      </c>
      <c r="P216" t="s">
        <v>143</v>
      </c>
      <c r="Q216" t="s">
        <v>496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205</v>
      </c>
      <c r="B217" t="s">
        <v>161</v>
      </c>
      <c r="C217" t="s">
        <v>142</v>
      </c>
      <c r="D217" t="s">
        <v>31</v>
      </c>
      <c r="E217" t="s">
        <v>32</v>
      </c>
      <c r="F217" s="3">
        <v>44926</v>
      </c>
      <c r="G217">
        <v>2022</v>
      </c>
      <c r="H217" t="s">
        <v>44</v>
      </c>
      <c r="I217" t="s">
        <v>45</v>
      </c>
      <c r="J217">
        <v>2</v>
      </c>
      <c r="L217">
        <v>2605</v>
      </c>
      <c r="M217">
        <v>1.3</v>
      </c>
      <c r="N217">
        <v>3.597572107981108</v>
      </c>
      <c r="O217" t="s">
        <v>143</v>
      </c>
      <c r="P217" t="s">
        <v>143</v>
      </c>
      <c r="Q217" t="s">
        <v>163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205</v>
      </c>
      <c r="B218" t="s">
        <v>161</v>
      </c>
      <c r="C218" t="s">
        <v>142</v>
      </c>
      <c r="D218" t="s">
        <v>31</v>
      </c>
      <c r="E218" t="s">
        <v>32</v>
      </c>
      <c r="F218" s="3">
        <v>44926</v>
      </c>
      <c r="G218">
        <v>2022</v>
      </c>
      <c r="H218" t="s">
        <v>44</v>
      </c>
      <c r="I218" t="s">
        <v>45</v>
      </c>
      <c r="L218">
        <v>2605</v>
      </c>
      <c r="M218">
        <v>1.3</v>
      </c>
      <c r="N218">
        <v>4.2650764615555667</v>
      </c>
      <c r="O218" t="s">
        <v>143</v>
      </c>
      <c r="P218" t="s">
        <v>143</v>
      </c>
      <c r="Q218" t="s">
        <v>518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45107</v>
      </c>
      <c r="G219">
        <v>2023</v>
      </c>
      <c r="H219" t="s">
        <v>33</v>
      </c>
      <c r="I219" t="s">
        <v>47</v>
      </c>
      <c r="J219">
        <v>1</v>
      </c>
      <c r="K219">
        <v>2622.5539939999999</v>
      </c>
      <c r="L219">
        <v>4338.4199079999999</v>
      </c>
      <c r="M219">
        <v>1.3</v>
      </c>
      <c r="N219">
        <v>1.654272864515139</v>
      </c>
      <c r="O219" t="s">
        <v>143</v>
      </c>
      <c r="P219" t="s">
        <v>143</v>
      </c>
      <c r="Q219" t="s">
        <v>162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45291</v>
      </c>
      <c r="G220">
        <v>2023</v>
      </c>
      <c r="H220" t="s">
        <v>44</v>
      </c>
      <c r="I220" t="s">
        <v>49</v>
      </c>
      <c r="J220">
        <v>2</v>
      </c>
      <c r="K220">
        <v>2041.786670711695</v>
      </c>
      <c r="L220">
        <v>7345.4747770000004</v>
      </c>
      <c r="M220">
        <v>1.3</v>
      </c>
      <c r="N220">
        <v>3.597572107981108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45291</v>
      </c>
      <c r="G221">
        <v>2023</v>
      </c>
      <c r="H221" t="s">
        <v>44</v>
      </c>
      <c r="I221" t="s">
        <v>49</v>
      </c>
      <c r="K221">
        <v>2041.7866710000001</v>
      </c>
      <c r="L221">
        <v>8708.3762700000007</v>
      </c>
      <c r="M221">
        <v>1.3</v>
      </c>
      <c r="N221">
        <v>4.2650764615555667</v>
      </c>
      <c r="O221" t="s">
        <v>143</v>
      </c>
      <c r="P221" t="s">
        <v>143</v>
      </c>
      <c r="Q221" t="s">
        <v>163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45473</v>
      </c>
      <c r="G222">
        <v>2024</v>
      </c>
      <c r="H222" t="s">
        <v>33</v>
      </c>
      <c r="I222" t="s">
        <v>51</v>
      </c>
      <c r="J222">
        <v>1</v>
      </c>
      <c r="K222">
        <v>2039.2370430000001</v>
      </c>
      <c r="L222">
        <v>4385.721681</v>
      </c>
      <c r="M222">
        <v>1.3</v>
      </c>
      <c r="N222">
        <v>2.1506679157553932</v>
      </c>
      <c r="O222" t="s">
        <v>143</v>
      </c>
      <c r="P222" t="s">
        <v>143</v>
      </c>
      <c r="Q222" t="s">
        <v>164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45657</v>
      </c>
      <c r="G223">
        <v>2024</v>
      </c>
      <c r="H223" t="s">
        <v>44</v>
      </c>
      <c r="I223" t="s">
        <v>53</v>
      </c>
      <c r="J223">
        <v>2</v>
      </c>
      <c r="K223">
        <v>2783.2196537144901</v>
      </c>
      <c r="L223">
        <v>5092.3929009999993</v>
      </c>
      <c r="M223">
        <v>1.3</v>
      </c>
      <c r="N223">
        <v>1.829676969334304</v>
      </c>
      <c r="O223" t="s">
        <v>143</v>
      </c>
      <c r="P223" t="s">
        <v>143</v>
      </c>
      <c r="Q223" t="s">
        <v>165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45657</v>
      </c>
      <c r="G224">
        <v>2024</v>
      </c>
      <c r="H224" t="s">
        <v>44</v>
      </c>
      <c r="I224" t="s">
        <v>53</v>
      </c>
      <c r="K224">
        <v>2783.219654</v>
      </c>
      <c r="L224">
        <v>5141.1028649999998</v>
      </c>
      <c r="M224">
        <v>1.3</v>
      </c>
      <c r="N224">
        <v>1.847178269818297</v>
      </c>
      <c r="O224" t="s">
        <v>143</v>
      </c>
      <c r="P224" t="s">
        <v>143</v>
      </c>
      <c r="Q224" t="s">
        <v>165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45838</v>
      </c>
      <c r="G225">
        <v>2025</v>
      </c>
      <c r="H225" t="s">
        <v>33</v>
      </c>
      <c r="I225" t="s">
        <v>404</v>
      </c>
      <c r="J225">
        <v>1</v>
      </c>
      <c r="K225">
        <v>4817.8363419999996</v>
      </c>
      <c r="L225">
        <v>8976.1202028999996</v>
      </c>
      <c r="M225">
        <v>1.3</v>
      </c>
      <c r="N225">
        <v>1.8631019332578229</v>
      </c>
      <c r="O225" t="s">
        <v>143</v>
      </c>
      <c r="P225" t="s">
        <v>143</v>
      </c>
      <c r="Q225" t="s">
        <v>422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46022</v>
      </c>
      <c r="G226">
        <v>2025</v>
      </c>
      <c r="H226" t="s">
        <v>44</v>
      </c>
      <c r="I226" t="s">
        <v>465</v>
      </c>
      <c r="K226">
        <v>4684</v>
      </c>
      <c r="L226">
        <v>4684</v>
      </c>
      <c r="M226">
        <v>1.3</v>
      </c>
      <c r="N226">
        <v>1.8631019332578229</v>
      </c>
      <c r="O226" t="s">
        <v>143</v>
      </c>
      <c r="P226" t="s">
        <v>143</v>
      </c>
      <c r="Q226" t="s">
        <v>422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207</v>
      </c>
      <c r="B227" t="s">
        <v>170</v>
      </c>
      <c r="C227" t="s">
        <v>142</v>
      </c>
      <c r="D227" t="s">
        <v>31</v>
      </c>
      <c r="E227" t="s">
        <v>171</v>
      </c>
      <c r="F227" s="3">
        <v>45107</v>
      </c>
      <c r="G227">
        <v>2023</v>
      </c>
      <c r="H227" t="s">
        <v>33</v>
      </c>
      <c r="I227" t="s">
        <v>47</v>
      </c>
      <c r="J227">
        <v>1</v>
      </c>
      <c r="K227">
        <v>114640.77968199999</v>
      </c>
      <c r="L227">
        <v>116015.126638</v>
      </c>
      <c r="M227">
        <v>0.98815372619220287</v>
      </c>
      <c r="N227">
        <v>0.98815372619220287</v>
      </c>
      <c r="O227" t="s">
        <v>143</v>
      </c>
      <c r="P227" t="s">
        <v>143</v>
      </c>
      <c r="Q227" t="s">
        <v>172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207</v>
      </c>
      <c r="B228" t="s">
        <v>170</v>
      </c>
      <c r="C228" t="s">
        <v>142</v>
      </c>
      <c r="D228" t="s">
        <v>31</v>
      </c>
      <c r="E228" t="s">
        <v>171</v>
      </c>
      <c r="F228" s="3">
        <v>45291</v>
      </c>
      <c r="G228">
        <v>2023</v>
      </c>
      <c r="H228" t="s">
        <v>44</v>
      </c>
      <c r="I228" t="s">
        <v>49</v>
      </c>
      <c r="J228">
        <v>2</v>
      </c>
      <c r="K228">
        <v>238770.96657245801</v>
      </c>
      <c r="L228">
        <v>247359.733075</v>
      </c>
      <c r="M228">
        <v>0.96527823507984689</v>
      </c>
      <c r="N228">
        <v>0.96527823507984689</v>
      </c>
      <c r="O228" t="s">
        <v>143</v>
      </c>
      <c r="P228" t="s">
        <v>143</v>
      </c>
      <c r="Q228" t="s">
        <v>173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45291</v>
      </c>
      <c r="G229">
        <v>2023</v>
      </c>
      <c r="H229" t="s">
        <v>44</v>
      </c>
      <c r="I229" t="s">
        <v>49</v>
      </c>
      <c r="K229">
        <v>238770.96657245801</v>
      </c>
      <c r="L229">
        <v>247359.73307500011</v>
      </c>
      <c r="M229">
        <v>0.96527823507984656</v>
      </c>
      <c r="N229">
        <v>0.96527823507984656</v>
      </c>
      <c r="O229" t="s">
        <v>143</v>
      </c>
      <c r="P229" t="s">
        <v>143</v>
      </c>
      <c r="Q229" t="s">
        <v>173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45473</v>
      </c>
      <c r="G230">
        <v>2024</v>
      </c>
      <c r="H230" t="s">
        <v>33</v>
      </c>
      <c r="I230" t="s">
        <v>51</v>
      </c>
      <c r="J230">
        <v>1</v>
      </c>
      <c r="K230">
        <v>128735.29679399999</v>
      </c>
      <c r="L230">
        <v>131039.3223</v>
      </c>
      <c r="M230">
        <v>1.017897387611471</v>
      </c>
      <c r="N230">
        <v>1.017897387611471</v>
      </c>
      <c r="O230" t="s">
        <v>143</v>
      </c>
      <c r="P230" t="s">
        <v>143</v>
      </c>
      <c r="Q230" t="s">
        <v>174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45657</v>
      </c>
      <c r="G231">
        <v>2024</v>
      </c>
      <c r="H231" t="s">
        <v>44</v>
      </c>
      <c r="I231" t="s">
        <v>53</v>
      </c>
      <c r="J231">
        <v>2</v>
      </c>
      <c r="K231">
        <v>262628.34438982193</v>
      </c>
      <c r="L231">
        <v>268399.19981700002</v>
      </c>
      <c r="M231">
        <v>1.017897387611471</v>
      </c>
      <c r="N231">
        <v>1.017897387611471</v>
      </c>
      <c r="O231" t="s">
        <v>143</v>
      </c>
      <c r="P231" t="s">
        <v>143</v>
      </c>
      <c r="Q231" t="s">
        <v>175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45657</v>
      </c>
      <c r="G232">
        <v>2024</v>
      </c>
      <c r="H232" t="s">
        <v>44</v>
      </c>
      <c r="I232" t="s">
        <v>53</v>
      </c>
      <c r="K232">
        <v>262628.34438999998</v>
      </c>
      <c r="L232">
        <v>268399.19981700002</v>
      </c>
      <c r="M232">
        <v>1.0219734676407599</v>
      </c>
      <c r="N232">
        <v>1.0219734676407599</v>
      </c>
      <c r="O232" t="s">
        <v>143</v>
      </c>
      <c r="P232" t="s">
        <v>143</v>
      </c>
      <c r="Q232" t="s">
        <v>175</v>
      </c>
      <c r="R232">
        <v>0</v>
      </c>
      <c r="S232">
        <v>0</v>
      </c>
      <c r="T232" t="s">
        <v>443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45838</v>
      </c>
      <c r="G233">
        <v>2025</v>
      </c>
      <c r="H233" t="s">
        <v>33</v>
      </c>
      <c r="I233" t="s">
        <v>404</v>
      </c>
      <c r="J233">
        <v>1</v>
      </c>
      <c r="K233">
        <v>131244.07283600001</v>
      </c>
      <c r="L233">
        <v>145546.91852800001</v>
      </c>
      <c r="M233">
        <v>1.108978983834741</v>
      </c>
      <c r="N233">
        <v>1.108978983834741</v>
      </c>
      <c r="O233" t="s">
        <v>143</v>
      </c>
      <c r="P233" t="s">
        <v>143</v>
      </c>
      <c r="Q233" t="s">
        <v>427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s="6" t="s">
        <v>170</v>
      </c>
      <c r="C234" t="s">
        <v>142</v>
      </c>
      <c r="D234" t="s">
        <v>31</v>
      </c>
      <c r="E234" t="s">
        <v>171</v>
      </c>
      <c r="F234" s="3">
        <v>46022</v>
      </c>
      <c r="G234">
        <v>2025</v>
      </c>
      <c r="H234" t="s">
        <v>44</v>
      </c>
      <c r="I234" t="s">
        <v>465</v>
      </c>
      <c r="L234">
        <v>277178.213544</v>
      </c>
      <c r="O234" t="s">
        <v>143</v>
      </c>
      <c r="P234" t="s">
        <v>143</v>
      </c>
      <c r="Q234" t="s">
        <v>502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228</v>
      </c>
      <c r="B235" s="6" t="s">
        <v>176</v>
      </c>
      <c r="C235" t="s">
        <v>177</v>
      </c>
      <c r="D235" t="s">
        <v>66</v>
      </c>
      <c r="E235" t="s">
        <v>32</v>
      </c>
      <c r="F235" s="3">
        <v>44926</v>
      </c>
      <c r="G235">
        <v>2022</v>
      </c>
      <c r="H235" t="s">
        <v>44</v>
      </c>
      <c r="I235" t="s">
        <v>45</v>
      </c>
      <c r="J235">
        <v>2</v>
      </c>
      <c r="K235">
        <v>170.99</v>
      </c>
      <c r="L235">
        <v>235</v>
      </c>
      <c r="M235">
        <f>+L235/K235</f>
        <v>1.3743493771565587</v>
      </c>
      <c r="N235">
        <f>+L235/K235</f>
        <v>1.3743493771565587</v>
      </c>
      <c r="O235" t="s">
        <v>445</v>
      </c>
      <c r="P235" t="s">
        <v>445</v>
      </c>
      <c r="Q235" t="s">
        <v>178</v>
      </c>
      <c r="R235">
        <v>1</v>
      </c>
      <c r="S235">
        <v>0</v>
      </c>
      <c r="T235" t="s">
        <v>31</v>
      </c>
      <c r="U235" t="s">
        <v>37</v>
      </c>
      <c r="V235" t="s">
        <v>177</v>
      </c>
      <c r="W235" t="s">
        <v>145</v>
      </c>
      <c r="X235" t="s">
        <v>179</v>
      </c>
      <c r="Y235" t="s">
        <v>180</v>
      </c>
      <c r="Z235" t="s">
        <v>63</v>
      </c>
      <c r="AA235" t="s">
        <v>64</v>
      </c>
      <c r="AB235" t="s">
        <v>43</v>
      </c>
      <c r="AC235" t="s">
        <v>66</v>
      </c>
    </row>
    <row r="236" spans="1:29" x14ac:dyDescent="0.3">
      <c r="A236">
        <v>228</v>
      </c>
      <c r="B236" s="6" t="s">
        <v>176</v>
      </c>
      <c r="C236" t="s">
        <v>177</v>
      </c>
      <c r="D236" t="s">
        <v>66</v>
      </c>
      <c r="E236" t="s">
        <v>32</v>
      </c>
      <c r="F236" s="3">
        <v>44926</v>
      </c>
      <c r="G236">
        <v>2022</v>
      </c>
      <c r="H236" t="s">
        <v>44</v>
      </c>
      <c r="I236" t="s">
        <v>45</v>
      </c>
      <c r="K236">
        <v>170.99</v>
      </c>
      <c r="L236">
        <v>235</v>
      </c>
      <c r="M236">
        <f t="shared" ref="M236:M240" si="36">+L236/K236</f>
        <v>1.3743493771565587</v>
      </c>
      <c r="N236">
        <f t="shared" ref="N236:N240" si="37">+L236/K236</f>
        <v>1.3743493771565587</v>
      </c>
      <c r="O236" t="s">
        <v>445</v>
      </c>
      <c r="P236" t="s">
        <v>445</v>
      </c>
      <c r="Q236" t="s">
        <v>178</v>
      </c>
      <c r="R236">
        <v>1</v>
      </c>
      <c r="S236">
        <v>0</v>
      </c>
      <c r="T236" t="s">
        <v>443</v>
      </c>
      <c r="U236" t="s">
        <v>37</v>
      </c>
      <c r="V236" t="s">
        <v>177</v>
      </c>
      <c r="W236" t="s">
        <v>145</v>
      </c>
      <c r="X236" t="s">
        <v>179</v>
      </c>
      <c r="Y236" t="s">
        <v>180</v>
      </c>
      <c r="Z236" t="s">
        <v>63</v>
      </c>
      <c r="AA236" t="s">
        <v>64</v>
      </c>
      <c r="AB236" t="s">
        <v>43</v>
      </c>
      <c r="AC236" t="s">
        <v>66</v>
      </c>
    </row>
    <row r="237" spans="1:29" x14ac:dyDescent="0.3">
      <c r="A237">
        <v>228</v>
      </c>
      <c r="B237" t="s">
        <v>176</v>
      </c>
      <c r="C237" t="s">
        <v>177</v>
      </c>
      <c r="D237" t="s">
        <v>66</v>
      </c>
      <c r="E237" t="s">
        <v>32</v>
      </c>
      <c r="F237" s="3">
        <v>45291</v>
      </c>
      <c r="G237">
        <v>2023</v>
      </c>
      <c r="H237" t="s">
        <v>44</v>
      </c>
      <c r="I237" t="s">
        <v>49</v>
      </c>
      <c r="J237">
        <v>2</v>
      </c>
      <c r="K237">
        <v>476.48</v>
      </c>
      <c r="L237">
        <v>477</v>
      </c>
      <c r="M237">
        <f t="shared" si="36"/>
        <v>1.0010913364674279</v>
      </c>
      <c r="N237">
        <f t="shared" si="37"/>
        <v>1.0010913364674279</v>
      </c>
      <c r="O237" t="s">
        <v>445</v>
      </c>
      <c r="P237" t="s">
        <v>445</v>
      </c>
      <c r="Q237" t="s">
        <v>453</v>
      </c>
      <c r="R237">
        <v>1</v>
      </c>
      <c r="S237">
        <v>0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t="s">
        <v>176</v>
      </c>
      <c r="C238" t="s">
        <v>177</v>
      </c>
      <c r="D238" t="s">
        <v>66</v>
      </c>
      <c r="E238" t="s">
        <v>32</v>
      </c>
      <c r="F238" s="3">
        <v>45657</v>
      </c>
      <c r="G238">
        <v>2023</v>
      </c>
      <c r="H238" t="s">
        <v>44</v>
      </c>
      <c r="I238" t="s">
        <v>49</v>
      </c>
      <c r="K238">
        <v>476.48</v>
      </c>
      <c r="L238">
        <v>477</v>
      </c>
      <c r="M238">
        <f t="shared" si="36"/>
        <v>1.0010913364674279</v>
      </c>
      <c r="N238">
        <f t="shared" si="37"/>
        <v>1.0010913364674279</v>
      </c>
      <c r="O238" t="s">
        <v>445</v>
      </c>
      <c r="P238" t="s">
        <v>445</v>
      </c>
      <c r="Q238" t="s">
        <v>453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J239">
        <v>2</v>
      </c>
      <c r="K239">
        <v>622.69000000000005</v>
      </c>
      <c r="L239">
        <v>622.68999999999994</v>
      </c>
      <c r="M239">
        <f t="shared" si="36"/>
        <v>0.99999999999999978</v>
      </c>
      <c r="N239">
        <f t="shared" si="37"/>
        <v>0.99999999999999978</v>
      </c>
      <c r="O239" t="s">
        <v>445</v>
      </c>
      <c r="P239" t="s">
        <v>445</v>
      </c>
      <c r="Q239" t="s">
        <v>181</v>
      </c>
      <c r="R239">
        <v>1</v>
      </c>
      <c r="S239">
        <v>1</v>
      </c>
      <c r="T239" t="s">
        <v>31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K240">
        <v>622.69000000000005</v>
      </c>
      <c r="L240">
        <v>622.68999999999994</v>
      </c>
      <c r="M240">
        <f t="shared" si="36"/>
        <v>0.99999999999999978</v>
      </c>
      <c r="N240">
        <f t="shared" si="37"/>
        <v>0.99999999999999978</v>
      </c>
      <c r="O240" t="s">
        <v>445</v>
      </c>
      <c r="P240" t="s">
        <v>445</v>
      </c>
      <c r="Q240" t="s">
        <v>181</v>
      </c>
      <c r="R240">
        <v>1</v>
      </c>
      <c r="S240">
        <v>1</v>
      </c>
      <c r="T240" t="s">
        <v>443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244</v>
      </c>
      <c r="B241" t="s">
        <v>182</v>
      </c>
      <c r="C241" t="s">
        <v>177</v>
      </c>
      <c r="D241" t="s">
        <v>66</v>
      </c>
      <c r="E241" t="s">
        <v>171</v>
      </c>
      <c r="F241" s="3">
        <v>44926</v>
      </c>
      <c r="G241">
        <v>2022</v>
      </c>
      <c r="H241" t="s">
        <v>44</v>
      </c>
      <c r="I241" t="s">
        <v>45</v>
      </c>
      <c r="J241">
        <v>2</v>
      </c>
      <c r="K241">
        <v>27</v>
      </c>
      <c r="L241">
        <v>27</v>
      </c>
      <c r="M241">
        <f>IF(K241/L241&gt;1.3,1.3,K241/L241)</f>
        <v>1</v>
      </c>
      <c r="N241">
        <f>+K241/L241</f>
        <v>1</v>
      </c>
      <c r="O241" t="s">
        <v>35</v>
      </c>
      <c r="P241" t="s">
        <v>35</v>
      </c>
      <c r="Q241" t="s">
        <v>446</v>
      </c>
      <c r="R241">
        <v>0</v>
      </c>
      <c r="S241">
        <v>0</v>
      </c>
      <c r="T241" t="s">
        <v>31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244</v>
      </c>
      <c r="B242" t="s">
        <v>182</v>
      </c>
      <c r="C242" t="s">
        <v>177</v>
      </c>
      <c r="D242" t="s">
        <v>66</v>
      </c>
      <c r="E242" t="s">
        <v>171</v>
      </c>
      <c r="F242" s="3">
        <v>44926</v>
      </c>
      <c r="G242">
        <v>2022</v>
      </c>
      <c r="H242" t="s">
        <v>44</v>
      </c>
      <c r="I242" t="s">
        <v>45</v>
      </c>
      <c r="K242">
        <v>27</v>
      </c>
      <c r="L242">
        <v>27</v>
      </c>
      <c r="M242">
        <f t="shared" ref="M242:M247" si="38">IF(K242/L242&gt;1.3,1.3,K242/L242)</f>
        <v>1</v>
      </c>
      <c r="N242">
        <f t="shared" ref="N242:N247" si="39">+K242/L242</f>
        <v>1</v>
      </c>
      <c r="O242" t="s">
        <v>35</v>
      </c>
      <c r="P242" t="s">
        <v>35</v>
      </c>
      <c r="Q242" t="s">
        <v>446</v>
      </c>
      <c r="R242">
        <v>0</v>
      </c>
      <c r="S242">
        <v>0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25</v>
      </c>
      <c r="L243">
        <v>24</v>
      </c>
      <c r="M243">
        <f t="shared" si="38"/>
        <v>1.0416666666666667</v>
      </c>
      <c r="N243">
        <f t="shared" si="39"/>
        <v>1.0416666666666667</v>
      </c>
      <c r="O243" t="s">
        <v>35</v>
      </c>
      <c r="P243" t="s">
        <v>35</v>
      </c>
      <c r="Q243" t="s">
        <v>183</v>
      </c>
      <c r="R243">
        <v>0</v>
      </c>
      <c r="S243">
        <v>0</v>
      </c>
      <c r="T243" t="s">
        <v>31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25</v>
      </c>
      <c r="L244">
        <v>24</v>
      </c>
      <c r="M244">
        <f t="shared" si="38"/>
        <v>1.0416666666666667</v>
      </c>
      <c r="N244">
        <f t="shared" si="39"/>
        <v>1.0416666666666667</v>
      </c>
      <c r="O244" t="s">
        <v>35</v>
      </c>
      <c r="P244" t="s">
        <v>35</v>
      </c>
      <c r="Q244" t="s">
        <v>183</v>
      </c>
      <c r="R244">
        <v>0</v>
      </c>
      <c r="S244">
        <v>0</v>
      </c>
      <c r="T244" t="s">
        <v>443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J245">
        <v>2</v>
      </c>
      <c r="K245">
        <v>25</v>
      </c>
      <c r="L245">
        <v>25</v>
      </c>
      <c r="M245">
        <f t="shared" si="38"/>
        <v>1</v>
      </c>
      <c r="N245">
        <f t="shared" si="39"/>
        <v>1</v>
      </c>
      <c r="O245" t="s">
        <v>35</v>
      </c>
      <c r="P245" t="s">
        <v>35</v>
      </c>
      <c r="Q245" t="s">
        <v>184</v>
      </c>
      <c r="R245">
        <v>0</v>
      </c>
      <c r="S245">
        <v>0</v>
      </c>
      <c r="T245" t="s">
        <v>31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K246">
        <v>25</v>
      </c>
      <c r="L246">
        <v>25</v>
      </c>
      <c r="M246">
        <f t="shared" si="38"/>
        <v>1</v>
      </c>
      <c r="N246">
        <f t="shared" si="39"/>
        <v>1</v>
      </c>
      <c r="O246" t="s">
        <v>35</v>
      </c>
      <c r="P246" t="s">
        <v>35</v>
      </c>
      <c r="Q246" t="s">
        <v>184</v>
      </c>
      <c r="R246">
        <v>0</v>
      </c>
      <c r="S246">
        <v>0</v>
      </c>
      <c r="T246" t="s">
        <v>443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46022</v>
      </c>
      <c r="G247">
        <v>2025</v>
      </c>
      <c r="H247" t="s">
        <v>44</v>
      </c>
      <c r="I247" t="s">
        <v>465</v>
      </c>
      <c r="J247">
        <v>2</v>
      </c>
      <c r="K247">
        <v>25</v>
      </c>
      <c r="L247">
        <v>13</v>
      </c>
      <c r="M247">
        <f t="shared" si="38"/>
        <v>1.3</v>
      </c>
      <c r="N247">
        <f t="shared" si="39"/>
        <v>1.9230769230769231</v>
      </c>
      <c r="O247" t="s">
        <v>35</v>
      </c>
      <c r="P247" t="s">
        <v>35</v>
      </c>
      <c r="Q247" t="s">
        <v>501</v>
      </c>
      <c r="R247">
        <v>0</v>
      </c>
      <c r="S247">
        <v>0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245</v>
      </c>
      <c r="B248" t="s">
        <v>185</v>
      </c>
      <c r="C248" t="s">
        <v>186</v>
      </c>
      <c r="D248" t="s">
        <v>31</v>
      </c>
      <c r="E248" t="s">
        <v>32</v>
      </c>
      <c r="F248" s="3">
        <v>44742</v>
      </c>
      <c r="G248">
        <v>2022</v>
      </c>
      <c r="H248" t="s">
        <v>33</v>
      </c>
      <c r="I248" t="s">
        <v>34</v>
      </c>
      <c r="J248">
        <v>1</v>
      </c>
      <c r="K248">
        <v>88.5</v>
      </c>
      <c r="L248">
        <v>87</v>
      </c>
      <c r="M248">
        <f>+L248/K248</f>
        <v>0.98305084745762716</v>
      </c>
      <c r="N248">
        <f>+L248/K248</f>
        <v>0.98305084745762716</v>
      </c>
      <c r="O248" t="s">
        <v>58</v>
      </c>
      <c r="P248" t="s">
        <v>58</v>
      </c>
      <c r="Q248" t="s">
        <v>187</v>
      </c>
      <c r="R248">
        <v>0</v>
      </c>
      <c r="S248">
        <v>0</v>
      </c>
      <c r="T248" t="s">
        <v>31</v>
      </c>
      <c r="U248" t="s">
        <v>37</v>
      </c>
      <c r="V248" t="s">
        <v>186</v>
      </c>
      <c r="W248" t="s">
        <v>112</v>
      </c>
      <c r="X248" t="s">
        <v>113</v>
      </c>
      <c r="Y248" t="s">
        <v>123</v>
      </c>
      <c r="Z248" t="s">
        <v>41</v>
      </c>
      <c r="AA248" t="s">
        <v>42</v>
      </c>
      <c r="AB248" t="s">
        <v>65</v>
      </c>
      <c r="AC248" t="s">
        <v>31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J249">
        <v>2</v>
      </c>
      <c r="K249">
        <v>88.5</v>
      </c>
      <c r="L249">
        <v>85.9</v>
      </c>
      <c r="M249">
        <f t="shared" ref="M249:M258" si="40">+L249/K249</f>
        <v>0.97062146892655377</v>
      </c>
      <c r="N249">
        <f t="shared" ref="N249:N258" si="41">+L249/K249</f>
        <v>0.97062146892655377</v>
      </c>
      <c r="O249" t="s">
        <v>58</v>
      </c>
      <c r="P249" t="s">
        <v>58</v>
      </c>
      <c r="Q249" t="s">
        <v>188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K250">
        <v>88.5</v>
      </c>
      <c r="L250">
        <v>85.9</v>
      </c>
      <c r="M250">
        <f t="shared" si="40"/>
        <v>0.97062146892655377</v>
      </c>
      <c r="N250">
        <f t="shared" si="41"/>
        <v>0.97062146892655377</v>
      </c>
      <c r="O250" t="s">
        <v>58</v>
      </c>
      <c r="P250" t="s">
        <v>58</v>
      </c>
      <c r="Q250" t="s">
        <v>188</v>
      </c>
      <c r="R250">
        <v>1</v>
      </c>
      <c r="S250">
        <v>0</v>
      </c>
      <c r="T250" t="s">
        <v>443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45107</v>
      </c>
      <c r="G251">
        <v>2023</v>
      </c>
      <c r="H251" t="s">
        <v>33</v>
      </c>
      <c r="I251" t="s">
        <v>47</v>
      </c>
      <c r="J251">
        <v>1</v>
      </c>
      <c r="K251">
        <v>87</v>
      </c>
      <c r="L251">
        <v>85.12</v>
      </c>
      <c r="M251">
        <f t="shared" si="40"/>
        <v>0.97839080459770122</v>
      </c>
      <c r="N251">
        <f t="shared" si="41"/>
        <v>0.97839080459770122</v>
      </c>
      <c r="O251" t="s">
        <v>58</v>
      </c>
      <c r="P251" t="s">
        <v>58</v>
      </c>
      <c r="Q251" t="s">
        <v>189</v>
      </c>
      <c r="R251">
        <v>0</v>
      </c>
      <c r="S251">
        <v>0</v>
      </c>
      <c r="T251" t="s">
        <v>31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J252">
        <v>2</v>
      </c>
      <c r="K252">
        <v>87</v>
      </c>
      <c r="L252">
        <v>85.38</v>
      </c>
      <c r="M252">
        <f t="shared" si="40"/>
        <v>0.9813793103448275</v>
      </c>
      <c r="N252">
        <f t="shared" si="41"/>
        <v>0.9813793103448275</v>
      </c>
      <c r="O252" t="s">
        <v>58</v>
      </c>
      <c r="P252" t="s">
        <v>58</v>
      </c>
      <c r="Q252" t="s">
        <v>190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K253">
        <v>87</v>
      </c>
      <c r="L253">
        <v>85.38</v>
      </c>
      <c r="M253">
        <f t="shared" si="40"/>
        <v>0.9813793103448275</v>
      </c>
      <c r="N253">
        <f t="shared" si="41"/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1</v>
      </c>
      <c r="T253" t="s">
        <v>443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45473</v>
      </c>
      <c r="G254">
        <v>2024</v>
      </c>
      <c r="H254" t="s">
        <v>33</v>
      </c>
      <c r="I254" t="s">
        <v>51</v>
      </c>
      <c r="J254">
        <v>1</v>
      </c>
      <c r="K254">
        <v>85</v>
      </c>
      <c r="L254">
        <v>85.13</v>
      </c>
      <c r="M254">
        <f t="shared" si="40"/>
        <v>1.0015294117647058</v>
      </c>
      <c r="N254">
        <f t="shared" si="41"/>
        <v>1.0015294117647058</v>
      </c>
      <c r="O254" t="s">
        <v>58</v>
      </c>
      <c r="P254" t="s">
        <v>58</v>
      </c>
      <c r="Q254" t="s">
        <v>191</v>
      </c>
      <c r="R254">
        <v>0</v>
      </c>
      <c r="S254">
        <v>0</v>
      </c>
      <c r="T254" t="s">
        <v>31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45657</v>
      </c>
      <c r="G255">
        <v>2024</v>
      </c>
      <c r="H255" t="s">
        <v>44</v>
      </c>
      <c r="I255" t="s">
        <v>53</v>
      </c>
      <c r="J255">
        <v>2</v>
      </c>
      <c r="K255">
        <v>85</v>
      </c>
      <c r="L255">
        <v>85.19</v>
      </c>
      <c r="M255">
        <f t="shared" si="40"/>
        <v>1.0022352941176471</v>
      </c>
      <c r="N255">
        <f t="shared" si="41"/>
        <v>1.0022352941176471</v>
      </c>
      <c r="O255" t="s">
        <v>58</v>
      </c>
      <c r="P255" t="s">
        <v>58</v>
      </c>
      <c r="Q255" t="s">
        <v>192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K256">
        <v>85</v>
      </c>
      <c r="L256">
        <v>85.19</v>
      </c>
      <c r="M256">
        <f t="shared" si="40"/>
        <v>1.0022352941176471</v>
      </c>
      <c r="N256">
        <f t="shared" si="41"/>
        <v>1.0022352941176471</v>
      </c>
      <c r="O256" t="s">
        <v>58</v>
      </c>
      <c r="P256" t="s">
        <v>58</v>
      </c>
      <c r="Q256" t="s">
        <v>192</v>
      </c>
      <c r="R256">
        <v>0</v>
      </c>
      <c r="S256">
        <v>1</v>
      </c>
      <c r="T256" t="s">
        <v>443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45838</v>
      </c>
      <c r="G257">
        <v>2025</v>
      </c>
      <c r="H257" t="s">
        <v>33</v>
      </c>
      <c r="I257" t="s">
        <v>404</v>
      </c>
      <c r="J257">
        <v>1</v>
      </c>
      <c r="K257">
        <v>85.7</v>
      </c>
      <c r="L257">
        <v>86.5</v>
      </c>
      <c r="M257">
        <f t="shared" si="40"/>
        <v>1.0093348891481912</v>
      </c>
      <c r="N257">
        <f t="shared" si="41"/>
        <v>1.0093348891481912</v>
      </c>
      <c r="O257" t="s">
        <v>58</v>
      </c>
      <c r="P257" t="s">
        <v>58</v>
      </c>
      <c r="Q257" t="s">
        <v>421</v>
      </c>
      <c r="R257">
        <v>1</v>
      </c>
      <c r="S257">
        <v>1</v>
      </c>
      <c r="T257" t="s">
        <v>31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86.1</v>
      </c>
      <c r="L258">
        <v>86.2</v>
      </c>
      <c r="M258">
        <f t="shared" si="40"/>
        <v>1.0011614401858304</v>
      </c>
      <c r="N258">
        <f t="shared" si="41"/>
        <v>1.0011614401858304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274</v>
      </c>
      <c r="B259" t="s">
        <v>480</v>
      </c>
      <c r="C259" t="s">
        <v>194</v>
      </c>
      <c r="D259" t="s">
        <v>31</v>
      </c>
      <c r="E259" t="s">
        <v>32</v>
      </c>
      <c r="F259" s="3">
        <v>43281</v>
      </c>
      <c r="G259">
        <f t="shared" ref="G259:G270" si="42">YEAR(F259)</f>
        <v>2018</v>
      </c>
      <c r="H259" t="str">
        <f t="shared" ref="H259:H270" si="43">PROPER(TEXT(F259,"mmmm"))</f>
        <v>Junio</v>
      </c>
      <c r="I259" t="str">
        <f t="shared" ref="I259:I270" si="44">IF(H259="Junio",G259&amp;"-1",G259&amp;"-2")</f>
        <v>2018-1</v>
      </c>
      <c r="J259">
        <v>1</v>
      </c>
      <c r="L259" s="4">
        <v>37269</v>
      </c>
      <c r="O259" t="s">
        <v>35</v>
      </c>
      <c r="P259" t="s">
        <v>35</v>
      </c>
      <c r="Q259" t="str">
        <f t="shared" ref="Q259:Q270" si="45">A259&amp;"-"&amp;TEXT(F259,"yyyy-mm-dd")</f>
        <v>274-2018-06-30</v>
      </c>
      <c r="R259">
        <v>0</v>
      </c>
      <c r="S259">
        <v>0</v>
      </c>
      <c r="T259" t="s">
        <v>31</v>
      </c>
      <c r="U259" t="s">
        <v>37</v>
      </c>
      <c r="V259" t="s">
        <v>194</v>
      </c>
      <c r="W259" t="s">
        <v>38</v>
      </c>
      <c r="X259" t="s">
        <v>39</v>
      </c>
      <c r="Y259" t="s">
        <v>40</v>
      </c>
      <c r="Z259" t="s">
        <v>41</v>
      </c>
      <c r="AA259" t="s">
        <v>42</v>
      </c>
      <c r="AB259" t="s">
        <v>43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43465</v>
      </c>
      <c r="G260">
        <f t="shared" si="42"/>
        <v>2018</v>
      </c>
      <c r="H260" t="str">
        <f t="shared" si="43"/>
        <v>Diciembre</v>
      </c>
      <c r="I260" t="str">
        <f t="shared" si="44"/>
        <v>2018-2</v>
      </c>
      <c r="J260">
        <v>2</v>
      </c>
      <c r="L260" s="4">
        <v>39789</v>
      </c>
      <c r="O260" t="s">
        <v>35</v>
      </c>
      <c r="P260" t="s">
        <v>35</v>
      </c>
      <c r="Q260" t="str">
        <f t="shared" si="45"/>
        <v>274-2018-12-31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43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42"/>
        <v>2018</v>
      </c>
      <c r="H261" t="str">
        <f t="shared" si="43"/>
        <v>Diciembre</v>
      </c>
      <c r="I261" t="str">
        <f t="shared" si="44"/>
        <v>2018-2</v>
      </c>
      <c r="L261" s="4">
        <v>39789</v>
      </c>
      <c r="O261" t="s">
        <v>35</v>
      </c>
      <c r="P261" t="s">
        <v>35</v>
      </c>
      <c r="Q261" t="str">
        <f t="shared" si="45"/>
        <v>274-2018-12-31</v>
      </c>
      <c r="R261">
        <v>0</v>
      </c>
      <c r="S261">
        <v>0</v>
      </c>
      <c r="T261" t="s">
        <v>443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43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43646</v>
      </c>
      <c r="G262">
        <f t="shared" si="42"/>
        <v>2019</v>
      </c>
      <c r="H262" t="str">
        <f t="shared" si="43"/>
        <v>Junio</v>
      </c>
      <c r="I262" t="str">
        <f t="shared" si="44"/>
        <v>2019-1</v>
      </c>
      <c r="J262">
        <v>1</v>
      </c>
      <c r="L262" s="4">
        <v>41502</v>
      </c>
      <c r="O262" t="s">
        <v>35</v>
      </c>
      <c r="P262" t="s">
        <v>35</v>
      </c>
      <c r="Q262" t="str">
        <f t="shared" si="45"/>
        <v>274-2019-06-30</v>
      </c>
      <c r="R262">
        <v>0</v>
      </c>
      <c r="S262">
        <v>0</v>
      </c>
      <c r="T262" t="s">
        <v>31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43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43830</v>
      </c>
      <c r="G263">
        <f t="shared" si="42"/>
        <v>2019</v>
      </c>
      <c r="H263" t="str">
        <f t="shared" si="43"/>
        <v>Diciembre</v>
      </c>
      <c r="I263" t="str">
        <f t="shared" si="44"/>
        <v>2019-2</v>
      </c>
      <c r="J263">
        <v>2</v>
      </c>
      <c r="L263" s="4">
        <v>43581</v>
      </c>
      <c r="O263" t="s">
        <v>35</v>
      </c>
      <c r="P263" t="s">
        <v>35</v>
      </c>
      <c r="Q263" t="str">
        <f t="shared" si="45"/>
        <v>274-2019-12-31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43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42"/>
        <v>2019</v>
      </c>
      <c r="H264" t="str">
        <f t="shared" si="43"/>
        <v>Diciembre</v>
      </c>
      <c r="I264" t="str">
        <f t="shared" si="44"/>
        <v>2019-2</v>
      </c>
      <c r="L264" s="4">
        <v>43581</v>
      </c>
      <c r="O264" t="s">
        <v>35</v>
      </c>
      <c r="P264" t="s">
        <v>35</v>
      </c>
      <c r="Q264" t="str">
        <f t="shared" si="45"/>
        <v>274-2019-12-31</v>
      </c>
      <c r="R264">
        <v>0</v>
      </c>
      <c r="S264">
        <v>0</v>
      </c>
      <c r="T264" t="s">
        <v>443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43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44012</v>
      </c>
      <c r="G265">
        <f t="shared" si="42"/>
        <v>2020</v>
      </c>
      <c r="H265" t="str">
        <f t="shared" si="43"/>
        <v>Junio</v>
      </c>
      <c r="I265" t="str">
        <f t="shared" si="44"/>
        <v>2020-1</v>
      </c>
      <c r="J265">
        <v>1</v>
      </c>
      <c r="L265" s="4">
        <v>43711</v>
      </c>
      <c r="O265" t="s">
        <v>35</v>
      </c>
      <c r="P265" t="s">
        <v>35</v>
      </c>
      <c r="Q265" t="str">
        <f t="shared" si="45"/>
        <v>274-2020-06-30</v>
      </c>
      <c r="R265">
        <v>0</v>
      </c>
      <c r="S265">
        <v>0</v>
      </c>
      <c r="T265" t="s">
        <v>31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43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44196</v>
      </c>
      <c r="G266">
        <f t="shared" si="42"/>
        <v>2020</v>
      </c>
      <c r="H266" t="str">
        <f t="shared" si="43"/>
        <v>Diciembre</v>
      </c>
      <c r="I266" t="str">
        <f t="shared" si="44"/>
        <v>2020-2</v>
      </c>
      <c r="J266">
        <v>2</v>
      </c>
      <c r="L266" s="4">
        <v>41013</v>
      </c>
      <c r="O266" t="s">
        <v>35</v>
      </c>
      <c r="P266" t="s">
        <v>35</v>
      </c>
      <c r="Q266" t="str">
        <f t="shared" si="45"/>
        <v>274-2020-12-31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43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42"/>
        <v>2020</v>
      </c>
      <c r="H267" t="str">
        <f t="shared" si="43"/>
        <v>Diciembre</v>
      </c>
      <c r="I267" t="str">
        <f t="shared" si="44"/>
        <v>2020-2</v>
      </c>
      <c r="L267" s="4">
        <v>41013</v>
      </c>
      <c r="O267" t="s">
        <v>35</v>
      </c>
      <c r="P267" t="s">
        <v>35</v>
      </c>
      <c r="Q267" t="str">
        <f t="shared" si="45"/>
        <v>274-2020-12-31</v>
      </c>
      <c r="R267">
        <v>0</v>
      </c>
      <c r="S267">
        <v>0</v>
      </c>
      <c r="T267" t="s">
        <v>443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43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44377</v>
      </c>
      <c r="G268">
        <f t="shared" si="42"/>
        <v>2021</v>
      </c>
      <c r="H268" t="str">
        <f t="shared" si="43"/>
        <v>Junio</v>
      </c>
      <c r="I268" t="str">
        <f t="shared" si="44"/>
        <v>2021-1</v>
      </c>
      <c r="J268">
        <v>1</v>
      </c>
      <c r="L268" s="4">
        <v>41394</v>
      </c>
      <c r="O268" t="s">
        <v>35</v>
      </c>
      <c r="P268" t="s">
        <v>35</v>
      </c>
      <c r="Q268" t="str">
        <f t="shared" si="45"/>
        <v>274-2021-06-30</v>
      </c>
      <c r="R268">
        <v>0</v>
      </c>
      <c r="S268">
        <v>0</v>
      </c>
      <c r="T268" t="s">
        <v>31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43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44561</v>
      </c>
      <c r="G269">
        <f t="shared" si="42"/>
        <v>2021</v>
      </c>
      <c r="H269" t="str">
        <f t="shared" si="43"/>
        <v>Diciembre</v>
      </c>
      <c r="I269" t="str">
        <f t="shared" si="44"/>
        <v>2021-2</v>
      </c>
      <c r="J269">
        <v>2</v>
      </c>
      <c r="L269" s="4">
        <v>40937</v>
      </c>
      <c r="O269" t="s">
        <v>35</v>
      </c>
      <c r="P269" t="s">
        <v>35</v>
      </c>
      <c r="Q269" t="str">
        <f t="shared" si="45"/>
        <v>274-2021-12-31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43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42"/>
        <v>2021</v>
      </c>
      <c r="H270" t="str">
        <f t="shared" si="43"/>
        <v>Diciembre</v>
      </c>
      <c r="I270" t="str">
        <f t="shared" si="44"/>
        <v>2021-2</v>
      </c>
      <c r="L270" s="4">
        <v>40937</v>
      </c>
      <c r="O270" t="s">
        <v>35</v>
      </c>
      <c r="P270" t="s">
        <v>35</v>
      </c>
      <c r="Q270" t="str">
        <f t="shared" si="45"/>
        <v>274-2021-12-31</v>
      </c>
      <c r="R270">
        <v>0</v>
      </c>
      <c r="S270">
        <v>0</v>
      </c>
      <c r="T270" t="s">
        <v>443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43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44742</v>
      </c>
      <c r="G271">
        <v>2022</v>
      </c>
      <c r="H271" t="s">
        <v>33</v>
      </c>
      <c r="I271" t="s">
        <v>34</v>
      </c>
      <c r="J271">
        <v>1</v>
      </c>
      <c r="K271">
        <v>39623</v>
      </c>
      <c r="L271">
        <v>40000</v>
      </c>
      <c r="M271">
        <f>+L271/K271</f>
        <v>1.0095146758195996</v>
      </c>
      <c r="N271">
        <f>+L271/K271</f>
        <v>1.0095146758195996</v>
      </c>
      <c r="O271" t="s">
        <v>35</v>
      </c>
      <c r="P271" t="s">
        <v>35</v>
      </c>
      <c r="Q271" t="s">
        <v>195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43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44926</v>
      </c>
      <c r="G272">
        <v>2022</v>
      </c>
      <c r="H272" t="s">
        <v>44</v>
      </c>
      <c r="I272" t="s">
        <v>45</v>
      </c>
      <c r="J272">
        <v>2</v>
      </c>
      <c r="K272">
        <v>39817</v>
      </c>
      <c r="L272">
        <v>40663</v>
      </c>
      <c r="M272">
        <f t="shared" ref="M272:M282" si="46">+L272/K272</f>
        <v>1.0212472059673003</v>
      </c>
      <c r="N272">
        <f t="shared" ref="N272:N282" si="47">+L272/K272</f>
        <v>1.0212472059673003</v>
      </c>
      <c r="O272" t="s">
        <v>35</v>
      </c>
      <c r="P272" t="s">
        <v>35</v>
      </c>
      <c r="Q272" t="s">
        <v>196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43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K273">
        <v>39817</v>
      </c>
      <c r="L273">
        <v>40663</v>
      </c>
      <c r="M273">
        <f t="shared" si="46"/>
        <v>1.0212472059673003</v>
      </c>
      <c r="N273">
        <f t="shared" si="47"/>
        <v>1.0212472059673003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43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45107</v>
      </c>
      <c r="G274">
        <v>2023</v>
      </c>
      <c r="H274" t="s">
        <v>33</v>
      </c>
      <c r="I274" t="s">
        <v>47</v>
      </c>
      <c r="J274">
        <v>1</v>
      </c>
      <c r="K274">
        <v>40047</v>
      </c>
      <c r="L274">
        <v>39091</v>
      </c>
      <c r="M274">
        <f t="shared" si="46"/>
        <v>0.97612804954178845</v>
      </c>
      <c r="N274">
        <f t="shared" si="47"/>
        <v>0.97612804954178845</v>
      </c>
      <c r="O274" t="s">
        <v>35</v>
      </c>
      <c r="P274" t="s">
        <v>35</v>
      </c>
      <c r="Q274" t="s">
        <v>197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43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45291</v>
      </c>
      <c r="G275">
        <v>2023</v>
      </c>
      <c r="H275" t="s">
        <v>44</v>
      </c>
      <c r="I275" t="s">
        <v>49</v>
      </c>
      <c r="J275">
        <v>2</v>
      </c>
      <c r="K275">
        <v>41811</v>
      </c>
      <c r="L275">
        <v>40771</v>
      </c>
      <c r="M275">
        <f t="shared" si="46"/>
        <v>0.97512616297146681</v>
      </c>
      <c r="N275">
        <f t="shared" si="47"/>
        <v>0.97512616297146681</v>
      </c>
      <c r="O275" t="s">
        <v>35</v>
      </c>
      <c r="P275" t="s">
        <v>35</v>
      </c>
      <c r="Q275" t="s">
        <v>198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43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K276">
        <v>41811</v>
      </c>
      <c r="L276">
        <v>40770</v>
      </c>
      <c r="M276">
        <f t="shared" si="46"/>
        <v>0.97510224582047789</v>
      </c>
      <c r="N276">
        <f t="shared" si="47"/>
        <v>0.97510224582047789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43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45473</v>
      </c>
      <c r="G277">
        <v>2024</v>
      </c>
      <c r="H277" t="s">
        <v>33</v>
      </c>
      <c r="I277" t="s">
        <v>51</v>
      </c>
      <c r="J277">
        <v>1</v>
      </c>
      <c r="K277">
        <v>38813</v>
      </c>
      <c r="L277">
        <v>39598</v>
      </c>
      <c r="M277">
        <f t="shared" si="46"/>
        <v>1.0202251822842863</v>
      </c>
      <c r="N277">
        <f t="shared" si="47"/>
        <v>1.0202251822842863</v>
      </c>
      <c r="O277" t="s">
        <v>35</v>
      </c>
      <c r="P277" t="s">
        <v>35</v>
      </c>
      <c r="Q277" t="s">
        <v>199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43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45657</v>
      </c>
      <c r="G278">
        <v>2024</v>
      </c>
      <c r="H278" t="s">
        <v>44</v>
      </c>
      <c r="I278" t="s">
        <v>53</v>
      </c>
      <c r="J278">
        <v>2</v>
      </c>
      <c r="K278">
        <v>40441</v>
      </c>
      <c r="L278">
        <v>41436</v>
      </c>
      <c r="M278">
        <f t="shared" si="46"/>
        <v>1.0246037437254272</v>
      </c>
      <c r="N278">
        <f t="shared" si="47"/>
        <v>1.0246037437254272</v>
      </c>
      <c r="O278" t="s">
        <v>35</v>
      </c>
      <c r="P278" t="s">
        <v>35</v>
      </c>
      <c r="Q278" t="s">
        <v>200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43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K279">
        <v>40441.334115206948</v>
      </c>
      <c r="L279">
        <v>41436</v>
      </c>
      <c r="M279">
        <f t="shared" si="46"/>
        <v>1.0245952787304076</v>
      </c>
      <c r="N279">
        <f t="shared" si="47"/>
        <v>1.0245952787304076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43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45838</v>
      </c>
      <c r="G280">
        <v>2025</v>
      </c>
      <c r="H280" t="s">
        <v>33</v>
      </c>
      <c r="I280" t="s">
        <v>404</v>
      </c>
      <c r="J280">
        <v>1</v>
      </c>
      <c r="K280">
        <v>40026</v>
      </c>
      <c r="L280">
        <v>42364</v>
      </c>
      <c r="M280">
        <f t="shared" si="46"/>
        <v>1.0584120321790835</v>
      </c>
      <c r="N280">
        <f t="shared" si="47"/>
        <v>1.0584120321790835</v>
      </c>
      <c r="O280" t="s">
        <v>35</v>
      </c>
      <c r="P280" t="s">
        <v>35</v>
      </c>
      <c r="Q280" t="s">
        <v>413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43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46022</v>
      </c>
      <c r="G281">
        <v>2025</v>
      </c>
      <c r="H281" t="str">
        <f>PROPER(TEXT(F281,"mmmm"))</f>
        <v>Diciembre</v>
      </c>
      <c r="I281" t="s">
        <v>465</v>
      </c>
      <c r="J281">
        <v>2</v>
      </c>
      <c r="K281">
        <v>44737</v>
      </c>
      <c r="L281" s="4">
        <v>45646</v>
      </c>
      <c r="M281">
        <f t="shared" si="46"/>
        <v>1.02031875181617</v>
      </c>
      <c r="N281">
        <f t="shared" si="47"/>
        <v>1.02031875181617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43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f>YEAR(F282)</f>
        <v>2025</v>
      </c>
      <c r="H282" t="str">
        <f>PROPER(TEXT(F282,"mmmm"))</f>
        <v>Diciembre</v>
      </c>
      <c r="I282" t="str">
        <f>IF(H282="Junio",G282&amp;"-1",G282&amp;"-2")</f>
        <v>2025-2</v>
      </c>
      <c r="K282">
        <v>44737</v>
      </c>
      <c r="L282" s="4">
        <v>45646</v>
      </c>
      <c r="M282">
        <f t="shared" si="46"/>
        <v>1.02031875181617</v>
      </c>
      <c r="N282">
        <f t="shared" si="47"/>
        <v>1.02031875181617</v>
      </c>
      <c r="O282" t="s">
        <v>35</v>
      </c>
      <c r="P282" t="s">
        <v>35</v>
      </c>
      <c r="Q282" t="str">
        <f>A282&amp;"-"&amp;TEXT(F282,"yyyy-mm-dd")</f>
        <v>274-2025-12-31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43</v>
      </c>
      <c r="AC282" t="s">
        <v>31</v>
      </c>
    </row>
    <row r="283" spans="1:29" x14ac:dyDescent="0.3">
      <c r="A283">
        <v>276</v>
      </c>
      <c r="B283" t="s">
        <v>201</v>
      </c>
      <c r="C283" t="s">
        <v>202</v>
      </c>
      <c r="D283" t="s">
        <v>31</v>
      </c>
      <c r="E283" t="s">
        <v>171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93</v>
      </c>
      <c r="L283">
        <v>106</v>
      </c>
      <c r="M283">
        <f>+K283/L283</f>
        <v>0.87735849056603776</v>
      </c>
      <c r="N283">
        <f>+K283/L283</f>
        <v>0.87735849056603776</v>
      </c>
      <c r="O283" t="s">
        <v>35</v>
      </c>
      <c r="P283" t="s">
        <v>245</v>
      </c>
      <c r="Q283" t="s">
        <v>203</v>
      </c>
      <c r="R283">
        <v>0</v>
      </c>
      <c r="S283">
        <v>0</v>
      </c>
      <c r="T283" t="s">
        <v>31</v>
      </c>
      <c r="U283" t="s">
        <v>37</v>
      </c>
      <c r="V283" t="s">
        <v>202</v>
      </c>
      <c r="W283" t="s">
        <v>73</v>
      </c>
      <c r="X283" t="s">
        <v>74</v>
      </c>
      <c r="Y283" t="s">
        <v>75</v>
      </c>
      <c r="Z283" t="s">
        <v>86</v>
      </c>
      <c r="AA283" t="s">
        <v>204</v>
      </c>
      <c r="AB283" t="s">
        <v>65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88</v>
      </c>
      <c r="L284">
        <v>88</v>
      </c>
      <c r="M284">
        <f t="shared" ref="M284:M293" si="48">+K284/L284</f>
        <v>1</v>
      </c>
      <c r="N284">
        <f t="shared" ref="N284:N293" si="49">+K284/L284</f>
        <v>1</v>
      </c>
      <c r="O284" t="s">
        <v>35</v>
      </c>
      <c r="P284" t="s">
        <v>245</v>
      </c>
      <c r="Q284" t="s">
        <v>205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K285">
        <v>88</v>
      </c>
      <c r="L285">
        <v>88</v>
      </c>
      <c r="M285">
        <f t="shared" si="48"/>
        <v>1</v>
      </c>
      <c r="N285">
        <f t="shared" si="49"/>
        <v>1</v>
      </c>
      <c r="O285" t="s">
        <v>35</v>
      </c>
      <c r="P285" t="s">
        <v>35</v>
      </c>
      <c r="Q285" t="s">
        <v>205</v>
      </c>
      <c r="R285">
        <v>0</v>
      </c>
      <c r="S285">
        <v>0</v>
      </c>
      <c r="T285" t="s">
        <v>443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85</v>
      </c>
      <c r="L286">
        <v>89.99</v>
      </c>
      <c r="M286">
        <f t="shared" si="48"/>
        <v>0.94454939437715302</v>
      </c>
      <c r="N286">
        <f t="shared" si="49"/>
        <v>0.94454939437715302</v>
      </c>
      <c r="O286" t="s">
        <v>35</v>
      </c>
      <c r="P286" t="s">
        <v>245</v>
      </c>
      <c r="Q286" t="s">
        <v>206</v>
      </c>
      <c r="R286">
        <v>0</v>
      </c>
      <c r="S286">
        <v>0</v>
      </c>
      <c r="T286" t="s">
        <v>31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85</v>
      </c>
      <c r="L287">
        <v>84.5</v>
      </c>
      <c r="M287">
        <f t="shared" si="48"/>
        <v>1.0059171597633136</v>
      </c>
      <c r="N287">
        <f t="shared" si="49"/>
        <v>1.0059171597633136</v>
      </c>
      <c r="O287" t="s">
        <v>35</v>
      </c>
      <c r="P287" t="s">
        <v>245</v>
      </c>
      <c r="Q287" t="s">
        <v>207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K288">
        <v>85</v>
      </c>
      <c r="L288">
        <v>84.5</v>
      </c>
      <c r="M288">
        <f t="shared" si="48"/>
        <v>1.0059171597633136</v>
      </c>
      <c r="N288">
        <f t="shared" si="49"/>
        <v>1.0059171597633136</v>
      </c>
      <c r="O288" t="s">
        <v>35</v>
      </c>
      <c r="P288" t="s">
        <v>245</v>
      </c>
      <c r="Q288" t="s">
        <v>207</v>
      </c>
      <c r="R288">
        <v>0</v>
      </c>
      <c r="S288">
        <v>1</v>
      </c>
      <c r="T288" t="s">
        <v>443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75</v>
      </c>
      <c r="L289">
        <v>83.65</v>
      </c>
      <c r="M289">
        <f t="shared" si="48"/>
        <v>0.89659294680215174</v>
      </c>
      <c r="N289">
        <f t="shared" si="49"/>
        <v>0.89659294680215174</v>
      </c>
      <c r="O289" t="s">
        <v>35</v>
      </c>
      <c r="P289" t="s">
        <v>245</v>
      </c>
      <c r="Q289" t="s">
        <v>208</v>
      </c>
      <c r="R289">
        <v>1</v>
      </c>
      <c r="S289">
        <v>1</v>
      </c>
      <c r="T289" t="s">
        <v>31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75</v>
      </c>
      <c r="L290">
        <v>82.68</v>
      </c>
      <c r="M290">
        <f t="shared" si="48"/>
        <v>0.90711175616835982</v>
      </c>
      <c r="N290">
        <f t="shared" si="49"/>
        <v>0.90711175616835982</v>
      </c>
      <c r="O290" t="s">
        <v>35</v>
      </c>
      <c r="P290" t="s">
        <v>245</v>
      </c>
      <c r="Q290" t="s">
        <v>209</v>
      </c>
      <c r="R290">
        <v>0</v>
      </c>
      <c r="S290">
        <v>0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K291">
        <v>75</v>
      </c>
      <c r="L291">
        <v>82.68</v>
      </c>
      <c r="M291">
        <f t="shared" si="48"/>
        <v>0.90711175616835982</v>
      </c>
      <c r="N291">
        <f t="shared" si="49"/>
        <v>0.90711175616835982</v>
      </c>
      <c r="O291" t="s">
        <v>35</v>
      </c>
      <c r="P291" t="s">
        <v>245</v>
      </c>
      <c r="Q291" t="s">
        <v>209</v>
      </c>
      <c r="R291">
        <v>0</v>
      </c>
      <c r="S291">
        <v>1</v>
      </c>
      <c r="T291" t="s">
        <v>443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81</v>
      </c>
      <c r="L292">
        <v>84.18</v>
      </c>
      <c r="M292">
        <f t="shared" si="48"/>
        <v>0.96222380612972191</v>
      </c>
      <c r="N292">
        <f t="shared" si="49"/>
        <v>0.96222380612972191</v>
      </c>
      <c r="O292" t="s">
        <v>35</v>
      </c>
      <c r="P292" t="s">
        <v>245</v>
      </c>
      <c r="Q292" t="s">
        <v>410</v>
      </c>
      <c r="R292">
        <v>0</v>
      </c>
      <c r="S292">
        <v>1</v>
      </c>
      <c r="T292" t="s">
        <v>31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46022</v>
      </c>
      <c r="G293">
        <v>2025</v>
      </c>
      <c r="H293" t="s">
        <v>44</v>
      </c>
      <c r="I293" t="s">
        <v>465</v>
      </c>
      <c r="J293">
        <v>2</v>
      </c>
      <c r="K293">
        <v>81</v>
      </c>
      <c r="L293">
        <v>82.81</v>
      </c>
      <c r="M293">
        <f t="shared" si="48"/>
        <v>0.97814273638449456</v>
      </c>
      <c r="N293">
        <f t="shared" si="49"/>
        <v>0.97814273638449456</v>
      </c>
      <c r="O293" t="s">
        <v>35</v>
      </c>
      <c r="P293" t="s">
        <v>245</v>
      </c>
      <c r="Q293" t="s">
        <v>514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277</v>
      </c>
      <c r="B294" t="s">
        <v>210</v>
      </c>
      <c r="C294" t="s">
        <v>202</v>
      </c>
      <c r="D294" t="s">
        <v>31</v>
      </c>
      <c r="E294" t="s">
        <v>171</v>
      </c>
      <c r="F294" s="3">
        <v>45107</v>
      </c>
      <c r="G294">
        <v>2023</v>
      </c>
      <c r="H294" t="s">
        <v>33</v>
      </c>
      <c r="I294" t="s">
        <v>47</v>
      </c>
      <c r="J294">
        <v>1</v>
      </c>
      <c r="K294">
        <v>85</v>
      </c>
      <c r="L294">
        <v>76.48</v>
      </c>
      <c r="M294">
        <f>+K294/L294</f>
        <v>1.1114016736401673</v>
      </c>
      <c r="N294">
        <f>+K294/L294</f>
        <v>1.1114016736401673</v>
      </c>
      <c r="O294" t="s">
        <v>35</v>
      </c>
      <c r="P294" t="s">
        <v>245</v>
      </c>
      <c r="Q294" t="s">
        <v>211</v>
      </c>
      <c r="R294">
        <v>1</v>
      </c>
      <c r="S294">
        <v>1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45291</v>
      </c>
      <c r="G295">
        <v>2023</v>
      </c>
      <c r="H295" t="s">
        <v>44</v>
      </c>
      <c r="I295" t="s">
        <v>49</v>
      </c>
      <c r="J295">
        <v>2</v>
      </c>
      <c r="K295">
        <v>85</v>
      </c>
      <c r="L295">
        <v>73.290000000000006</v>
      </c>
      <c r="M295">
        <f t="shared" ref="M295:M301" si="50">+K295/L295</f>
        <v>1.1597762314094691</v>
      </c>
      <c r="N295">
        <f t="shared" ref="N295:N301" si="51">+K295/L295</f>
        <v>1.1597762314094691</v>
      </c>
      <c r="O295" t="s">
        <v>35</v>
      </c>
      <c r="P295" t="s">
        <v>245</v>
      </c>
      <c r="Q295" t="s">
        <v>212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K296">
        <v>85</v>
      </c>
      <c r="L296">
        <v>73.290000000000006</v>
      </c>
      <c r="M296">
        <f t="shared" si="50"/>
        <v>1.1597762314094691</v>
      </c>
      <c r="N296">
        <f t="shared" si="51"/>
        <v>1.1597762314094691</v>
      </c>
      <c r="O296" t="s">
        <v>35</v>
      </c>
      <c r="P296" t="s">
        <v>245</v>
      </c>
      <c r="Q296" t="s">
        <v>212</v>
      </c>
      <c r="R296">
        <v>1</v>
      </c>
      <c r="S296">
        <v>1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45473</v>
      </c>
      <c r="G297">
        <v>2024</v>
      </c>
      <c r="H297" t="s">
        <v>33</v>
      </c>
      <c r="I297" t="s">
        <v>51</v>
      </c>
      <c r="J297">
        <v>1</v>
      </c>
      <c r="K297">
        <v>73</v>
      </c>
      <c r="L297">
        <v>71.180000000000007</v>
      </c>
      <c r="M297">
        <f t="shared" si="50"/>
        <v>1.0255689800505758</v>
      </c>
      <c r="N297">
        <f t="shared" si="51"/>
        <v>1.0255689800505758</v>
      </c>
      <c r="O297" t="s">
        <v>35</v>
      </c>
      <c r="P297" t="s">
        <v>245</v>
      </c>
      <c r="Q297" t="s">
        <v>213</v>
      </c>
      <c r="R297">
        <v>1</v>
      </c>
      <c r="S297">
        <v>1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45657</v>
      </c>
      <c r="G298">
        <v>2024</v>
      </c>
      <c r="H298" t="s">
        <v>44</v>
      </c>
      <c r="I298" t="s">
        <v>53</v>
      </c>
      <c r="J298">
        <v>2</v>
      </c>
      <c r="K298">
        <v>73</v>
      </c>
      <c r="L298">
        <v>71.239999999999995</v>
      </c>
      <c r="M298">
        <f t="shared" si="50"/>
        <v>1.0247052217855139</v>
      </c>
      <c r="N298">
        <f t="shared" si="51"/>
        <v>1.0247052217855139</v>
      </c>
      <c r="O298" t="s">
        <v>35</v>
      </c>
      <c r="P298" t="s">
        <v>245</v>
      </c>
      <c r="Q298" t="s">
        <v>214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K299">
        <v>73</v>
      </c>
      <c r="L299">
        <v>71.239999999999995</v>
      </c>
      <c r="M299">
        <f t="shared" si="50"/>
        <v>1.0247052217855139</v>
      </c>
      <c r="N299">
        <f t="shared" si="51"/>
        <v>1.0247052217855139</v>
      </c>
      <c r="O299" t="s">
        <v>35</v>
      </c>
      <c r="P299" t="s">
        <v>245</v>
      </c>
      <c r="Q299" t="s">
        <v>214</v>
      </c>
      <c r="R299">
        <v>1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45838</v>
      </c>
      <c r="G300">
        <v>2025</v>
      </c>
      <c r="H300" t="s">
        <v>33</v>
      </c>
      <c r="I300" t="s">
        <v>404</v>
      </c>
      <c r="J300">
        <v>1</v>
      </c>
      <c r="K300">
        <v>71</v>
      </c>
      <c r="L300">
        <v>69.39</v>
      </c>
      <c r="M300">
        <f t="shared" si="50"/>
        <v>1.0232021905173656</v>
      </c>
      <c r="N300">
        <f t="shared" si="51"/>
        <v>1.0232021905173656</v>
      </c>
      <c r="O300" t="s">
        <v>35</v>
      </c>
      <c r="P300" t="s">
        <v>245</v>
      </c>
      <c r="Q300" t="s">
        <v>434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46022</v>
      </c>
      <c r="G301">
        <v>2025</v>
      </c>
      <c r="H301" t="s">
        <v>44</v>
      </c>
      <c r="I301" t="s">
        <v>465</v>
      </c>
      <c r="J301">
        <v>2</v>
      </c>
      <c r="K301">
        <v>71</v>
      </c>
      <c r="L301">
        <v>68.400000000000006</v>
      </c>
      <c r="M301">
        <f t="shared" si="50"/>
        <v>1.0380116959064327</v>
      </c>
      <c r="N301">
        <f t="shared" si="51"/>
        <v>1.0380116959064327</v>
      </c>
      <c r="O301" t="s">
        <v>35</v>
      </c>
      <c r="P301" t="s">
        <v>245</v>
      </c>
      <c r="Q301" t="s">
        <v>515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323</v>
      </c>
      <c r="B302" t="s">
        <v>215</v>
      </c>
      <c r="C302" t="s">
        <v>216</v>
      </c>
      <c r="D302" t="s">
        <v>31</v>
      </c>
      <c r="E302" t="s">
        <v>32</v>
      </c>
      <c r="F302" s="3">
        <v>44926</v>
      </c>
      <c r="G302">
        <v>2022</v>
      </c>
      <c r="H302" t="s">
        <v>44</v>
      </c>
      <c r="I302" t="s">
        <v>45</v>
      </c>
      <c r="J302">
        <v>2</v>
      </c>
      <c r="K302">
        <v>3</v>
      </c>
      <c r="L302">
        <v>3</v>
      </c>
      <c r="M302">
        <v>1</v>
      </c>
      <c r="N302">
        <v>1</v>
      </c>
      <c r="Q302" t="s">
        <v>217</v>
      </c>
      <c r="R302">
        <v>0</v>
      </c>
      <c r="S302">
        <v>0</v>
      </c>
      <c r="T302" t="s">
        <v>31</v>
      </c>
      <c r="U302" t="s">
        <v>37</v>
      </c>
      <c r="V302" t="s">
        <v>216</v>
      </c>
      <c r="W302" t="s">
        <v>73</v>
      </c>
      <c r="X302" t="s">
        <v>218</v>
      </c>
      <c r="Y302" t="s">
        <v>219</v>
      </c>
      <c r="Z302" t="s">
        <v>86</v>
      </c>
      <c r="AA302" t="s">
        <v>87</v>
      </c>
      <c r="AB302" t="s">
        <v>78</v>
      </c>
      <c r="AC302" t="s">
        <v>66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K303">
        <v>3</v>
      </c>
      <c r="L303">
        <v>3</v>
      </c>
      <c r="M303">
        <v>1</v>
      </c>
      <c r="N303">
        <v>1</v>
      </c>
      <c r="O303" t="s">
        <v>35</v>
      </c>
      <c r="P303" t="s">
        <v>35</v>
      </c>
      <c r="Q303" t="s">
        <v>217</v>
      </c>
      <c r="R303">
        <v>0</v>
      </c>
      <c r="S303">
        <v>0</v>
      </c>
      <c r="T303" t="s">
        <v>443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45107</v>
      </c>
      <c r="G304">
        <v>2023</v>
      </c>
      <c r="H304" t="s">
        <v>33</v>
      </c>
      <c r="I304" t="s">
        <v>47</v>
      </c>
      <c r="J304">
        <v>1</v>
      </c>
      <c r="K304">
        <v>2</v>
      </c>
      <c r="L304">
        <v>2</v>
      </c>
      <c r="M304">
        <v>1</v>
      </c>
      <c r="N304">
        <v>1</v>
      </c>
      <c r="Q304" t="s">
        <v>220</v>
      </c>
      <c r="R304">
        <v>0</v>
      </c>
      <c r="S304">
        <v>0</v>
      </c>
      <c r="T304" t="s">
        <v>31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45291</v>
      </c>
      <c r="G305">
        <v>2023</v>
      </c>
      <c r="H305" t="s">
        <v>44</v>
      </c>
      <c r="I305" t="s">
        <v>49</v>
      </c>
      <c r="J305">
        <v>2</v>
      </c>
      <c r="K305">
        <v>6</v>
      </c>
      <c r="L305">
        <v>6</v>
      </c>
      <c r="M305">
        <v>1</v>
      </c>
      <c r="N305">
        <v>1</v>
      </c>
      <c r="Q305" t="s">
        <v>221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K306">
        <v>8</v>
      </c>
      <c r="L306">
        <v>8</v>
      </c>
      <c r="M306">
        <v>1</v>
      </c>
      <c r="N306">
        <v>1</v>
      </c>
      <c r="O306" t="s">
        <v>35</v>
      </c>
      <c r="P306" t="s">
        <v>35</v>
      </c>
      <c r="Q306" t="s">
        <v>221</v>
      </c>
      <c r="R306">
        <v>0</v>
      </c>
      <c r="S306">
        <v>0</v>
      </c>
      <c r="T306" t="s">
        <v>443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45473</v>
      </c>
      <c r="G307">
        <v>2024</v>
      </c>
      <c r="H307" t="s">
        <v>33</v>
      </c>
      <c r="I307" t="s">
        <v>51</v>
      </c>
      <c r="J307">
        <v>1</v>
      </c>
      <c r="K307">
        <v>3</v>
      </c>
      <c r="L307">
        <v>3</v>
      </c>
      <c r="M307">
        <v>1</v>
      </c>
      <c r="N307">
        <v>1</v>
      </c>
      <c r="Q307" t="s">
        <v>222</v>
      </c>
      <c r="R307">
        <v>0</v>
      </c>
      <c r="S307">
        <v>0</v>
      </c>
      <c r="T307" t="s">
        <v>31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45657</v>
      </c>
      <c r="G308">
        <v>2024</v>
      </c>
      <c r="H308" t="s">
        <v>44</v>
      </c>
      <c r="I308" t="s">
        <v>53</v>
      </c>
      <c r="J308">
        <v>2</v>
      </c>
      <c r="K308">
        <v>0</v>
      </c>
      <c r="L308">
        <v>0</v>
      </c>
      <c r="Q308" t="s">
        <v>223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K309">
        <v>3</v>
      </c>
      <c r="L309">
        <v>3</v>
      </c>
      <c r="M309">
        <v>1</v>
      </c>
      <c r="N309">
        <v>1</v>
      </c>
      <c r="O309" t="s">
        <v>35</v>
      </c>
      <c r="P309" t="s">
        <v>35</v>
      </c>
      <c r="Q309" t="s">
        <v>223</v>
      </c>
      <c r="R309">
        <v>0</v>
      </c>
      <c r="S309">
        <v>0</v>
      </c>
      <c r="T309" t="s">
        <v>443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45838</v>
      </c>
      <c r="G310">
        <v>2025</v>
      </c>
      <c r="H310" t="s">
        <v>33</v>
      </c>
      <c r="I310" t="s">
        <v>404</v>
      </c>
      <c r="J310">
        <v>1</v>
      </c>
      <c r="K310">
        <v>1</v>
      </c>
      <c r="L310">
        <v>1</v>
      </c>
      <c r="M310">
        <v>1</v>
      </c>
      <c r="N310">
        <v>1</v>
      </c>
      <c r="O310" t="s">
        <v>35</v>
      </c>
      <c r="P310" t="s">
        <v>35</v>
      </c>
      <c r="Q310" t="s">
        <v>409</v>
      </c>
      <c r="R310">
        <v>0</v>
      </c>
      <c r="S310">
        <v>0</v>
      </c>
      <c r="T310" t="s">
        <v>31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443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325</v>
      </c>
      <c r="B312" t="s">
        <v>224</v>
      </c>
      <c r="C312" t="s">
        <v>216</v>
      </c>
      <c r="D312" t="s">
        <v>31</v>
      </c>
      <c r="E312" t="s">
        <v>32</v>
      </c>
      <c r="F312" s="3">
        <v>44742</v>
      </c>
      <c r="G312">
        <v>2022</v>
      </c>
      <c r="H312" t="s">
        <v>33</v>
      </c>
      <c r="I312" t="s">
        <v>34</v>
      </c>
      <c r="J312">
        <v>1</v>
      </c>
      <c r="K312">
        <v>3</v>
      </c>
      <c r="L312">
        <v>3</v>
      </c>
      <c r="M312">
        <v>1</v>
      </c>
      <c r="N312">
        <v>1</v>
      </c>
      <c r="O312" t="s">
        <v>35</v>
      </c>
      <c r="P312" t="s">
        <v>35</v>
      </c>
      <c r="Q312" t="s">
        <v>225</v>
      </c>
      <c r="R312">
        <v>0</v>
      </c>
      <c r="S312">
        <v>0</v>
      </c>
      <c r="T312" t="s">
        <v>31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226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6</v>
      </c>
      <c r="L314">
        <v>6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1</v>
      </c>
      <c r="L315">
        <v>1</v>
      </c>
      <c r="M315">
        <v>1</v>
      </c>
      <c r="N315">
        <v>1</v>
      </c>
      <c r="O315" t="s">
        <v>35</v>
      </c>
      <c r="P315" t="s">
        <v>35</v>
      </c>
      <c r="Q315" t="s">
        <v>227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0</v>
      </c>
      <c r="L316">
        <v>0</v>
      </c>
      <c r="Q316" t="s">
        <v>228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1</v>
      </c>
      <c r="L317">
        <v>1</v>
      </c>
      <c r="M317">
        <v>1</v>
      </c>
      <c r="N317">
        <v>1</v>
      </c>
      <c r="O317" t="s">
        <v>35</v>
      </c>
      <c r="P317" t="s">
        <v>35</v>
      </c>
      <c r="Q317" t="s">
        <v>228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5</v>
      </c>
      <c r="L318">
        <v>5</v>
      </c>
      <c r="M318">
        <v>1</v>
      </c>
      <c r="N318">
        <v>1</v>
      </c>
      <c r="O318" t="s">
        <v>35</v>
      </c>
      <c r="P318" t="s">
        <v>35</v>
      </c>
      <c r="Q318" t="s">
        <v>229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3</v>
      </c>
      <c r="L319">
        <v>3</v>
      </c>
      <c r="M319">
        <v>1</v>
      </c>
      <c r="N319">
        <v>1</v>
      </c>
      <c r="O319" t="s">
        <v>35</v>
      </c>
      <c r="P319" t="s">
        <v>35</v>
      </c>
      <c r="Q319" t="s">
        <v>230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408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331</v>
      </c>
      <c r="B323" t="s">
        <v>231</v>
      </c>
      <c r="C323" t="s">
        <v>232</v>
      </c>
      <c r="D323" t="s">
        <v>66</v>
      </c>
      <c r="E323" t="s">
        <v>32</v>
      </c>
      <c r="F323" s="3">
        <v>45291</v>
      </c>
      <c r="G323">
        <v>2023</v>
      </c>
      <c r="H323" t="s">
        <v>44</v>
      </c>
      <c r="I323" t="s">
        <v>49</v>
      </c>
      <c r="J323">
        <v>2</v>
      </c>
      <c r="K323">
        <v>0</v>
      </c>
      <c r="L323">
        <v>81</v>
      </c>
      <c r="O323" t="s">
        <v>233</v>
      </c>
      <c r="P323" t="s">
        <v>58</v>
      </c>
      <c r="Q323" t="s">
        <v>234</v>
      </c>
      <c r="R323">
        <v>0</v>
      </c>
      <c r="S323">
        <v>0</v>
      </c>
      <c r="T323" t="s">
        <v>31</v>
      </c>
      <c r="U323" t="s">
        <v>37</v>
      </c>
      <c r="V323" t="s">
        <v>232</v>
      </c>
      <c r="W323" t="s">
        <v>145</v>
      </c>
      <c r="X323" t="s">
        <v>179</v>
      </c>
      <c r="Y323" t="s">
        <v>235</v>
      </c>
      <c r="Z323" t="s">
        <v>236</v>
      </c>
      <c r="AA323" t="s">
        <v>237</v>
      </c>
      <c r="AB323" t="s">
        <v>43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L324">
        <v>81</v>
      </c>
      <c r="O324" t="s">
        <v>429</v>
      </c>
      <c r="P324" t="s">
        <v>58</v>
      </c>
      <c r="Q324" t="s">
        <v>234</v>
      </c>
      <c r="R324">
        <v>0</v>
      </c>
      <c r="S324">
        <v>0</v>
      </c>
      <c r="T324" t="s">
        <v>443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45657</v>
      </c>
      <c r="G325">
        <v>2024</v>
      </c>
      <c r="H325" t="s">
        <v>44</v>
      </c>
      <c r="I325" t="s">
        <v>53</v>
      </c>
      <c r="J325">
        <v>2</v>
      </c>
      <c r="K325">
        <v>0</v>
      </c>
      <c r="L325">
        <v>82</v>
      </c>
      <c r="O325" t="s">
        <v>233</v>
      </c>
      <c r="P325" t="s">
        <v>58</v>
      </c>
      <c r="Q325" t="s">
        <v>238</v>
      </c>
      <c r="R325">
        <v>0</v>
      </c>
      <c r="S325">
        <v>0</v>
      </c>
      <c r="T325" t="s">
        <v>31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L326">
        <v>82</v>
      </c>
      <c r="O326" t="s">
        <v>429</v>
      </c>
      <c r="P326" t="s">
        <v>58</v>
      </c>
      <c r="Q326" t="s">
        <v>238</v>
      </c>
      <c r="R326">
        <v>0</v>
      </c>
      <c r="S326">
        <v>0</v>
      </c>
      <c r="T326" t="s">
        <v>443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45838</v>
      </c>
      <c r="G327">
        <v>2025</v>
      </c>
      <c r="H327" t="s">
        <v>33</v>
      </c>
      <c r="I327" t="s">
        <v>404</v>
      </c>
      <c r="J327">
        <v>1</v>
      </c>
      <c r="L327">
        <v>82</v>
      </c>
      <c r="O327" t="s">
        <v>429</v>
      </c>
      <c r="P327" t="s">
        <v>58</v>
      </c>
      <c r="Q327" t="s">
        <v>430</v>
      </c>
      <c r="R327">
        <v>0</v>
      </c>
      <c r="S327">
        <v>0</v>
      </c>
      <c r="T327" t="s">
        <v>31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443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332</v>
      </c>
      <c r="B329" t="s">
        <v>239</v>
      </c>
      <c r="C329" t="s">
        <v>130</v>
      </c>
      <c r="D329" t="s">
        <v>31</v>
      </c>
      <c r="E329" t="s">
        <v>171</v>
      </c>
      <c r="F329" s="3">
        <v>44742</v>
      </c>
      <c r="G329">
        <v>2022</v>
      </c>
      <c r="H329" t="s">
        <v>33</v>
      </c>
      <c r="I329" t="s">
        <v>34</v>
      </c>
      <c r="J329">
        <v>1</v>
      </c>
      <c r="K329">
        <v>1.6</v>
      </c>
      <c r="L329">
        <v>1.8</v>
      </c>
      <c r="M329">
        <v>0.88888888888888895</v>
      </c>
      <c r="N329">
        <v>0.88888888888888895</v>
      </c>
      <c r="Q329" t="s">
        <v>240</v>
      </c>
      <c r="R329">
        <v>1</v>
      </c>
      <c r="S329">
        <v>1</v>
      </c>
      <c r="T329" t="s">
        <v>31</v>
      </c>
      <c r="U329" t="s">
        <v>37</v>
      </c>
      <c r="V329" t="s">
        <v>130</v>
      </c>
      <c r="W329" t="s">
        <v>60</v>
      </c>
      <c r="X329" t="s">
        <v>100</v>
      </c>
      <c r="Y329" t="s">
        <v>241</v>
      </c>
      <c r="Z329" t="s">
        <v>134</v>
      </c>
      <c r="AA329" t="s">
        <v>135</v>
      </c>
      <c r="AB329" t="s">
        <v>65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44926</v>
      </c>
      <c r="G330">
        <v>2022</v>
      </c>
      <c r="H330" t="s">
        <v>44</v>
      </c>
      <c r="I330" t="s">
        <v>45</v>
      </c>
      <c r="J330">
        <v>2</v>
      </c>
      <c r="K330">
        <v>1.6</v>
      </c>
      <c r="L330">
        <v>1.75</v>
      </c>
      <c r="M330">
        <v>0.91428571428571437</v>
      </c>
      <c r="N330">
        <v>0.91428571428571437</v>
      </c>
      <c r="Q330" t="s">
        <v>242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K331">
        <v>1.6</v>
      </c>
      <c r="L331">
        <v>1.75</v>
      </c>
      <c r="M331">
        <v>0.91428571428571437</v>
      </c>
      <c r="N331">
        <v>0.91428571428571437</v>
      </c>
      <c r="O331" t="s">
        <v>245</v>
      </c>
      <c r="P331" t="s">
        <v>245</v>
      </c>
      <c r="Q331" t="s">
        <v>242</v>
      </c>
      <c r="R331">
        <v>1</v>
      </c>
      <c r="S331">
        <v>1</v>
      </c>
      <c r="T331" t="s">
        <v>443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45107</v>
      </c>
      <c r="G332">
        <v>2023</v>
      </c>
      <c r="H332" t="s">
        <v>33</v>
      </c>
      <c r="I332" t="s">
        <v>47</v>
      </c>
      <c r="J332">
        <v>1</v>
      </c>
      <c r="K332">
        <v>1.8</v>
      </c>
      <c r="L332">
        <v>1.57</v>
      </c>
      <c r="M332">
        <v>1.1464968152866239</v>
      </c>
      <c r="N332">
        <v>1.1464968152866239</v>
      </c>
      <c r="Q332" t="s">
        <v>243</v>
      </c>
      <c r="R332">
        <v>1</v>
      </c>
      <c r="S332">
        <v>1</v>
      </c>
      <c r="T332" t="s">
        <v>31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45291</v>
      </c>
      <c r="G333">
        <v>2023</v>
      </c>
      <c r="H333" t="s">
        <v>44</v>
      </c>
      <c r="I333" t="s">
        <v>49</v>
      </c>
      <c r="J333">
        <v>2</v>
      </c>
      <c r="K333">
        <v>1.8</v>
      </c>
      <c r="L333">
        <v>1.3</v>
      </c>
      <c r="M333">
        <v>1.3</v>
      </c>
      <c r="N333">
        <v>1.384615384615385</v>
      </c>
      <c r="Q333" t="s">
        <v>244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K334">
        <v>1.8</v>
      </c>
      <c r="L334">
        <v>1.4</v>
      </c>
      <c r="M334">
        <v>1.285714285714286</v>
      </c>
      <c r="N334">
        <v>1.285714285714286</v>
      </c>
      <c r="O334" t="s">
        <v>245</v>
      </c>
      <c r="P334" t="s">
        <v>245</v>
      </c>
      <c r="Q334" t="s">
        <v>244</v>
      </c>
      <c r="R334">
        <v>1</v>
      </c>
      <c r="S334">
        <v>1</v>
      </c>
      <c r="T334" t="s">
        <v>443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45473</v>
      </c>
      <c r="G335">
        <v>2024</v>
      </c>
      <c r="H335" t="s">
        <v>33</v>
      </c>
      <c r="I335" t="s">
        <v>51</v>
      </c>
      <c r="J335">
        <v>1</v>
      </c>
      <c r="K335">
        <v>1.5</v>
      </c>
      <c r="L335">
        <v>1.48</v>
      </c>
      <c r="M335">
        <v>1.013513513513514</v>
      </c>
      <c r="N335">
        <v>1.013513513513514</v>
      </c>
      <c r="O335" t="s">
        <v>245</v>
      </c>
      <c r="P335" t="s">
        <v>245</v>
      </c>
      <c r="Q335" t="s">
        <v>246</v>
      </c>
      <c r="R335">
        <v>1</v>
      </c>
      <c r="S335">
        <v>1</v>
      </c>
      <c r="T335" t="s">
        <v>31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1.8</v>
      </c>
      <c r="L336">
        <v>0.82</v>
      </c>
      <c r="M336">
        <v>0.45555555555555549</v>
      </c>
      <c r="N336">
        <v>0.45555555555555549</v>
      </c>
      <c r="Q336" t="s">
        <v>247</v>
      </c>
      <c r="R336">
        <v>0</v>
      </c>
      <c r="S336">
        <v>0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K337">
        <v>1.5</v>
      </c>
      <c r="L337">
        <v>1.1499999999999999</v>
      </c>
      <c r="M337">
        <v>1.3</v>
      </c>
      <c r="N337">
        <v>1.304347826086957</v>
      </c>
      <c r="O337" t="s">
        <v>245</v>
      </c>
      <c r="P337" t="s">
        <v>245</v>
      </c>
      <c r="Q337" t="s">
        <v>247</v>
      </c>
      <c r="R337">
        <v>1</v>
      </c>
      <c r="S337">
        <v>2</v>
      </c>
      <c r="T337" t="s">
        <v>443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K338">
        <v>1.4</v>
      </c>
      <c r="L338">
        <v>0.85</v>
      </c>
      <c r="M338">
        <v>1.3</v>
      </c>
      <c r="N338">
        <v>1.6470588235294119</v>
      </c>
      <c r="O338" t="s">
        <v>245</v>
      </c>
      <c r="P338" t="s">
        <v>245</v>
      </c>
      <c r="Q338" t="s">
        <v>431</v>
      </c>
      <c r="R338">
        <v>2</v>
      </c>
      <c r="S338">
        <v>2</v>
      </c>
      <c r="T338" t="s">
        <v>31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443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334</v>
      </c>
      <c r="B340" t="s">
        <v>248</v>
      </c>
      <c r="C340" t="s">
        <v>130</v>
      </c>
      <c r="D340" t="s">
        <v>66</v>
      </c>
      <c r="E340" t="s">
        <v>32</v>
      </c>
      <c r="F340" s="3">
        <v>44926</v>
      </c>
      <c r="G340">
        <v>2022</v>
      </c>
      <c r="H340" t="s">
        <v>44</v>
      </c>
      <c r="I340" t="s">
        <v>45</v>
      </c>
      <c r="K340">
        <v>86</v>
      </c>
      <c r="L340">
        <v>86</v>
      </c>
      <c r="M340">
        <v>1</v>
      </c>
      <c r="N340">
        <v>1</v>
      </c>
      <c r="O340" t="s">
        <v>35</v>
      </c>
      <c r="P340" t="s">
        <v>35</v>
      </c>
      <c r="Q340" t="s">
        <v>448</v>
      </c>
      <c r="R340">
        <v>0</v>
      </c>
      <c r="S340">
        <v>0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250</v>
      </c>
      <c r="AB340" t="s">
        <v>43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45291</v>
      </c>
      <c r="G341">
        <v>2023</v>
      </c>
      <c r="H341" t="s">
        <v>44</v>
      </c>
      <c r="I341" t="s">
        <v>49</v>
      </c>
      <c r="J341">
        <v>2</v>
      </c>
      <c r="K341">
        <v>88</v>
      </c>
      <c r="L341">
        <v>88.39</v>
      </c>
      <c r="M341">
        <v>1.0044318181818179</v>
      </c>
      <c r="N341">
        <v>1.0044318181818179</v>
      </c>
      <c r="Q341" t="s">
        <v>249</v>
      </c>
      <c r="R341">
        <v>0</v>
      </c>
      <c r="S341">
        <v>0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K342">
        <v>88</v>
      </c>
      <c r="L342">
        <v>88.39</v>
      </c>
      <c r="M342">
        <v>1.0044318181818179</v>
      </c>
      <c r="N342">
        <v>1.0044318181818179</v>
      </c>
      <c r="O342" t="s">
        <v>35</v>
      </c>
      <c r="P342" t="s">
        <v>245</v>
      </c>
      <c r="Q342" t="s">
        <v>249</v>
      </c>
      <c r="R342">
        <v>0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45657</v>
      </c>
      <c r="G343">
        <v>2024</v>
      </c>
      <c r="H343" t="s">
        <v>44</v>
      </c>
      <c r="I343" t="s">
        <v>53</v>
      </c>
      <c r="J343">
        <v>2</v>
      </c>
      <c r="K343">
        <v>88</v>
      </c>
      <c r="L343">
        <v>88.84</v>
      </c>
      <c r="M343">
        <v>1.009545454545455</v>
      </c>
      <c r="N343">
        <v>1.009545454545455</v>
      </c>
      <c r="Q343" t="s">
        <v>251</v>
      </c>
      <c r="R343">
        <v>0</v>
      </c>
      <c r="S343">
        <v>0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K344">
        <v>88</v>
      </c>
      <c r="L344">
        <v>88.84</v>
      </c>
      <c r="M344">
        <v>1.009545454545455</v>
      </c>
      <c r="N344">
        <v>1.009545454545455</v>
      </c>
      <c r="O344" t="s">
        <v>35</v>
      </c>
      <c r="P344" t="s">
        <v>245</v>
      </c>
      <c r="Q344" t="s">
        <v>251</v>
      </c>
      <c r="R344">
        <v>0</v>
      </c>
      <c r="S344">
        <v>1</v>
      </c>
      <c r="T344" t="s">
        <v>443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46022</v>
      </c>
      <c r="G345">
        <v>2025</v>
      </c>
      <c r="H345" t="s">
        <v>44</v>
      </c>
      <c r="I345" t="s">
        <v>465</v>
      </c>
      <c r="J345">
        <v>2</v>
      </c>
      <c r="K345">
        <v>89</v>
      </c>
      <c r="L345">
        <v>89</v>
      </c>
      <c r="M345">
        <v>1</v>
      </c>
      <c r="N345">
        <v>1</v>
      </c>
      <c r="O345" t="s">
        <v>35</v>
      </c>
      <c r="P345" t="s">
        <v>245</v>
      </c>
      <c r="Q345" t="s">
        <v>504</v>
      </c>
      <c r="R345">
        <v>0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335</v>
      </c>
      <c r="B346" t="s">
        <v>252</v>
      </c>
      <c r="C346" t="s">
        <v>130</v>
      </c>
      <c r="D346" t="s">
        <v>66</v>
      </c>
      <c r="E346" t="s">
        <v>32</v>
      </c>
      <c r="F346" s="3">
        <v>45291</v>
      </c>
      <c r="G346">
        <v>2023</v>
      </c>
      <c r="H346" t="s">
        <v>44</v>
      </c>
      <c r="I346" t="s">
        <v>49</v>
      </c>
      <c r="J346">
        <v>2</v>
      </c>
      <c r="K346">
        <v>80</v>
      </c>
      <c r="L346">
        <v>93.85</v>
      </c>
      <c r="M346">
        <v>1.173125</v>
      </c>
      <c r="N346">
        <v>1.173125</v>
      </c>
      <c r="O346" t="s">
        <v>58</v>
      </c>
      <c r="P346" t="s">
        <v>58</v>
      </c>
      <c r="Q346" t="s">
        <v>253</v>
      </c>
      <c r="R346">
        <v>0</v>
      </c>
      <c r="S346">
        <v>0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Z346" t="s">
        <v>134</v>
      </c>
      <c r="AA346" t="s">
        <v>135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443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82</v>
      </c>
      <c r="L348">
        <v>80.95</v>
      </c>
      <c r="M348">
        <v>0.9871951219512195</v>
      </c>
      <c r="N348">
        <v>0.9871951219512195</v>
      </c>
      <c r="O348" t="s">
        <v>58</v>
      </c>
      <c r="P348" t="s">
        <v>58</v>
      </c>
      <c r="Q348" t="s">
        <v>254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46022</v>
      </c>
      <c r="G350">
        <v>2025</v>
      </c>
      <c r="H350" t="s">
        <v>44</v>
      </c>
      <c r="I350" t="s">
        <v>465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466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339</v>
      </c>
      <c r="B351" t="s">
        <v>505</v>
      </c>
      <c r="C351" t="s">
        <v>256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J351">
        <v>2</v>
      </c>
      <c r="K351">
        <v>22</v>
      </c>
      <c r="L351">
        <v>21.6</v>
      </c>
      <c r="M351">
        <f>+L351/K351</f>
        <v>0.98181818181818192</v>
      </c>
      <c r="N351">
        <f>+L351/K351</f>
        <v>0.98181818181818192</v>
      </c>
      <c r="O351" t="s">
        <v>58</v>
      </c>
      <c r="P351" t="s">
        <v>58</v>
      </c>
      <c r="Q351" t="s">
        <v>506</v>
      </c>
      <c r="R351">
        <v>0</v>
      </c>
      <c r="S351">
        <v>1</v>
      </c>
      <c r="T351" t="s">
        <v>31</v>
      </c>
      <c r="U351" t="s">
        <v>37</v>
      </c>
      <c r="V351" t="s">
        <v>256</v>
      </c>
      <c r="W351" t="s">
        <v>73</v>
      </c>
      <c r="X351" t="s">
        <v>74</v>
      </c>
      <c r="Y351" t="s">
        <v>75</v>
      </c>
      <c r="Z351" t="s">
        <v>86</v>
      </c>
      <c r="AA351" t="s">
        <v>87</v>
      </c>
      <c r="AB351" t="s">
        <v>43</v>
      </c>
      <c r="AC351" t="s">
        <v>66</v>
      </c>
    </row>
    <row r="352" spans="1:29" x14ac:dyDescent="0.3">
      <c r="A352">
        <v>339</v>
      </c>
      <c r="B352" t="s">
        <v>505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506</v>
      </c>
      <c r="R352">
        <v>0</v>
      </c>
      <c r="S352">
        <v>1</v>
      </c>
      <c r="T352" t="s">
        <v>443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505</v>
      </c>
      <c r="C353" t="s">
        <v>256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30</v>
      </c>
      <c r="L353">
        <v>28.57</v>
      </c>
      <c r="M353">
        <v>0.95233333333333337</v>
      </c>
      <c r="N353">
        <v>0.95233333333333337</v>
      </c>
      <c r="O353" t="s">
        <v>58</v>
      </c>
      <c r="P353" t="s">
        <v>58</v>
      </c>
      <c r="Q353" t="s">
        <v>257</v>
      </c>
      <c r="R353">
        <v>0</v>
      </c>
      <c r="S353">
        <v>1</v>
      </c>
      <c r="T353" t="s">
        <v>31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505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443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505</v>
      </c>
      <c r="C355" t="s">
        <v>256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30</v>
      </c>
      <c r="L355">
        <v>30.3</v>
      </c>
      <c r="M355">
        <v>1.01</v>
      </c>
      <c r="N355">
        <v>1.01</v>
      </c>
      <c r="O355" t="s">
        <v>58</v>
      </c>
      <c r="P355" t="s">
        <v>58</v>
      </c>
      <c r="Q355" t="s">
        <v>258</v>
      </c>
      <c r="R355">
        <v>0</v>
      </c>
      <c r="S355">
        <v>1</v>
      </c>
      <c r="T355" t="s">
        <v>31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505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443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505</v>
      </c>
      <c r="C357" t="s">
        <v>256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J357">
        <v>1</v>
      </c>
      <c r="K357">
        <v>30</v>
      </c>
      <c r="L357">
        <v>33.299999999999997</v>
      </c>
      <c r="M357">
        <v>1.1100000000000001</v>
      </c>
      <c r="N357">
        <v>1.1100000000000001</v>
      </c>
      <c r="O357" t="s">
        <v>58</v>
      </c>
      <c r="P357" t="s">
        <v>58</v>
      </c>
      <c r="Q357" t="s">
        <v>407</v>
      </c>
      <c r="R357">
        <v>0</v>
      </c>
      <c r="S357">
        <v>1</v>
      </c>
      <c r="T357" t="s">
        <v>31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505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443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361</v>
      </c>
      <c r="B359" t="s">
        <v>479</v>
      </c>
      <c r="C359" t="s">
        <v>267</v>
      </c>
      <c r="D359" t="s">
        <v>66</v>
      </c>
      <c r="E359" t="s">
        <v>32</v>
      </c>
      <c r="F359" s="3">
        <v>44561</v>
      </c>
      <c r="G359">
        <f>YEAR(F359)</f>
        <v>2021</v>
      </c>
      <c r="H359" t="str">
        <f>PROPER(TEXT(F359,"mmmm"))</f>
        <v>Diciembre</v>
      </c>
      <c r="I359" t="str">
        <f>IF(H359="Junio",G359&amp;"-1",G359&amp;"-2")</f>
        <v>2021-2</v>
      </c>
      <c r="L359">
        <v>4.4000000000000004</v>
      </c>
      <c r="O359" t="s">
        <v>245</v>
      </c>
      <c r="P359" t="s">
        <v>245</v>
      </c>
      <c r="Q359" t="str">
        <f>A359&amp;"-"&amp;TEXT(F359,"yyyy-mm-dd")</f>
        <v>361-2021-12-31</v>
      </c>
      <c r="R359">
        <v>1</v>
      </c>
      <c r="S359">
        <v>2</v>
      </c>
      <c r="T359" t="s">
        <v>31</v>
      </c>
      <c r="U359" t="s">
        <v>37</v>
      </c>
      <c r="V359" t="s">
        <v>267</v>
      </c>
      <c r="W359" t="s">
        <v>145</v>
      </c>
      <c r="X359" t="s">
        <v>179</v>
      </c>
      <c r="Y359" t="s">
        <v>269</v>
      </c>
      <c r="Z359" t="s">
        <v>41</v>
      </c>
      <c r="AA359" t="s">
        <v>124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4.5</v>
      </c>
      <c r="L360">
        <v>4.5599999999999996</v>
      </c>
      <c r="M360">
        <v>1.013333333333333</v>
      </c>
      <c r="N360">
        <v>1.013333333333333</v>
      </c>
      <c r="O360" t="s">
        <v>245</v>
      </c>
      <c r="P360" t="s">
        <v>245</v>
      </c>
      <c r="Q360" t="s">
        <v>268</v>
      </c>
      <c r="R360">
        <v>2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443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J362">
        <v>2</v>
      </c>
      <c r="K362">
        <v>4.5999999999999996</v>
      </c>
      <c r="L362">
        <v>4.78</v>
      </c>
      <c r="M362">
        <f>L362/K362</f>
        <v>1.0391304347826089</v>
      </c>
      <c r="N362">
        <v>1.013333333333333</v>
      </c>
      <c r="O362" t="s">
        <v>245</v>
      </c>
      <c r="P362" t="s">
        <v>245</v>
      </c>
      <c r="Q362" t="s">
        <v>461</v>
      </c>
      <c r="R362">
        <v>1</v>
      </c>
      <c r="S362">
        <v>2</v>
      </c>
      <c r="T362" t="s">
        <v>31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s="6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K363">
        <v>4.5</v>
      </c>
      <c r="L363">
        <v>4.78</v>
      </c>
      <c r="M363">
        <f>L363/K363</f>
        <v>1.0622222222222222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443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364</v>
      </c>
      <c r="B364" t="s">
        <v>271</v>
      </c>
      <c r="C364" t="s">
        <v>267</v>
      </c>
      <c r="D364" t="s">
        <v>31</v>
      </c>
      <c r="E364" t="s">
        <v>171</v>
      </c>
      <c r="F364" s="3">
        <v>45107</v>
      </c>
      <c r="G364">
        <v>2023</v>
      </c>
      <c r="H364" t="s">
        <v>33</v>
      </c>
      <c r="I364" t="s">
        <v>47</v>
      </c>
      <c r="J364">
        <v>1</v>
      </c>
      <c r="L364">
        <v>30173</v>
      </c>
      <c r="O364" t="s">
        <v>131</v>
      </c>
      <c r="P364" t="s">
        <v>35</v>
      </c>
      <c r="Q364" t="s">
        <v>272</v>
      </c>
      <c r="R364">
        <v>0</v>
      </c>
      <c r="S364">
        <v>0</v>
      </c>
      <c r="T364" t="s">
        <v>31</v>
      </c>
      <c r="U364" t="s">
        <v>37</v>
      </c>
      <c r="V364" t="s">
        <v>267</v>
      </c>
      <c r="W364" t="s">
        <v>145</v>
      </c>
      <c r="X364" t="s">
        <v>179</v>
      </c>
      <c r="Y364" t="s">
        <v>273</v>
      </c>
      <c r="Z364" t="s">
        <v>274</v>
      </c>
      <c r="AA364" t="s">
        <v>275</v>
      </c>
      <c r="AB364" t="s">
        <v>78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L365">
        <v>48277</v>
      </c>
      <c r="O365" t="s">
        <v>131</v>
      </c>
      <c r="P365" t="s">
        <v>35</v>
      </c>
      <c r="Q365" t="s">
        <v>276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L366">
        <v>78450</v>
      </c>
      <c r="O366" t="s">
        <v>284</v>
      </c>
      <c r="P366" t="s">
        <v>35</v>
      </c>
      <c r="Q366" t="s">
        <v>276</v>
      </c>
      <c r="R366">
        <v>0</v>
      </c>
      <c r="S366">
        <v>0</v>
      </c>
      <c r="T366" t="s">
        <v>443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45473</v>
      </c>
      <c r="G367">
        <v>2024</v>
      </c>
      <c r="H367" t="s">
        <v>33</v>
      </c>
      <c r="I367" t="s">
        <v>51</v>
      </c>
      <c r="J367">
        <v>1</v>
      </c>
      <c r="K367">
        <v>31694</v>
      </c>
      <c r="L367">
        <v>42069</v>
      </c>
      <c r="M367">
        <f>+L367/K367</f>
        <v>1.3273490250520603</v>
      </c>
      <c r="N367">
        <f>+L367/K367</f>
        <v>1.3273490250520603</v>
      </c>
      <c r="O367" t="s">
        <v>35</v>
      </c>
      <c r="P367" t="s">
        <v>35</v>
      </c>
      <c r="Q367" t="s">
        <v>277</v>
      </c>
      <c r="R367">
        <v>0</v>
      </c>
      <c r="S367">
        <v>0</v>
      </c>
      <c r="T367" t="s">
        <v>31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45657</v>
      </c>
      <c r="G368">
        <v>2024</v>
      </c>
      <c r="H368" t="s">
        <v>44</v>
      </c>
      <c r="I368" t="s">
        <v>53</v>
      </c>
      <c r="J368">
        <v>2</v>
      </c>
      <c r="K368">
        <v>47541</v>
      </c>
      <c r="L368">
        <v>46635</v>
      </c>
      <c r="M368">
        <f t="shared" ref="M368:M371" si="52">+L368/K368</f>
        <v>0.98094276519214996</v>
      </c>
      <c r="N368">
        <f t="shared" ref="N368:N371" si="53">+L368/K368</f>
        <v>0.98094276519214996</v>
      </c>
      <c r="O368" t="s">
        <v>35</v>
      </c>
      <c r="P368" t="s">
        <v>35</v>
      </c>
      <c r="Q368" t="s">
        <v>278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K369">
        <v>79235</v>
      </c>
      <c r="L369">
        <v>88704</v>
      </c>
      <c r="M369">
        <f t="shared" si="52"/>
        <v>1.119505269136114</v>
      </c>
      <c r="N369">
        <f t="shared" si="53"/>
        <v>1.119505269136114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443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45838</v>
      </c>
      <c r="G370">
        <v>2025</v>
      </c>
      <c r="H370" t="s">
        <v>33</v>
      </c>
      <c r="I370" t="s">
        <v>404</v>
      </c>
      <c r="J370">
        <v>1</v>
      </c>
      <c r="K370">
        <v>33279</v>
      </c>
      <c r="L370">
        <v>31244</v>
      </c>
      <c r="M370">
        <f t="shared" si="52"/>
        <v>0.93885032603143126</v>
      </c>
      <c r="N370">
        <f t="shared" si="53"/>
        <v>0.93885032603143126</v>
      </c>
      <c r="O370" t="s">
        <v>35</v>
      </c>
      <c r="P370" t="s">
        <v>35</v>
      </c>
      <c r="Q370" t="s">
        <v>424</v>
      </c>
      <c r="R370">
        <v>0</v>
      </c>
      <c r="S370">
        <v>0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46022</v>
      </c>
      <c r="G371">
        <v>2025</v>
      </c>
      <c r="H371" t="s">
        <v>44</v>
      </c>
      <c r="I371" t="s">
        <v>465</v>
      </c>
      <c r="J371">
        <v>2</v>
      </c>
      <c r="K371">
        <v>49918</v>
      </c>
      <c r="L371">
        <v>38989</v>
      </c>
      <c r="M371">
        <f t="shared" si="52"/>
        <v>0.78106093994150405</v>
      </c>
      <c r="N371">
        <f t="shared" si="53"/>
        <v>0.78106093994150405</v>
      </c>
      <c r="O371" t="s">
        <v>35</v>
      </c>
      <c r="P371" t="s">
        <v>35</v>
      </c>
      <c r="Q371" t="s">
        <v>516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367</v>
      </c>
      <c r="B372" t="s">
        <v>500</v>
      </c>
      <c r="C372" t="s">
        <v>267</v>
      </c>
      <c r="D372" t="s">
        <v>66</v>
      </c>
      <c r="E372" t="s">
        <v>32</v>
      </c>
      <c r="F372" s="3">
        <v>44926</v>
      </c>
      <c r="G372">
        <v>2022</v>
      </c>
      <c r="H372" t="s">
        <v>44</v>
      </c>
      <c r="I372" t="s">
        <v>45</v>
      </c>
      <c r="K372">
        <v>5.7</v>
      </c>
      <c r="L372">
        <v>6.7</v>
      </c>
      <c r="M372">
        <f t="shared" ref="M372:M377" si="54">+L372/K372</f>
        <v>1.1754385964912282</v>
      </c>
      <c r="N372">
        <f>+L372/K372</f>
        <v>1.1754385964912282</v>
      </c>
      <c r="O372" t="s">
        <v>58</v>
      </c>
      <c r="P372" t="s">
        <v>58</v>
      </c>
      <c r="Q372" t="s">
        <v>450</v>
      </c>
      <c r="R372">
        <v>1</v>
      </c>
      <c r="S372">
        <v>1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281</v>
      </c>
      <c r="Z372" t="s">
        <v>41</v>
      </c>
      <c r="AA372" t="s">
        <v>42</v>
      </c>
      <c r="AB372" t="s">
        <v>43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J373">
        <v>2</v>
      </c>
      <c r="K373">
        <v>5</v>
      </c>
      <c r="L373">
        <v>6.25</v>
      </c>
      <c r="M373">
        <f t="shared" si="54"/>
        <v>1.25</v>
      </c>
      <c r="N373">
        <f t="shared" ref="N373:N377" si="55">+L373/K373</f>
        <v>1.25</v>
      </c>
      <c r="O373" t="s">
        <v>58</v>
      </c>
      <c r="P373" t="s">
        <v>58</v>
      </c>
      <c r="Q373" t="s">
        <v>280</v>
      </c>
      <c r="R373">
        <v>2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K374">
        <v>5</v>
      </c>
      <c r="L374">
        <v>6.25</v>
      </c>
      <c r="M374">
        <f t="shared" si="54"/>
        <v>1.25</v>
      </c>
      <c r="N374">
        <f t="shared" si="55"/>
        <v>1.25</v>
      </c>
      <c r="O374" t="s">
        <v>58</v>
      </c>
      <c r="P374" t="s">
        <v>58</v>
      </c>
      <c r="Q374" t="s">
        <v>280</v>
      </c>
      <c r="R374">
        <v>0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45657</v>
      </c>
      <c r="G375">
        <v>2024</v>
      </c>
      <c r="H375" t="s">
        <v>44</v>
      </c>
      <c r="I375" t="s">
        <v>53</v>
      </c>
      <c r="J375">
        <v>2</v>
      </c>
      <c r="K375">
        <v>5</v>
      </c>
      <c r="L375">
        <v>4.96</v>
      </c>
      <c r="M375">
        <f t="shared" si="54"/>
        <v>0.99199999999999999</v>
      </c>
      <c r="N375">
        <f t="shared" si="55"/>
        <v>0.99199999999999999</v>
      </c>
      <c r="O375" t="s">
        <v>58</v>
      </c>
      <c r="P375" t="s">
        <v>58</v>
      </c>
      <c r="Q375" t="s">
        <v>282</v>
      </c>
      <c r="R375">
        <v>2</v>
      </c>
      <c r="S375">
        <v>2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K376">
        <v>5</v>
      </c>
      <c r="L376">
        <v>4.96</v>
      </c>
      <c r="M376">
        <f t="shared" si="54"/>
        <v>0.99199999999999999</v>
      </c>
      <c r="N376">
        <f t="shared" si="55"/>
        <v>0.99199999999999999</v>
      </c>
      <c r="O376" t="s">
        <v>58</v>
      </c>
      <c r="P376" t="s">
        <v>58</v>
      </c>
      <c r="Q376" t="s">
        <v>282</v>
      </c>
      <c r="R376">
        <v>0</v>
      </c>
      <c r="S376">
        <v>2</v>
      </c>
      <c r="T376" t="s">
        <v>443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46022</v>
      </c>
      <c r="G377">
        <v>2025</v>
      </c>
      <c r="H377" t="s">
        <v>44</v>
      </c>
      <c r="I377" t="s">
        <v>465</v>
      </c>
      <c r="J377">
        <v>2</v>
      </c>
      <c r="K377">
        <v>5</v>
      </c>
      <c r="L377">
        <v>3.82</v>
      </c>
      <c r="M377">
        <f t="shared" si="54"/>
        <v>0.76400000000000001</v>
      </c>
      <c r="N377">
        <f t="shared" si="55"/>
        <v>0.76400000000000001</v>
      </c>
      <c r="O377" t="s">
        <v>58</v>
      </c>
      <c r="P377" t="s">
        <v>58</v>
      </c>
      <c r="Q377" t="s">
        <v>499</v>
      </c>
      <c r="R377">
        <v>1</v>
      </c>
      <c r="S377">
        <v>2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369</v>
      </c>
      <c r="B378" t="s">
        <v>283</v>
      </c>
      <c r="C378" t="s">
        <v>267</v>
      </c>
      <c r="D378" t="s">
        <v>31</v>
      </c>
      <c r="E378" t="s">
        <v>32</v>
      </c>
      <c r="F378" s="3">
        <v>45107</v>
      </c>
      <c r="G378">
        <v>2023</v>
      </c>
      <c r="H378" t="s">
        <v>33</v>
      </c>
      <c r="I378" t="s">
        <v>47</v>
      </c>
      <c r="J378">
        <v>1</v>
      </c>
      <c r="L378">
        <v>78</v>
      </c>
      <c r="O378" t="s">
        <v>284</v>
      </c>
      <c r="P378" t="s">
        <v>35</v>
      </c>
      <c r="Q378" t="s">
        <v>285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41</v>
      </c>
      <c r="AA378" t="s">
        <v>42</v>
      </c>
      <c r="AB378" t="s">
        <v>78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45291</v>
      </c>
      <c r="G379">
        <v>2023</v>
      </c>
      <c r="H379" t="s">
        <v>44</v>
      </c>
      <c r="I379" t="s">
        <v>49</v>
      </c>
      <c r="J379">
        <v>2</v>
      </c>
      <c r="L379">
        <v>96</v>
      </c>
      <c r="O379" t="s">
        <v>284</v>
      </c>
      <c r="P379" t="s">
        <v>35</v>
      </c>
      <c r="Q379" t="s">
        <v>286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L380">
        <v>174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45473</v>
      </c>
      <c r="G381">
        <v>2024</v>
      </c>
      <c r="H381" t="s">
        <v>33</v>
      </c>
      <c r="I381" t="s">
        <v>51</v>
      </c>
      <c r="J381">
        <v>1</v>
      </c>
      <c r="K381">
        <v>80</v>
      </c>
      <c r="L381">
        <v>61</v>
      </c>
      <c r="M381">
        <f>+L381/K381</f>
        <v>0.76249999999999996</v>
      </c>
      <c r="N381">
        <f t="shared" ref="N381:N386" si="56">+L381/K381</f>
        <v>0.76249999999999996</v>
      </c>
      <c r="O381" t="s">
        <v>35</v>
      </c>
      <c r="P381" t="s">
        <v>35</v>
      </c>
      <c r="Q381" t="s">
        <v>287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45657</v>
      </c>
      <c r="G382">
        <v>2024</v>
      </c>
      <c r="H382" t="s">
        <v>44</v>
      </c>
      <c r="I382" t="s">
        <v>53</v>
      </c>
      <c r="J382">
        <v>2</v>
      </c>
      <c r="K382">
        <v>108</v>
      </c>
      <c r="L382">
        <v>77</v>
      </c>
      <c r="M382">
        <f t="shared" ref="M382:M385" si="57">+L382/K382</f>
        <v>0.71296296296296291</v>
      </c>
      <c r="N382">
        <f t="shared" si="56"/>
        <v>0.71296296296296291</v>
      </c>
      <c r="O382" t="s">
        <v>35</v>
      </c>
      <c r="P382" t="s">
        <v>35</v>
      </c>
      <c r="Q382" t="s">
        <v>288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K383">
        <v>188</v>
      </c>
      <c r="L383">
        <v>138</v>
      </c>
      <c r="M383">
        <f t="shared" si="57"/>
        <v>0.73404255319148937</v>
      </c>
      <c r="N383">
        <f t="shared" si="56"/>
        <v>0.73404255319148937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45838</v>
      </c>
      <c r="G384">
        <v>2025</v>
      </c>
      <c r="H384" t="s">
        <v>33</v>
      </c>
      <c r="I384" t="s">
        <v>404</v>
      </c>
      <c r="J384">
        <v>1</v>
      </c>
      <c r="K384">
        <v>81</v>
      </c>
      <c r="L384">
        <v>72</v>
      </c>
      <c r="M384">
        <f t="shared" si="57"/>
        <v>0.88888888888888884</v>
      </c>
      <c r="N384">
        <f t="shared" si="56"/>
        <v>0.88888888888888884</v>
      </c>
      <c r="O384" t="s">
        <v>35</v>
      </c>
      <c r="P384" t="s">
        <v>35</v>
      </c>
      <c r="Q384" t="s">
        <v>428</v>
      </c>
      <c r="R384">
        <v>0</v>
      </c>
      <c r="S384">
        <v>0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46022</v>
      </c>
      <c r="G385">
        <v>2025</v>
      </c>
      <c r="H385" t="s">
        <v>44</v>
      </c>
      <c r="I385" t="s">
        <v>465</v>
      </c>
      <c r="J385">
        <v>2</v>
      </c>
      <c r="K385">
        <f>98+11</f>
        <v>109</v>
      </c>
      <c r="L385">
        <f>94+24</f>
        <v>118</v>
      </c>
      <c r="M385">
        <f t="shared" si="57"/>
        <v>1.0825688073394495</v>
      </c>
      <c r="N385">
        <f t="shared" si="56"/>
        <v>1.0825688073394495</v>
      </c>
      <c r="O385" t="s">
        <v>35</v>
      </c>
      <c r="P385" t="s">
        <v>35</v>
      </c>
      <c r="Q385" t="s">
        <v>517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376</v>
      </c>
      <c r="B386" t="s">
        <v>473</v>
      </c>
      <c r="C386" t="s">
        <v>142</v>
      </c>
      <c r="D386" t="s">
        <v>31</v>
      </c>
      <c r="E386" t="s">
        <v>32</v>
      </c>
      <c r="F386" s="3">
        <v>44925</v>
      </c>
      <c r="G386">
        <v>2022</v>
      </c>
      <c r="H386" t="s">
        <v>44</v>
      </c>
      <c r="I386" t="s">
        <v>45</v>
      </c>
      <c r="J386">
        <v>2</v>
      </c>
      <c r="K386">
        <v>16064</v>
      </c>
      <c r="L386">
        <v>24140</v>
      </c>
      <c r="M386">
        <f>+L386/K386</f>
        <v>1.5027390438247012</v>
      </c>
      <c r="N386">
        <f t="shared" si="56"/>
        <v>1.5027390438247012</v>
      </c>
      <c r="O386" t="s">
        <v>143</v>
      </c>
      <c r="P386" t="s">
        <v>143</v>
      </c>
      <c r="Q386" t="s">
        <v>291</v>
      </c>
      <c r="R386">
        <v>0</v>
      </c>
      <c r="S386">
        <v>0</v>
      </c>
      <c r="T386" t="s">
        <v>31</v>
      </c>
      <c r="U386" t="s">
        <v>37</v>
      </c>
      <c r="V386" t="s">
        <v>142</v>
      </c>
      <c r="W386" t="s">
        <v>145</v>
      </c>
      <c r="X386" t="s">
        <v>146</v>
      </c>
      <c r="Y386" t="s">
        <v>147</v>
      </c>
      <c r="Z386" t="s">
        <v>63</v>
      </c>
      <c r="AA386" t="s">
        <v>148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K387">
        <v>16064</v>
      </c>
      <c r="L387">
        <v>24140</v>
      </c>
      <c r="M387">
        <f t="shared" ref="M387:M393" si="58">+L387/K387</f>
        <v>1.5027390438247012</v>
      </c>
      <c r="N387">
        <f t="shared" ref="N387:N393" si="59">+L387/K387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443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45291</v>
      </c>
      <c r="G388">
        <v>2023</v>
      </c>
      <c r="H388" t="s">
        <v>44</v>
      </c>
      <c r="I388" t="s">
        <v>49</v>
      </c>
      <c r="J388">
        <v>2</v>
      </c>
      <c r="K388">
        <v>26073.47270271854</v>
      </c>
      <c r="L388">
        <v>26403.087925999898</v>
      </c>
      <c r="M388">
        <f t="shared" si="58"/>
        <v>1.0126417845079374</v>
      </c>
      <c r="N388">
        <f t="shared" si="59"/>
        <v>1.0126417845079374</v>
      </c>
      <c r="O388" t="s">
        <v>143</v>
      </c>
      <c r="P388" t="s">
        <v>143</v>
      </c>
      <c r="Q388" t="s">
        <v>293</v>
      </c>
      <c r="R388">
        <v>0</v>
      </c>
      <c r="S388">
        <v>0</v>
      </c>
      <c r="T388" t="s">
        <v>31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K389">
        <v>26073.47270271854</v>
      </c>
      <c r="L389">
        <v>26403.087925999949</v>
      </c>
      <c r="M389">
        <f t="shared" si="58"/>
        <v>1.0126417845079394</v>
      </c>
      <c r="N389">
        <f t="shared" si="59"/>
        <v>1.0126417845079394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443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45657</v>
      </c>
      <c r="G390">
        <v>2024</v>
      </c>
      <c r="H390" t="s">
        <v>44</v>
      </c>
      <c r="I390" t="s">
        <v>53</v>
      </c>
      <c r="J390">
        <v>2</v>
      </c>
      <c r="K390">
        <v>27010.108280834509</v>
      </c>
      <c r="L390">
        <v>29467.922112</v>
      </c>
      <c r="M390">
        <f t="shared" si="58"/>
        <v>1.0909960747143497</v>
      </c>
      <c r="N390">
        <f t="shared" si="59"/>
        <v>1.0909960747143497</v>
      </c>
      <c r="O390" t="s">
        <v>143</v>
      </c>
      <c r="P390" t="s">
        <v>143</v>
      </c>
      <c r="Q390" t="s">
        <v>295</v>
      </c>
      <c r="R390">
        <v>0</v>
      </c>
      <c r="S390">
        <v>0</v>
      </c>
      <c r="T390" t="s">
        <v>31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K391">
        <v>27010.108280834509</v>
      </c>
      <c r="L391">
        <v>29467.922112</v>
      </c>
      <c r="M391">
        <f t="shared" si="58"/>
        <v>1.0909960747143497</v>
      </c>
      <c r="N391">
        <f t="shared" si="59"/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443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46022</v>
      </c>
      <c r="G392">
        <v>2025</v>
      </c>
      <c r="H392" t="s">
        <v>44</v>
      </c>
      <c r="I392" t="s">
        <v>465</v>
      </c>
      <c r="J392">
        <v>2</v>
      </c>
      <c r="K392">
        <v>32126.483745582696</v>
      </c>
      <c r="L392">
        <f>32126882709.8297/1000000</f>
        <v>32126.882709829701</v>
      </c>
      <c r="M392">
        <f t="shared" si="58"/>
        <v>1.0000124185469585</v>
      </c>
      <c r="N392">
        <f t="shared" si="59"/>
        <v>1.0000124185469585</v>
      </c>
      <c r="O392" t="s">
        <v>143</v>
      </c>
      <c r="P392" t="s">
        <v>143</v>
      </c>
      <c r="Q392" t="s">
        <v>498</v>
      </c>
      <c r="R392">
        <v>0</v>
      </c>
      <c r="S392">
        <v>0</v>
      </c>
      <c r="T392" t="s">
        <v>31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K393">
        <v>32126.483745582696</v>
      </c>
      <c r="L393">
        <f>32126882709.8297/1000000</f>
        <v>32126.882709829701</v>
      </c>
      <c r="M393">
        <f t="shared" si="58"/>
        <v>1.0000124185469585</v>
      </c>
      <c r="N393">
        <f t="shared" si="59"/>
        <v>1.0000124185469585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443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377</v>
      </c>
      <c r="B394" t="s">
        <v>296</v>
      </c>
      <c r="C394" t="s">
        <v>142</v>
      </c>
      <c r="D394" t="s">
        <v>31</v>
      </c>
      <c r="E394" t="s">
        <v>32</v>
      </c>
      <c r="F394" s="3">
        <v>45291</v>
      </c>
      <c r="G394">
        <v>2023</v>
      </c>
      <c r="H394" t="s">
        <v>44</v>
      </c>
      <c r="I394" t="s">
        <v>49</v>
      </c>
      <c r="J394">
        <v>2</v>
      </c>
      <c r="K394">
        <v>12518.005306706251</v>
      </c>
      <c r="L394">
        <v>7607.1384189999999</v>
      </c>
      <c r="M394">
        <v>1.3</v>
      </c>
      <c r="N394">
        <v>1.6455603430904591</v>
      </c>
      <c r="O394" t="s">
        <v>143</v>
      </c>
      <c r="P394" t="s">
        <v>143</v>
      </c>
      <c r="Q394" t="s">
        <v>298</v>
      </c>
      <c r="R394">
        <v>0</v>
      </c>
      <c r="S394">
        <v>0</v>
      </c>
      <c r="T394" t="s">
        <v>31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K395">
        <v>12518.005306706251</v>
      </c>
      <c r="L395">
        <v>7607.138418999999</v>
      </c>
      <c r="M395">
        <v>1.3</v>
      </c>
      <c r="N395">
        <v>1.64556034309046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443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45657</v>
      </c>
      <c r="G396">
        <v>2024</v>
      </c>
      <c r="H396" t="s">
        <v>44</v>
      </c>
      <c r="I396" t="s">
        <v>53</v>
      </c>
      <c r="J396">
        <v>2</v>
      </c>
      <c r="K396">
        <v>9557.1950106811255</v>
      </c>
      <c r="L396">
        <v>11947.626618</v>
      </c>
      <c r="M396">
        <v>1.2501185342192269</v>
      </c>
      <c r="N396">
        <v>1.2501185342192269</v>
      </c>
      <c r="O396" t="s">
        <v>143</v>
      </c>
      <c r="P396" t="s">
        <v>143</v>
      </c>
      <c r="Q396" t="s">
        <v>300</v>
      </c>
      <c r="R396">
        <v>0</v>
      </c>
      <c r="S396">
        <v>0</v>
      </c>
      <c r="T396" t="s">
        <v>31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443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46022</v>
      </c>
      <c r="G398">
        <v>2025</v>
      </c>
      <c r="H398" t="s">
        <v>44</v>
      </c>
      <c r="I398" t="s">
        <v>465</v>
      </c>
      <c r="J398">
        <v>2</v>
      </c>
      <c r="L398">
        <v>10285.243493</v>
      </c>
      <c r="O398" t="s">
        <v>143</v>
      </c>
      <c r="P398" t="s">
        <v>143</v>
      </c>
      <c r="Q398" t="s">
        <v>497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379</v>
      </c>
      <c r="B399" t="s">
        <v>301</v>
      </c>
      <c r="C399" t="s">
        <v>302</v>
      </c>
      <c r="D399" t="s">
        <v>31</v>
      </c>
      <c r="E399" t="s">
        <v>32</v>
      </c>
      <c r="F399" s="3">
        <v>43281</v>
      </c>
      <c r="G399">
        <f t="shared" ref="G399:G410" si="60">YEAR(F399)</f>
        <v>2018</v>
      </c>
      <c r="H399" t="str">
        <f t="shared" ref="H399:H410" si="61">PROPER(TEXT(F399,"mmmm"))</f>
        <v>Junio</v>
      </c>
      <c r="I399" t="str">
        <f t="shared" ref="I399:I410" si="62">IF(H399="Junio",G399&amp;"-1",G399&amp;"-2")</f>
        <v>2018-1</v>
      </c>
      <c r="J399">
        <v>1</v>
      </c>
      <c r="L399" s="4">
        <v>11960</v>
      </c>
      <c r="O399" t="s">
        <v>35</v>
      </c>
      <c r="P399" t="s">
        <v>35</v>
      </c>
      <c r="Q399" t="str">
        <f t="shared" ref="Q399:Q410" si="63">A399&amp;"-"&amp;TEXT(F399,"yyyy-mm-dd")</f>
        <v>379-2018-06-30</v>
      </c>
      <c r="R399">
        <v>0</v>
      </c>
      <c r="S399">
        <v>0</v>
      </c>
      <c r="T399" t="s">
        <v>31</v>
      </c>
      <c r="U399" t="s">
        <v>37</v>
      </c>
      <c r="V399" t="s">
        <v>302</v>
      </c>
      <c r="W399" t="s">
        <v>38</v>
      </c>
      <c r="X399" t="s">
        <v>39</v>
      </c>
      <c r="Y399" t="s">
        <v>40</v>
      </c>
      <c r="Z399" t="s">
        <v>41</v>
      </c>
      <c r="AA399" t="s">
        <v>42</v>
      </c>
      <c r="AB399" t="s">
        <v>78</v>
      </c>
      <c r="AC399" t="s">
        <v>31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43465</v>
      </c>
      <c r="G400">
        <f t="shared" si="60"/>
        <v>2018</v>
      </c>
      <c r="H400" t="str">
        <f t="shared" si="61"/>
        <v>Diciembre</v>
      </c>
      <c r="I400" t="str">
        <f t="shared" si="62"/>
        <v>2018-2</v>
      </c>
      <c r="L400">
        <v>22872</v>
      </c>
      <c r="O400" t="s">
        <v>35</v>
      </c>
      <c r="P400" t="s">
        <v>35</v>
      </c>
      <c r="Q400" t="str">
        <f t="shared" si="63"/>
        <v>379-2018-12-31</v>
      </c>
      <c r="R400">
        <v>0</v>
      </c>
      <c r="S400">
        <v>0</v>
      </c>
      <c r="T400" t="s">
        <v>443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60"/>
        <v>2018</v>
      </c>
      <c r="H401" t="str">
        <f t="shared" si="61"/>
        <v>Diciembre</v>
      </c>
      <c r="I401" t="str">
        <f t="shared" si="62"/>
        <v>2018-2</v>
      </c>
      <c r="J401">
        <v>2</v>
      </c>
      <c r="L401" s="4">
        <v>10912</v>
      </c>
      <c r="O401" t="s">
        <v>35</v>
      </c>
      <c r="P401" t="s">
        <v>35</v>
      </c>
      <c r="Q401" t="str">
        <f t="shared" si="63"/>
        <v>379-2018-12-31</v>
      </c>
      <c r="R401">
        <v>0</v>
      </c>
      <c r="S401">
        <v>0</v>
      </c>
      <c r="T401" t="s">
        <v>31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43646</v>
      </c>
      <c r="G402">
        <f t="shared" si="60"/>
        <v>2019</v>
      </c>
      <c r="H402" t="str">
        <f t="shared" si="61"/>
        <v>Junio</v>
      </c>
      <c r="I402" t="str">
        <f t="shared" si="62"/>
        <v>2019-1</v>
      </c>
      <c r="J402">
        <v>1</v>
      </c>
      <c r="L402" s="4">
        <v>12993</v>
      </c>
      <c r="O402" t="s">
        <v>35</v>
      </c>
      <c r="P402" t="s">
        <v>35</v>
      </c>
      <c r="Q402" t="str">
        <f t="shared" si="63"/>
        <v>379-2019-06-30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43830</v>
      </c>
      <c r="G403">
        <f t="shared" si="60"/>
        <v>2019</v>
      </c>
      <c r="H403" t="str">
        <f t="shared" si="61"/>
        <v>Diciembre</v>
      </c>
      <c r="I403" t="str">
        <f t="shared" si="62"/>
        <v>2019-2</v>
      </c>
      <c r="J403">
        <v>2</v>
      </c>
      <c r="L403" s="4">
        <v>9616</v>
      </c>
      <c r="O403" t="s">
        <v>35</v>
      </c>
      <c r="P403" t="s">
        <v>35</v>
      </c>
      <c r="Q403" t="str">
        <f t="shared" si="63"/>
        <v>379-2019-12-31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60"/>
        <v>2019</v>
      </c>
      <c r="H404" t="str">
        <f t="shared" si="61"/>
        <v>Diciembre</v>
      </c>
      <c r="I404" t="str">
        <f t="shared" si="62"/>
        <v>2019-2</v>
      </c>
      <c r="L404">
        <v>22609</v>
      </c>
      <c r="O404" t="s">
        <v>35</v>
      </c>
      <c r="P404" t="s">
        <v>35</v>
      </c>
      <c r="Q404" t="str">
        <f t="shared" si="63"/>
        <v>379-2019-12-31</v>
      </c>
      <c r="R404">
        <v>0</v>
      </c>
      <c r="S404">
        <v>0</v>
      </c>
      <c r="T404" t="s">
        <v>443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44012</v>
      </c>
      <c r="G405">
        <f t="shared" si="60"/>
        <v>2020</v>
      </c>
      <c r="H405" t="str">
        <f t="shared" si="61"/>
        <v>Junio</v>
      </c>
      <c r="I405" t="str">
        <f t="shared" si="62"/>
        <v>2020-1</v>
      </c>
      <c r="J405">
        <v>1</v>
      </c>
      <c r="L405" s="4">
        <v>11830</v>
      </c>
      <c r="O405" t="s">
        <v>35</v>
      </c>
      <c r="P405" t="s">
        <v>35</v>
      </c>
      <c r="Q405" t="str">
        <f t="shared" si="63"/>
        <v>379-2020-06-30</v>
      </c>
      <c r="R405">
        <v>0</v>
      </c>
      <c r="S405">
        <v>0</v>
      </c>
      <c r="T405" t="s">
        <v>31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44196</v>
      </c>
      <c r="G406">
        <f t="shared" si="60"/>
        <v>2020</v>
      </c>
      <c r="H406" t="str">
        <f t="shared" si="61"/>
        <v>Diciembre</v>
      </c>
      <c r="I406" t="str">
        <f t="shared" si="62"/>
        <v>2020-2</v>
      </c>
      <c r="J406">
        <v>2</v>
      </c>
      <c r="L406" s="4">
        <v>10182</v>
      </c>
      <c r="O406" t="s">
        <v>35</v>
      </c>
      <c r="P406" t="s">
        <v>35</v>
      </c>
      <c r="Q406" t="str">
        <f t="shared" si="63"/>
        <v>379-2020-12-31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60"/>
        <v>2020</v>
      </c>
      <c r="H407" t="str">
        <f t="shared" si="61"/>
        <v>Diciembre</v>
      </c>
      <c r="I407" t="str">
        <f t="shared" si="62"/>
        <v>2020-2</v>
      </c>
      <c r="L407">
        <v>22012</v>
      </c>
      <c r="O407" t="s">
        <v>35</v>
      </c>
      <c r="P407" t="s">
        <v>35</v>
      </c>
      <c r="Q407" t="str">
        <f t="shared" si="63"/>
        <v>379-2020-12-31</v>
      </c>
      <c r="R407">
        <v>0</v>
      </c>
      <c r="S407">
        <v>0</v>
      </c>
      <c r="T407" t="s">
        <v>443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44377</v>
      </c>
      <c r="G408">
        <f t="shared" si="60"/>
        <v>2021</v>
      </c>
      <c r="H408" t="str">
        <f t="shared" si="61"/>
        <v>Junio</v>
      </c>
      <c r="I408" t="str">
        <f t="shared" si="62"/>
        <v>2021-1</v>
      </c>
      <c r="J408">
        <v>1</v>
      </c>
      <c r="L408" s="4">
        <v>10300</v>
      </c>
      <c r="O408" t="s">
        <v>35</v>
      </c>
      <c r="P408" t="s">
        <v>35</v>
      </c>
      <c r="Q408" t="str">
        <f t="shared" si="63"/>
        <v>379-2021-06-30</v>
      </c>
      <c r="R408">
        <v>0</v>
      </c>
      <c r="S408">
        <v>0</v>
      </c>
      <c r="T408" t="s">
        <v>31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44561</v>
      </c>
      <c r="G409">
        <f t="shared" si="60"/>
        <v>2021</v>
      </c>
      <c r="H409" t="str">
        <f t="shared" si="61"/>
        <v>Diciembre</v>
      </c>
      <c r="I409" t="str">
        <f t="shared" si="62"/>
        <v>2021-2</v>
      </c>
      <c r="J409">
        <v>2</v>
      </c>
      <c r="L409" s="4">
        <v>8229</v>
      </c>
      <c r="O409" t="s">
        <v>35</v>
      </c>
      <c r="P409" t="s">
        <v>35</v>
      </c>
      <c r="Q409" t="str">
        <f t="shared" si="63"/>
        <v>379-2021-12-31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60"/>
        <v>2021</v>
      </c>
      <c r="H410" t="str">
        <f t="shared" si="61"/>
        <v>Diciembre</v>
      </c>
      <c r="I410" t="str">
        <f t="shared" si="62"/>
        <v>2021-2</v>
      </c>
      <c r="L410">
        <v>18529</v>
      </c>
      <c r="O410" t="s">
        <v>35</v>
      </c>
      <c r="P410" t="s">
        <v>35</v>
      </c>
      <c r="Q410" t="str">
        <f t="shared" si="63"/>
        <v>379-2021-12-31</v>
      </c>
      <c r="R410">
        <v>0</v>
      </c>
      <c r="S410">
        <v>0</v>
      </c>
      <c r="T410" t="s">
        <v>443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44742</v>
      </c>
      <c r="G411">
        <v>2022</v>
      </c>
      <c r="H411" t="s">
        <v>33</v>
      </c>
      <c r="I411" t="s">
        <v>34</v>
      </c>
      <c r="J411">
        <v>1</v>
      </c>
      <c r="K411">
        <v>10808</v>
      </c>
      <c r="L411">
        <v>11012</v>
      </c>
      <c r="M411">
        <f>+L411/K411</f>
        <v>1.0188749074759438</v>
      </c>
      <c r="N411">
        <f>+L411/K411</f>
        <v>1.0188749074759438</v>
      </c>
      <c r="O411" t="s">
        <v>35</v>
      </c>
      <c r="P411" t="s">
        <v>35</v>
      </c>
      <c r="Q411" t="s">
        <v>303</v>
      </c>
      <c r="R411">
        <v>0</v>
      </c>
      <c r="S411">
        <v>0</v>
      </c>
      <c r="T411" t="s">
        <v>31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44926</v>
      </c>
      <c r="G412">
        <v>2022</v>
      </c>
      <c r="H412" t="s">
        <v>44</v>
      </c>
      <c r="I412" t="s">
        <v>45</v>
      </c>
      <c r="J412">
        <v>2</v>
      </c>
      <c r="K412">
        <v>9192</v>
      </c>
      <c r="L412">
        <v>9578</v>
      </c>
      <c r="M412">
        <f t="shared" ref="M412:M421" si="64">+L412/K412</f>
        <v>1.0419930374238469</v>
      </c>
      <c r="N412">
        <f t="shared" ref="N412:N421" si="65">+L412/K412</f>
        <v>1.0419930374238469</v>
      </c>
      <c r="O412" t="s">
        <v>35</v>
      </c>
      <c r="P412" t="s">
        <v>35</v>
      </c>
      <c r="Q412" t="s">
        <v>304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K413">
        <v>20000</v>
      </c>
      <c r="L413">
        <v>20590</v>
      </c>
      <c r="M413">
        <f t="shared" si="64"/>
        <v>1.0295000000000001</v>
      </c>
      <c r="N413">
        <f t="shared" si="65"/>
        <v>1.0295000000000001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45107</v>
      </c>
      <c r="G414">
        <v>2023</v>
      </c>
      <c r="H414" t="s">
        <v>33</v>
      </c>
      <c r="I414" t="s">
        <v>47</v>
      </c>
      <c r="J414">
        <v>1</v>
      </c>
      <c r="K414">
        <v>12130</v>
      </c>
      <c r="L414">
        <v>12382</v>
      </c>
      <c r="M414">
        <f t="shared" si="64"/>
        <v>1.0207749381698268</v>
      </c>
      <c r="N414">
        <f t="shared" si="65"/>
        <v>1.0207749381698268</v>
      </c>
      <c r="O414" t="s">
        <v>35</v>
      </c>
      <c r="P414" t="s">
        <v>35</v>
      </c>
      <c r="Q414" t="s">
        <v>305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45291</v>
      </c>
      <c r="G415">
        <v>2023</v>
      </c>
      <c r="H415" t="s">
        <v>44</v>
      </c>
      <c r="I415" t="s">
        <v>49</v>
      </c>
      <c r="J415">
        <v>2</v>
      </c>
      <c r="K415">
        <v>9876</v>
      </c>
      <c r="L415">
        <v>10605</v>
      </c>
      <c r="M415">
        <f t="shared" si="64"/>
        <v>1.0738153098420413</v>
      </c>
      <c r="N415">
        <f t="shared" si="65"/>
        <v>1.0738153098420413</v>
      </c>
      <c r="O415" t="s">
        <v>35</v>
      </c>
      <c r="P415" t="s">
        <v>35</v>
      </c>
      <c r="Q415" t="s">
        <v>306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K416">
        <v>22006</v>
      </c>
      <c r="L416">
        <v>22987</v>
      </c>
      <c r="M416">
        <f t="shared" si="64"/>
        <v>1.0445787512496592</v>
      </c>
      <c r="N416">
        <f t="shared" si="65"/>
        <v>1.0445787512496592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443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45473</v>
      </c>
      <c r="G417">
        <v>2024</v>
      </c>
      <c r="H417" t="s">
        <v>33</v>
      </c>
      <c r="I417" t="s">
        <v>51</v>
      </c>
      <c r="J417">
        <v>1</v>
      </c>
      <c r="K417">
        <v>13590</v>
      </c>
      <c r="L417">
        <v>12987</v>
      </c>
      <c r="M417">
        <f t="shared" si="64"/>
        <v>0.95562913907284763</v>
      </c>
      <c r="N417">
        <f t="shared" si="65"/>
        <v>0.95562913907284763</v>
      </c>
      <c r="O417" t="s">
        <v>35</v>
      </c>
      <c r="P417" t="s">
        <v>35</v>
      </c>
      <c r="Q417" t="s">
        <v>307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45657</v>
      </c>
      <c r="G418">
        <v>2024</v>
      </c>
      <c r="H418" t="s">
        <v>44</v>
      </c>
      <c r="I418" t="s">
        <v>53</v>
      </c>
      <c r="J418">
        <v>2</v>
      </c>
      <c r="K418">
        <v>10675</v>
      </c>
      <c r="L418">
        <v>10569</v>
      </c>
      <c r="M418">
        <f t="shared" si="64"/>
        <v>0.99007025761124123</v>
      </c>
      <c r="N418">
        <f t="shared" si="65"/>
        <v>0.99007025761124123</v>
      </c>
      <c r="O418" t="s">
        <v>35</v>
      </c>
      <c r="P418" t="s">
        <v>35</v>
      </c>
      <c r="Q418" t="s">
        <v>308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K419">
        <v>24265</v>
      </c>
      <c r="L419">
        <v>23556</v>
      </c>
      <c r="M419">
        <f t="shared" si="64"/>
        <v>0.97078096023078508</v>
      </c>
      <c r="N419">
        <f t="shared" si="65"/>
        <v>0.97078096023078508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443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45838</v>
      </c>
      <c r="G420">
        <v>2025</v>
      </c>
      <c r="H420" t="s">
        <v>33</v>
      </c>
      <c r="I420" t="s">
        <v>404</v>
      </c>
      <c r="J420">
        <v>1</v>
      </c>
      <c r="K420">
        <v>13609</v>
      </c>
      <c r="L420">
        <v>14141</v>
      </c>
      <c r="M420">
        <f t="shared" si="64"/>
        <v>1.0390917775001838</v>
      </c>
      <c r="N420">
        <f t="shared" si="65"/>
        <v>1.0390917775001838</v>
      </c>
      <c r="O420" t="s">
        <v>35</v>
      </c>
      <c r="P420" t="s">
        <v>35</v>
      </c>
      <c r="Q420" t="s">
        <v>412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46022</v>
      </c>
      <c r="G421">
        <f>YEAR(F421)</f>
        <v>2025</v>
      </c>
      <c r="H421" t="str">
        <f>PROPER(TEXT(F421,"mmmm"))</f>
        <v>Diciembre</v>
      </c>
      <c r="I421" t="str">
        <f>IF(H421="Junio",G421&amp;"-1",G421&amp;"-2")</f>
        <v>2025-2</v>
      </c>
      <c r="J421">
        <v>2</v>
      </c>
      <c r="K421">
        <v>11019</v>
      </c>
      <c r="L421">
        <v>11285</v>
      </c>
      <c r="M421">
        <f t="shared" si="64"/>
        <v>1.0241401216081314</v>
      </c>
      <c r="N421">
        <f t="shared" si="65"/>
        <v>1.0241401216081314</v>
      </c>
      <c r="O421" t="s">
        <v>35</v>
      </c>
      <c r="P421" t="s">
        <v>35</v>
      </c>
      <c r="Q421" t="str">
        <f>A421&amp;"-"&amp;TEXT(F421,"yyyy-mm-dd")</f>
        <v>379-2025-12-31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385</v>
      </c>
      <c r="B422" t="s">
        <v>309</v>
      </c>
      <c r="C422" t="s">
        <v>310</v>
      </c>
      <c r="D422" t="s">
        <v>31</v>
      </c>
      <c r="E422" t="s">
        <v>32</v>
      </c>
      <c r="F422" s="3">
        <v>44926</v>
      </c>
      <c r="G422">
        <v>2022</v>
      </c>
      <c r="H422" t="s">
        <v>44</v>
      </c>
      <c r="I422" t="s">
        <v>45</v>
      </c>
      <c r="J422">
        <v>2</v>
      </c>
      <c r="K422">
        <v>13361</v>
      </c>
      <c r="L422">
        <v>10035.311890999999</v>
      </c>
      <c r="M422">
        <f>L422/K422</f>
        <v>0.75108988032332902</v>
      </c>
      <c r="N422">
        <f>L422/K422</f>
        <v>0.75108988032332902</v>
      </c>
      <c r="O422" t="s">
        <v>143</v>
      </c>
      <c r="P422" t="s">
        <v>143</v>
      </c>
      <c r="Q422" t="s">
        <v>315</v>
      </c>
      <c r="R422">
        <v>0</v>
      </c>
      <c r="S422">
        <v>0</v>
      </c>
      <c r="T422" t="s">
        <v>31</v>
      </c>
      <c r="U422" t="s">
        <v>37</v>
      </c>
      <c r="V422" t="s">
        <v>310</v>
      </c>
      <c r="W422" t="s">
        <v>312</v>
      </c>
      <c r="X422" t="s">
        <v>313</v>
      </c>
      <c r="Y422" t="s">
        <v>314</v>
      </c>
      <c r="Z422" t="s">
        <v>63</v>
      </c>
      <c r="AA422" t="s">
        <v>148</v>
      </c>
      <c r="AB422" t="s">
        <v>43</v>
      </c>
      <c r="AC422" t="s">
        <v>66</v>
      </c>
    </row>
    <row r="423" spans="1:29" x14ac:dyDescent="0.3">
      <c r="A423">
        <v>385</v>
      </c>
      <c r="B423" t="s">
        <v>309</v>
      </c>
      <c r="C423" t="s">
        <v>310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K423">
        <v>13361</v>
      </c>
      <c r="L423">
        <v>10035.311890999999</v>
      </c>
      <c r="M423">
        <f t="shared" ref="M423:M428" si="66">L423/K423</f>
        <v>0.75108988032332902</v>
      </c>
      <c r="N423">
        <f t="shared" ref="N423:N428" si="67">L423/K423</f>
        <v>0.75108988032332902</v>
      </c>
      <c r="O423" t="s">
        <v>143</v>
      </c>
      <c r="P423" t="s">
        <v>143</v>
      </c>
      <c r="Q423" t="s">
        <v>315</v>
      </c>
      <c r="R423">
        <v>0</v>
      </c>
      <c r="S423">
        <v>0</v>
      </c>
      <c r="T423" t="s">
        <v>443</v>
      </c>
      <c r="U423" t="s">
        <v>37</v>
      </c>
      <c r="V423" t="s">
        <v>310</v>
      </c>
      <c r="W423" t="s">
        <v>312</v>
      </c>
      <c r="X423" t="s">
        <v>313</v>
      </c>
      <c r="Y423" t="s">
        <v>314</v>
      </c>
      <c r="Z423" t="s">
        <v>63</v>
      </c>
      <c r="AA423" t="s">
        <v>148</v>
      </c>
      <c r="AB423" t="s">
        <v>43</v>
      </c>
      <c r="AC423" t="s">
        <v>66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45291</v>
      </c>
      <c r="G424">
        <v>2023</v>
      </c>
      <c r="H424" t="s">
        <v>44</v>
      </c>
      <c r="I424" t="s">
        <v>49</v>
      </c>
      <c r="J424">
        <v>2</v>
      </c>
      <c r="K424">
        <v>14097.721</v>
      </c>
      <c r="L424">
        <v>17697.080526999998</v>
      </c>
      <c r="M424">
        <f t="shared" si="66"/>
        <v>1.2553149921891629</v>
      </c>
      <c r="N424">
        <f t="shared" si="67"/>
        <v>1.2553149921891629</v>
      </c>
      <c r="O424" t="s">
        <v>143</v>
      </c>
      <c r="P424" t="s">
        <v>143</v>
      </c>
      <c r="Q424" t="s">
        <v>317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45291</v>
      </c>
      <c r="G425">
        <v>2023</v>
      </c>
      <c r="H425" t="s">
        <v>44</v>
      </c>
      <c r="I425" t="s">
        <v>49</v>
      </c>
      <c r="K425">
        <v>14097.721</v>
      </c>
      <c r="L425">
        <v>17697.080526999998</v>
      </c>
      <c r="M425">
        <f t="shared" si="66"/>
        <v>1.2553149921891629</v>
      </c>
      <c r="N425">
        <f t="shared" si="67"/>
        <v>1.2553149921891629</v>
      </c>
      <c r="O425" t="s">
        <v>143</v>
      </c>
      <c r="P425" t="s">
        <v>143</v>
      </c>
      <c r="Q425" t="s">
        <v>317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45657</v>
      </c>
      <c r="G426">
        <v>2024</v>
      </c>
      <c r="H426" t="s">
        <v>44</v>
      </c>
      <c r="I426" t="s">
        <v>53</v>
      </c>
      <c r="J426">
        <v>2</v>
      </c>
      <c r="K426">
        <v>15507.493100000003</v>
      </c>
      <c r="L426">
        <v>13243.138849000001</v>
      </c>
      <c r="M426">
        <f t="shared" si="66"/>
        <v>0.85398321724869886</v>
      </c>
      <c r="N426">
        <f t="shared" si="67"/>
        <v>0.85398321724869886</v>
      </c>
      <c r="O426" t="s">
        <v>143</v>
      </c>
      <c r="P426" t="s">
        <v>143</v>
      </c>
      <c r="Q426" t="s">
        <v>319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45657</v>
      </c>
      <c r="G427">
        <v>2024</v>
      </c>
      <c r="H427" t="s">
        <v>44</v>
      </c>
      <c r="I427" t="s">
        <v>53</v>
      </c>
      <c r="K427">
        <v>15507.493100000003</v>
      </c>
      <c r="L427">
        <v>13243.138849000001</v>
      </c>
      <c r="M427">
        <f t="shared" si="66"/>
        <v>0.85398321724869886</v>
      </c>
      <c r="N427">
        <f t="shared" si="67"/>
        <v>0.85398321724869886</v>
      </c>
      <c r="O427" t="s">
        <v>143</v>
      </c>
      <c r="P427" t="s">
        <v>143</v>
      </c>
      <c r="Q427" t="s">
        <v>319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46022</v>
      </c>
      <c r="G428">
        <v>2025</v>
      </c>
      <c r="H428" t="s">
        <v>44</v>
      </c>
      <c r="I428" t="s">
        <v>465</v>
      </c>
      <c r="J428">
        <v>2</v>
      </c>
      <c r="K428">
        <f>17058242411/1000000</f>
        <v>17058.242410999999</v>
      </c>
      <c r="L428">
        <f>17356249390/1000000</f>
        <v>17356.249390000001</v>
      </c>
      <c r="M428">
        <f t="shared" si="66"/>
        <v>1.0174699697553735</v>
      </c>
      <c r="N428">
        <f t="shared" si="67"/>
        <v>1.0174699697553735</v>
      </c>
      <c r="O428" t="s">
        <v>143</v>
      </c>
      <c r="P428" t="s">
        <v>143</v>
      </c>
      <c r="Q428" t="s">
        <v>486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AB428" t="s">
        <v>43</v>
      </c>
      <c r="AC428" t="s">
        <v>66</v>
      </c>
    </row>
    <row r="429" spans="1:29" x14ac:dyDescent="0.3">
      <c r="A429">
        <v>386.1</v>
      </c>
      <c r="B429" t="s">
        <v>377</v>
      </c>
      <c r="C429" t="s">
        <v>310</v>
      </c>
      <c r="D429" t="s">
        <v>31</v>
      </c>
      <c r="E429" t="s">
        <v>32</v>
      </c>
      <c r="F429" s="3">
        <v>44926</v>
      </c>
      <c r="G429">
        <v>2022</v>
      </c>
      <c r="H429" t="s">
        <v>44</v>
      </c>
      <c r="I429" t="s">
        <v>45</v>
      </c>
      <c r="J429">
        <v>2</v>
      </c>
      <c r="K429">
        <f>894406923/1000000</f>
        <v>894.40692300000001</v>
      </c>
      <c r="L429">
        <f>894406923/1000000</f>
        <v>894.40692300000001</v>
      </c>
      <c r="M429">
        <f>+L429/K429</f>
        <v>1</v>
      </c>
      <c r="N429">
        <f t="shared" ref="N429:N435" si="68">+L429/K429</f>
        <v>1</v>
      </c>
      <c r="O429" t="s">
        <v>143</v>
      </c>
      <c r="P429" t="s">
        <v>143</v>
      </c>
      <c r="Q429" t="s">
        <v>491</v>
      </c>
      <c r="R429">
        <v>0</v>
      </c>
      <c r="S429">
        <v>0</v>
      </c>
      <c r="T429" t="s">
        <v>31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78</v>
      </c>
      <c r="AC429" t="s">
        <v>66</v>
      </c>
    </row>
    <row r="430" spans="1:29" x14ac:dyDescent="0.3">
      <c r="A430">
        <v>386.1</v>
      </c>
      <c r="B430" t="s">
        <v>377</v>
      </c>
      <c r="C430" t="s">
        <v>310</v>
      </c>
      <c r="D430" t="s">
        <v>31</v>
      </c>
      <c r="E430" t="s">
        <v>32</v>
      </c>
      <c r="F430" s="3">
        <v>44926</v>
      </c>
      <c r="G430">
        <v>2022</v>
      </c>
      <c r="H430" t="s">
        <v>44</v>
      </c>
      <c r="I430" t="s">
        <v>45</v>
      </c>
      <c r="K430">
        <f>894406923/1000000</f>
        <v>894.40692300000001</v>
      </c>
      <c r="L430">
        <f>894406923/1000000</f>
        <v>894.40692300000001</v>
      </c>
      <c r="M430">
        <f>+L430/K430</f>
        <v>1</v>
      </c>
      <c r="N430">
        <f t="shared" si="68"/>
        <v>1</v>
      </c>
      <c r="O430" t="s">
        <v>143</v>
      </c>
      <c r="P430" t="s">
        <v>143</v>
      </c>
      <c r="Q430" t="s">
        <v>491</v>
      </c>
      <c r="R430">
        <v>0</v>
      </c>
      <c r="S430">
        <v>0</v>
      </c>
      <c r="T430" t="s">
        <v>443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Z430" t="s">
        <v>63</v>
      </c>
      <c r="AA430" t="s">
        <v>148</v>
      </c>
      <c r="AB430" t="s">
        <v>78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45291</v>
      </c>
      <c r="G431">
        <v>2023</v>
      </c>
      <c r="H431" t="s">
        <v>44</v>
      </c>
      <c r="I431" t="s">
        <v>49</v>
      </c>
      <c r="J431">
        <v>2</v>
      </c>
      <c r="K431">
        <v>1357.778</v>
      </c>
      <c r="L431">
        <f>3779928348/1000000</f>
        <v>3779.9283479999999</v>
      </c>
      <c r="M431">
        <f>IF(+L431/K431&gt;1.3,1.3,L431/K431)</f>
        <v>1.3</v>
      </c>
      <c r="N431">
        <f t="shared" si="68"/>
        <v>2.7839074929774967</v>
      </c>
      <c r="O431" t="s">
        <v>143</v>
      </c>
      <c r="P431" t="s">
        <v>143</v>
      </c>
      <c r="Q431" t="s">
        <v>379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45291</v>
      </c>
      <c r="G432">
        <v>2023</v>
      </c>
      <c r="H432" t="s">
        <v>44</v>
      </c>
      <c r="I432" t="s">
        <v>49</v>
      </c>
      <c r="K432">
        <v>1357.778</v>
      </c>
      <c r="L432">
        <f>3779928348/1000000</f>
        <v>3779.9283479999999</v>
      </c>
      <c r="M432">
        <f t="shared" ref="M432:M435" si="69">IF(+L432/K432&gt;1.3,1.3,L432/K432)</f>
        <v>1.3</v>
      </c>
      <c r="N432">
        <f t="shared" si="68"/>
        <v>2.7839074929774967</v>
      </c>
      <c r="O432" t="s">
        <v>143</v>
      </c>
      <c r="P432" t="s">
        <v>143</v>
      </c>
      <c r="Q432" t="s">
        <v>379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J433">
        <v>2</v>
      </c>
      <c r="K433">
        <v>3424.2073961999995</v>
      </c>
      <c r="L433">
        <v>4694.2130900000002</v>
      </c>
      <c r="M433">
        <f t="shared" si="69"/>
        <v>1.3</v>
      </c>
      <c r="N433">
        <f t="shared" si="68"/>
        <v>1.3708904125402521</v>
      </c>
      <c r="O433" t="s">
        <v>143</v>
      </c>
      <c r="P433" t="s">
        <v>143</v>
      </c>
      <c r="Q433" t="s">
        <v>381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45657</v>
      </c>
      <c r="G434">
        <v>2024</v>
      </c>
      <c r="H434" t="s">
        <v>44</v>
      </c>
      <c r="I434" t="s">
        <v>53</v>
      </c>
      <c r="K434">
        <v>3424.2073961999995</v>
      </c>
      <c r="L434">
        <v>4694.2130900000002</v>
      </c>
      <c r="M434">
        <f t="shared" si="69"/>
        <v>1.3</v>
      </c>
      <c r="N434">
        <f t="shared" si="68"/>
        <v>1.3708904125402521</v>
      </c>
      <c r="O434" t="s">
        <v>143</v>
      </c>
      <c r="P434" t="s">
        <v>143</v>
      </c>
      <c r="Q434" t="s">
        <v>381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J435">
        <v>2</v>
      </c>
      <c r="K435">
        <f>4042632396/1000000</f>
        <v>4042.632396</v>
      </c>
      <c r="L435">
        <f>3067372669/1000000</f>
        <v>3067.3726689999999</v>
      </c>
      <c r="M435">
        <f t="shared" si="69"/>
        <v>0.75875626783059102</v>
      </c>
      <c r="N435">
        <f t="shared" si="68"/>
        <v>0.75875626783059102</v>
      </c>
      <c r="O435" t="s">
        <v>143</v>
      </c>
      <c r="P435" t="s">
        <v>143</v>
      </c>
      <c r="Q435" t="s">
        <v>490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AB435" t="s">
        <v>78</v>
      </c>
      <c r="AC435" t="s">
        <v>66</v>
      </c>
    </row>
    <row r="436" spans="1:29" x14ac:dyDescent="0.3">
      <c r="A436">
        <v>386.2</v>
      </c>
      <c r="B436" t="s">
        <v>382</v>
      </c>
      <c r="C436" t="s">
        <v>310</v>
      </c>
      <c r="D436" t="s">
        <v>31</v>
      </c>
      <c r="E436" t="s">
        <v>32</v>
      </c>
      <c r="F436" s="3">
        <v>44926</v>
      </c>
      <c r="G436">
        <f>YEAR(F436)</f>
        <v>2022</v>
      </c>
      <c r="H436" t="s">
        <v>44</v>
      </c>
      <c r="I436" t="s">
        <v>45</v>
      </c>
      <c r="J436">
        <v>2</v>
      </c>
      <c r="K436">
        <f>5335242827/1000000</f>
        <v>5335.242827</v>
      </c>
      <c r="L436">
        <f>5335242827/1000000</f>
        <v>5335.242827</v>
      </c>
      <c r="M436">
        <f>L436/K436</f>
        <v>1</v>
      </c>
      <c r="N436">
        <f>L436/K436</f>
        <v>1</v>
      </c>
      <c r="O436" t="s">
        <v>143</v>
      </c>
      <c r="P436" t="s">
        <v>143</v>
      </c>
      <c r="Q436" t="s">
        <v>384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386.2</v>
      </c>
      <c r="B437" t="s">
        <v>382</v>
      </c>
      <c r="C437" t="s">
        <v>310</v>
      </c>
      <c r="D437" t="s">
        <v>31</v>
      </c>
      <c r="E437" t="s">
        <v>32</v>
      </c>
      <c r="F437" s="3">
        <v>44926</v>
      </c>
      <c r="G437">
        <f>YEAR(F437)</f>
        <v>2022</v>
      </c>
      <c r="H437" t="s">
        <v>44</v>
      </c>
      <c r="I437" t="s">
        <v>45</v>
      </c>
      <c r="K437">
        <f>5335242827/1000000</f>
        <v>5335.242827</v>
      </c>
      <c r="L437">
        <f>5335242827/1000000</f>
        <v>5335.242827</v>
      </c>
      <c r="M437">
        <f>L437/K437</f>
        <v>1</v>
      </c>
      <c r="N437">
        <f t="shared" ref="N437:N443" si="70">L437/K437</f>
        <v>1</v>
      </c>
      <c r="O437" t="s">
        <v>143</v>
      </c>
      <c r="P437" t="s">
        <v>143</v>
      </c>
      <c r="Q437" t="s">
        <v>384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7082.0029999999988</v>
      </c>
      <c r="L438">
        <f>9868418317/1000000</f>
        <v>9868.4183169999997</v>
      </c>
      <c r="M438">
        <f t="shared" ref="M438:M443" si="71">L438/K438</f>
        <v>1.393450174618678</v>
      </c>
      <c r="N438">
        <f t="shared" si="70"/>
        <v>1.393450174618678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K439">
        <v>7082.0029999999988</v>
      </c>
      <c r="L439">
        <f>9868418317/1000000</f>
        <v>9868.4183169999997</v>
      </c>
      <c r="M439">
        <f t="shared" si="71"/>
        <v>1.393450174618678</v>
      </c>
      <c r="N439">
        <f t="shared" si="70"/>
        <v>1.393450174618678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7711.1257611000001</v>
      </c>
      <c r="L440">
        <v>4170.686009</v>
      </c>
      <c r="M440">
        <f t="shared" si="71"/>
        <v>0.54086603411912804</v>
      </c>
      <c r="N440">
        <f t="shared" si="70"/>
        <v>0.54086603411912804</v>
      </c>
      <c r="O440" t="s">
        <v>143</v>
      </c>
      <c r="P440" t="s">
        <v>143</v>
      </c>
      <c r="Q440" t="s">
        <v>386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K441">
        <v>7711.1257611000001</v>
      </c>
      <c r="L441">
        <v>4170.686009</v>
      </c>
      <c r="M441">
        <f t="shared" si="71"/>
        <v>0.54086603411912804</v>
      </c>
      <c r="N441">
        <f t="shared" si="70"/>
        <v>0.54086603411912804</v>
      </c>
      <c r="O441" t="s">
        <v>143</v>
      </c>
      <c r="P441" t="s">
        <v>143</v>
      </c>
      <c r="Q441" t="s">
        <v>386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46022</v>
      </c>
      <c r="G442">
        <v>2025</v>
      </c>
      <c r="H442" t="s">
        <v>44</v>
      </c>
      <c r="I442" t="s">
        <v>465</v>
      </c>
      <c r="J442">
        <v>2</v>
      </c>
      <c r="K442">
        <f>7446830696/1000000</f>
        <v>7446.830696</v>
      </c>
      <c r="L442">
        <f>7810013171/1000000</f>
        <v>7810.0131709999996</v>
      </c>
      <c r="M442">
        <f t="shared" si="71"/>
        <v>1.0487700727767424</v>
      </c>
      <c r="N442">
        <f t="shared" si="70"/>
        <v>1.0487700727767424</v>
      </c>
      <c r="O442" t="s">
        <v>143</v>
      </c>
      <c r="P442" t="s">
        <v>143</v>
      </c>
      <c r="Q442" t="s">
        <v>489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K443">
        <f>7446830696/1000000</f>
        <v>7446.830696</v>
      </c>
      <c r="L443">
        <f>7810013171/1000000</f>
        <v>7810.0131709999996</v>
      </c>
      <c r="M443">
        <f t="shared" si="71"/>
        <v>1.0487700727767424</v>
      </c>
      <c r="N443">
        <f t="shared" si="70"/>
        <v>1.0487700727767424</v>
      </c>
      <c r="O443" t="s">
        <v>143</v>
      </c>
      <c r="P443" t="s">
        <v>143</v>
      </c>
      <c r="Q443" t="s">
        <v>489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386.3</v>
      </c>
      <c r="B444" t="s">
        <v>387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K444">
        <f>3805662141/1000000</f>
        <v>3805.6621409999998</v>
      </c>
      <c r="L444">
        <f>3805662141/1000000</f>
        <v>3805.6621409999998</v>
      </c>
      <c r="M444">
        <f>IF(L444/K444&gt;1.3,1.3,L444/K444)</f>
        <v>1</v>
      </c>
      <c r="N444">
        <f>L444/K444</f>
        <v>1</v>
      </c>
      <c r="O444" t="s">
        <v>143</v>
      </c>
      <c r="P444" t="s">
        <v>143</v>
      </c>
      <c r="Q444" t="s">
        <v>493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386.3</v>
      </c>
      <c r="B445" t="s">
        <v>387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K445">
        <f>3805662141/1000000</f>
        <v>3805.6621409999998</v>
      </c>
      <c r="L445">
        <f>3805662141/1000000</f>
        <v>3805.6621409999998</v>
      </c>
      <c r="M445">
        <f t="shared" ref="M445:M451" si="72">IF(L445/K445&gt;1.3,1.3,L445/K445)</f>
        <v>1</v>
      </c>
      <c r="N445">
        <f t="shared" ref="N445:N451" si="73">L445/K445</f>
        <v>1</v>
      </c>
      <c r="O445" t="s">
        <v>143</v>
      </c>
      <c r="P445" t="s">
        <v>143</v>
      </c>
      <c r="Q445" t="s">
        <v>493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K446">
        <v>5657.94</v>
      </c>
      <c r="L446">
        <f>4048733862/1000000</f>
        <v>4048.733862</v>
      </c>
      <c r="M446">
        <f t="shared" si="72"/>
        <v>0.71558444628256934</v>
      </c>
      <c r="N446">
        <f t="shared" si="73"/>
        <v>0.71558444628256934</v>
      </c>
      <c r="O446" t="s">
        <v>143</v>
      </c>
      <c r="P446" t="s">
        <v>143</v>
      </c>
      <c r="Q446" t="s">
        <v>389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K447">
        <v>5657.94</v>
      </c>
      <c r="L447">
        <f>4048733862/1000000</f>
        <v>4048.733862</v>
      </c>
      <c r="M447">
        <f t="shared" si="72"/>
        <v>0.71558444628256934</v>
      </c>
      <c r="N447">
        <f t="shared" si="73"/>
        <v>0.71558444628256934</v>
      </c>
      <c r="O447" t="s">
        <v>143</v>
      </c>
      <c r="P447" t="s">
        <v>143</v>
      </c>
      <c r="Q447" t="s">
        <v>389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4372.1599426999992</v>
      </c>
      <c r="L448">
        <v>4378.2397499999997</v>
      </c>
      <c r="M448">
        <f t="shared" si="72"/>
        <v>1.0013905729387031</v>
      </c>
      <c r="N448">
        <f t="shared" si="73"/>
        <v>1.0013905729387031</v>
      </c>
      <c r="O448" t="s">
        <v>143</v>
      </c>
      <c r="P448" t="s">
        <v>143</v>
      </c>
      <c r="Q448" t="s">
        <v>391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4372.1599426999992</v>
      </c>
      <c r="L449">
        <v>4378.2397499999997</v>
      </c>
      <c r="M449">
        <f t="shared" si="72"/>
        <v>1.0013905729387031</v>
      </c>
      <c r="N449">
        <f t="shared" si="73"/>
        <v>1.0013905729387031</v>
      </c>
      <c r="O449" t="s">
        <v>143</v>
      </c>
      <c r="P449" t="s">
        <v>143</v>
      </c>
      <c r="Q449" t="s">
        <v>391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K450">
        <f>(5278611105+290168214)/1000000</f>
        <v>5568.7793190000002</v>
      </c>
      <c r="L450">
        <f>6478863550/1000000</f>
        <v>6478.86355</v>
      </c>
      <c r="M450">
        <f t="shared" si="72"/>
        <v>1.1634261619768094</v>
      </c>
      <c r="N450">
        <f t="shared" si="73"/>
        <v>1.1634261619768094</v>
      </c>
      <c r="O450" t="s">
        <v>143</v>
      </c>
      <c r="P450" t="s">
        <v>143</v>
      </c>
      <c r="Q450" t="s">
        <v>492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46022</v>
      </c>
      <c r="G451">
        <v>2025</v>
      </c>
      <c r="H451" t="s">
        <v>44</v>
      </c>
      <c r="I451" t="s">
        <v>465</v>
      </c>
      <c r="K451">
        <f>(5278611105+290168214)/1000000</f>
        <v>5568.7793190000002</v>
      </c>
      <c r="L451">
        <f>6478863550/1000000</f>
        <v>6478.86355</v>
      </c>
      <c r="M451">
        <f t="shared" si="72"/>
        <v>1.1634261619768094</v>
      </c>
      <c r="N451">
        <f t="shared" si="73"/>
        <v>1.1634261619768094</v>
      </c>
      <c r="O451" t="s">
        <v>143</v>
      </c>
      <c r="P451" t="s">
        <v>143</v>
      </c>
      <c r="Q451" t="s">
        <v>492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423</v>
      </c>
      <c r="B452" t="s">
        <v>320</v>
      </c>
      <c r="C452" t="s">
        <v>83</v>
      </c>
      <c r="D452" t="s">
        <v>66</v>
      </c>
      <c r="E452" t="s">
        <v>32</v>
      </c>
      <c r="F452" s="3">
        <v>44926</v>
      </c>
      <c r="G452">
        <v>2022</v>
      </c>
      <c r="H452" t="s">
        <v>44</v>
      </c>
      <c r="I452" t="s">
        <v>45</v>
      </c>
      <c r="J452">
        <v>2</v>
      </c>
      <c r="K452">
        <v>8.8000000000000007</v>
      </c>
      <c r="L452">
        <v>7.8</v>
      </c>
      <c r="M452">
        <f>+L452/K452</f>
        <v>0.88636363636363624</v>
      </c>
      <c r="N452">
        <f>+L452/K452</f>
        <v>0.88636363636363624</v>
      </c>
      <c r="O452" t="s">
        <v>245</v>
      </c>
      <c r="P452" t="s">
        <v>245</v>
      </c>
      <c r="Q452" t="s">
        <v>321</v>
      </c>
      <c r="R452">
        <v>1</v>
      </c>
      <c r="S452">
        <v>1</v>
      </c>
      <c r="T452" t="s">
        <v>31</v>
      </c>
      <c r="U452" t="s">
        <v>37</v>
      </c>
      <c r="V452" t="s">
        <v>83</v>
      </c>
      <c r="W452" t="s">
        <v>38</v>
      </c>
      <c r="X452" t="s">
        <v>39</v>
      </c>
      <c r="Y452" t="s">
        <v>322</v>
      </c>
      <c r="Z452" t="s">
        <v>274</v>
      </c>
      <c r="AA452" t="s">
        <v>275</v>
      </c>
      <c r="AB452" t="s">
        <v>43</v>
      </c>
      <c r="AC452" t="s">
        <v>66</v>
      </c>
    </row>
    <row r="453" spans="1:29" x14ac:dyDescent="0.3">
      <c r="A453">
        <v>423</v>
      </c>
      <c r="B453" t="s">
        <v>320</v>
      </c>
      <c r="C453" t="s">
        <v>83</v>
      </c>
      <c r="D453" t="s">
        <v>66</v>
      </c>
      <c r="E453" t="s">
        <v>32</v>
      </c>
      <c r="F453" s="3">
        <v>44926</v>
      </c>
      <c r="G453">
        <v>2022</v>
      </c>
      <c r="H453" t="s">
        <v>44</v>
      </c>
      <c r="I453" t="s">
        <v>45</v>
      </c>
      <c r="K453">
        <v>8.8000000000000007</v>
      </c>
      <c r="L453">
        <v>7.8</v>
      </c>
      <c r="M453">
        <f t="shared" ref="M453:M458" si="74">+L453/K453</f>
        <v>0.88636363636363624</v>
      </c>
      <c r="N453">
        <f t="shared" ref="N453:N458" si="75">+L453/K453</f>
        <v>0.88636363636363624</v>
      </c>
      <c r="O453" t="s">
        <v>245</v>
      </c>
      <c r="P453" t="s">
        <v>245</v>
      </c>
      <c r="Q453" t="s">
        <v>321</v>
      </c>
      <c r="R453">
        <v>1</v>
      </c>
      <c r="S453">
        <v>1</v>
      </c>
      <c r="T453" t="s">
        <v>443</v>
      </c>
      <c r="U453" t="s">
        <v>37</v>
      </c>
      <c r="V453" t="s">
        <v>83</v>
      </c>
      <c r="W453" t="s">
        <v>38</v>
      </c>
      <c r="X453" t="s">
        <v>39</v>
      </c>
      <c r="Y453" t="s">
        <v>322</v>
      </c>
      <c r="Z453" t="s">
        <v>274</v>
      </c>
      <c r="AA453" t="s">
        <v>275</v>
      </c>
      <c r="AB453" t="s">
        <v>43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J454">
        <v>2</v>
      </c>
      <c r="K454">
        <v>8.4</v>
      </c>
      <c r="L454">
        <v>7.9</v>
      </c>
      <c r="M454">
        <f t="shared" si="74"/>
        <v>0.94047619047619047</v>
      </c>
      <c r="N454">
        <f t="shared" si="75"/>
        <v>0.94047619047619047</v>
      </c>
      <c r="O454" t="s">
        <v>245</v>
      </c>
      <c r="P454" t="s">
        <v>245</v>
      </c>
      <c r="Q454" t="s">
        <v>323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45291</v>
      </c>
      <c r="G455">
        <v>2023</v>
      </c>
      <c r="H455" t="s">
        <v>44</v>
      </c>
      <c r="I455" t="s">
        <v>49</v>
      </c>
      <c r="K455">
        <v>8.4</v>
      </c>
      <c r="L455">
        <v>7.9</v>
      </c>
      <c r="M455">
        <f t="shared" si="74"/>
        <v>0.94047619047619047</v>
      </c>
      <c r="N455">
        <f t="shared" si="75"/>
        <v>0.94047619047619047</v>
      </c>
      <c r="O455" t="s">
        <v>245</v>
      </c>
      <c r="P455" t="s">
        <v>245</v>
      </c>
      <c r="Q455" t="s">
        <v>323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8.3000000000000007</v>
      </c>
      <c r="L456">
        <v>12.4</v>
      </c>
      <c r="M456">
        <f t="shared" si="74"/>
        <v>1.4939759036144578</v>
      </c>
      <c r="N456">
        <f t="shared" si="75"/>
        <v>1.4939759036144578</v>
      </c>
      <c r="O456" t="s">
        <v>245</v>
      </c>
      <c r="P456" t="s">
        <v>245</v>
      </c>
      <c r="Q456" t="s">
        <v>324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8.3000000000000007</v>
      </c>
      <c r="L457">
        <v>12.4</v>
      </c>
      <c r="M457">
        <f t="shared" si="74"/>
        <v>1.4939759036144578</v>
      </c>
      <c r="N457">
        <f t="shared" si="75"/>
        <v>1.4939759036144578</v>
      </c>
      <c r="O457" t="s">
        <v>245</v>
      </c>
      <c r="P457" t="s">
        <v>245</v>
      </c>
      <c r="Q457" t="s">
        <v>324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J458">
        <v>2</v>
      </c>
      <c r="K458">
        <v>12</v>
      </c>
      <c r="L458">
        <v>15.1</v>
      </c>
      <c r="M458">
        <f t="shared" si="74"/>
        <v>1.2583333333333333</v>
      </c>
      <c r="N458">
        <f t="shared" si="75"/>
        <v>1.2583333333333333</v>
      </c>
      <c r="O458" t="s">
        <v>245</v>
      </c>
      <c r="P458" t="s">
        <v>245</v>
      </c>
      <c r="Q458" t="s">
        <v>455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424</v>
      </c>
      <c r="B459" t="s">
        <v>325</v>
      </c>
      <c r="C459" t="s">
        <v>83</v>
      </c>
      <c r="D459" t="s">
        <v>66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K459">
        <v>6.5</v>
      </c>
      <c r="L459">
        <v>5</v>
      </c>
      <c r="M459">
        <f>+L459/K459</f>
        <v>0.76923076923076927</v>
      </c>
      <c r="N459">
        <f>+L459/K459</f>
        <v>0.76923076923076927</v>
      </c>
      <c r="O459" t="s">
        <v>245</v>
      </c>
      <c r="P459" t="s">
        <v>35</v>
      </c>
      <c r="Q459" t="s">
        <v>326</v>
      </c>
      <c r="R459">
        <v>0</v>
      </c>
      <c r="S459">
        <v>0</v>
      </c>
      <c r="T459" t="s">
        <v>31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424</v>
      </c>
      <c r="B460" t="s">
        <v>325</v>
      </c>
      <c r="C460" t="s">
        <v>83</v>
      </c>
      <c r="D460" t="s">
        <v>66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K460">
        <v>6.5</v>
      </c>
      <c r="L460">
        <v>5</v>
      </c>
      <c r="M460">
        <f t="shared" ref="M460:M465" si="76">+L460/K460</f>
        <v>0.76923076923076927</v>
      </c>
      <c r="N460">
        <f t="shared" ref="N460:N465" si="77">+L460/K460</f>
        <v>0.76923076923076927</v>
      </c>
      <c r="O460" t="s">
        <v>245</v>
      </c>
      <c r="P460" t="s">
        <v>35</v>
      </c>
      <c r="Q460" t="s">
        <v>326</v>
      </c>
      <c r="R460">
        <v>1</v>
      </c>
      <c r="S460">
        <v>0</v>
      </c>
      <c r="T460" t="s">
        <v>443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6</v>
      </c>
      <c r="L461">
        <v>6</v>
      </c>
      <c r="M461">
        <f t="shared" si="76"/>
        <v>1</v>
      </c>
      <c r="N461">
        <f t="shared" si="77"/>
        <v>1</v>
      </c>
      <c r="O461" t="s">
        <v>35</v>
      </c>
      <c r="P461" t="s">
        <v>35</v>
      </c>
      <c r="Q461" t="s">
        <v>327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6</v>
      </c>
      <c r="L462">
        <v>6</v>
      </c>
      <c r="M462">
        <f t="shared" si="76"/>
        <v>1</v>
      </c>
      <c r="N462">
        <f t="shared" si="77"/>
        <v>1</v>
      </c>
      <c r="O462" t="s">
        <v>35</v>
      </c>
      <c r="P462" t="s">
        <v>35</v>
      </c>
      <c r="Q462" t="s">
        <v>327</v>
      </c>
      <c r="R462">
        <v>0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K463">
        <v>7</v>
      </c>
      <c r="L463">
        <v>9</v>
      </c>
      <c r="M463">
        <f t="shared" si="76"/>
        <v>1.2857142857142858</v>
      </c>
      <c r="N463">
        <f t="shared" si="77"/>
        <v>1.2857142857142858</v>
      </c>
      <c r="O463" t="s">
        <v>35</v>
      </c>
      <c r="P463" t="s">
        <v>35</v>
      </c>
      <c r="Q463" t="s">
        <v>328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K464">
        <v>7</v>
      </c>
      <c r="L464">
        <v>9</v>
      </c>
      <c r="M464">
        <f t="shared" si="76"/>
        <v>1.2857142857142858</v>
      </c>
      <c r="N464">
        <f t="shared" si="77"/>
        <v>1.2857142857142858</v>
      </c>
      <c r="O464" t="s">
        <v>35</v>
      </c>
      <c r="P464" t="s">
        <v>35</v>
      </c>
      <c r="Q464" t="s">
        <v>328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K465">
        <v>9</v>
      </c>
      <c r="L465">
        <v>11</v>
      </c>
      <c r="M465">
        <f t="shared" si="76"/>
        <v>1.2222222222222223</v>
      </c>
      <c r="N465">
        <f t="shared" si="77"/>
        <v>1.2222222222222223</v>
      </c>
      <c r="O465" t="s">
        <v>35</v>
      </c>
      <c r="P465" t="s">
        <v>35</v>
      </c>
      <c r="Q465" t="s">
        <v>495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460</v>
      </c>
      <c r="B466" t="s">
        <v>329</v>
      </c>
      <c r="C466" t="s">
        <v>130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L466">
        <v>94.85</v>
      </c>
      <c r="O466" t="s">
        <v>284</v>
      </c>
      <c r="P466" t="s">
        <v>58</v>
      </c>
      <c r="Q466" t="s">
        <v>449</v>
      </c>
      <c r="R466">
        <v>0</v>
      </c>
      <c r="S466">
        <v>0</v>
      </c>
      <c r="T466" t="s">
        <v>31</v>
      </c>
      <c r="U466" t="s">
        <v>37</v>
      </c>
      <c r="V466" t="s">
        <v>130</v>
      </c>
      <c r="W466" t="s">
        <v>73</v>
      </c>
      <c r="X466" t="s">
        <v>218</v>
      </c>
      <c r="Y466" t="s">
        <v>331</v>
      </c>
      <c r="Z466" t="s">
        <v>134</v>
      </c>
      <c r="AA466" t="s">
        <v>135</v>
      </c>
      <c r="AB466" t="s">
        <v>43</v>
      </c>
      <c r="AC466" t="s">
        <v>66</v>
      </c>
    </row>
    <row r="467" spans="1:29" x14ac:dyDescent="0.3">
      <c r="A467">
        <v>460</v>
      </c>
      <c r="B467" t="s">
        <v>329</v>
      </c>
      <c r="C467" t="s">
        <v>130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L467">
        <v>94.85</v>
      </c>
      <c r="O467" t="s">
        <v>284</v>
      </c>
      <c r="P467" t="s">
        <v>58</v>
      </c>
      <c r="Q467" t="s">
        <v>449</v>
      </c>
      <c r="R467">
        <v>0</v>
      </c>
      <c r="S467">
        <v>0</v>
      </c>
      <c r="T467" t="s">
        <v>443</v>
      </c>
      <c r="U467" t="s">
        <v>37</v>
      </c>
      <c r="V467" t="s">
        <v>130</v>
      </c>
      <c r="W467" t="s">
        <v>73</v>
      </c>
      <c r="X467" t="s">
        <v>218</v>
      </c>
      <c r="Y467" t="s">
        <v>331</v>
      </c>
      <c r="Z467" t="s">
        <v>134</v>
      </c>
      <c r="AA467" t="s">
        <v>135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80</v>
      </c>
      <c r="L468">
        <v>91.44</v>
      </c>
      <c r="M468">
        <v>1.143</v>
      </c>
      <c r="N468">
        <v>1.143</v>
      </c>
      <c r="O468" t="s">
        <v>58</v>
      </c>
      <c r="P468" t="s">
        <v>58</v>
      </c>
      <c r="Q468" t="s">
        <v>330</v>
      </c>
      <c r="R468">
        <v>0</v>
      </c>
      <c r="S468">
        <v>0</v>
      </c>
      <c r="T468" t="s">
        <v>31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1</v>
      </c>
      <c r="T469" t="s">
        <v>443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45838</v>
      </c>
      <c r="G470">
        <v>2025</v>
      </c>
      <c r="H470" t="s">
        <v>33</v>
      </c>
      <c r="I470" t="s">
        <v>404</v>
      </c>
      <c r="J470">
        <v>2</v>
      </c>
      <c r="K470">
        <v>80</v>
      </c>
      <c r="L470">
        <v>91.44</v>
      </c>
      <c r="M470">
        <v>1.143</v>
      </c>
      <c r="N470">
        <v>1.143</v>
      </c>
      <c r="O470" t="s">
        <v>58</v>
      </c>
      <c r="P470" t="s">
        <v>58</v>
      </c>
      <c r="Q470" t="s">
        <v>454</v>
      </c>
      <c r="R470">
        <v>0</v>
      </c>
      <c r="S470">
        <v>1</v>
      </c>
      <c r="T470" t="s">
        <v>443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466</v>
      </c>
      <c r="B471" t="s">
        <v>341</v>
      </c>
      <c r="C471" t="s">
        <v>30</v>
      </c>
      <c r="D471" t="s">
        <v>31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25</v>
      </c>
      <c r="L471">
        <v>43.56</v>
      </c>
      <c r="M471">
        <v>1.3</v>
      </c>
      <c r="N471">
        <f>+L471/K471</f>
        <v>1.7424000000000002</v>
      </c>
      <c r="O471" t="s">
        <v>35</v>
      </c>
      <c r="P471" t="s">
        <v>245</v>
      </c>
      <c r="Q471" t="s">
        <v>451</v>
      </c>
      <c r="R471">
        <v>1</v>
      </c>
      <c r="S471">
        <v>1</v>
      </c>
      <c r="T471" t="s">
        <v>31</v>
      </c>
      <c r="U471" t="s">
        <v>37</v>
      </c>
      <c r="V471" t="s">
        <v>342</v>
      </c>
      <c r="W471" t="s">
        <v>112</v>
      </c>
      <c r="X471" t="s">
        <v>113</v>
      </c>
      <c r="Y471" t="s">
        <v>114</v>
      </c>
      <c r="Z471" t="s">
        <v>41</v>
      </c>
      <c r="AA471" t="s">
        <v>102</v>
      </c>
      <c r="AB471" t="s">
        <v>43</v>
      </c>
      <c r="AC471" t="s">
        <v>66</v>
      </c>
    </row>
    <row r="472" spans="1:29" x14ac:dyDescent="0.3">
      <c r="A472">
        <v>466</v>
      </c>
      <c r="B472" t="s">
        <v>341</v>
      </c>
      <c r="C472" t="s">
        <v>30</v>
      </c>
      <c r="D472" t="s">
        <v>31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25</v>
      </c>
      <c r="L472">
        <v>43.56</v>
      </c>
      <c r="M472">
        <v>1.3</v>
      </c>
      <c r="N472">
        <f t="shared" ref="N472:N477" si="78">+L472/K472</f>
        <v>1.7424000000000002</v>
      </c>
      <c r="O472" t="s">
        <v>35</v>
      </c>
      <c r="P472" t="s">
        <v>245</v>
      </c>
      <c r="Q472" t="s">
        <v>451</v>
      </c>
      <c r="R472">
        <v>1</v>
      </c>
      <c r="S472">
        <v>1</v>
      </c>
      <c r="T472" t="s">
        <v>443</v>
      </c>
      <c r="U472" t="s">
        <v>37</v>
      </c>
      <c r="V472" t="s">
        <v>342</v>
      </c>
      <c r="W472" t="s">
        <v>112</v>
      </c>
      <c r="X472" t="s">
        <v>113</v>
      </c>
      <c r="Y472" t="s">
        <v>114</v>
      </c>
      <c r="Z472" t="s">
        <v>41</v>
      </c>
      <c r="AA472" t="s">
        <v>102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42</v>
      </c>
      <c r="L473">
        <v>53.34</v>
      </c>
      <c r="M473">
        <v>1.27</v>
      </c>
      <c r="N473">
        <f t="shared" si="78"/>
        <v>1.27</v>
      </c>
      <c r="O473" t="s">
        <v>35</v>
      </c>
      <c r="P473" t="s">
        <v>245</v>
      </c>
      <c r="Q473" t="s">
        <v>452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42</v>
      </c>
      <c r="L474">
        <v>53.34</v>
      </c>
      <c r="M474">
        <v>1.27</v>
      </c>
      <c r="N474">
        <f t="shared" si="78"/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443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50</v>
      </c>
      <c r="L475">
        <v>53.8</v>
      </c>
      <c r="M475">
        <v>1.0760000000000001</v>
      </c>
      <c r="N475">
        <f t="shared" si="78"/>
        <v>1.0759999999999998</v>
      </c>
      <c r="O475" t="s">
        <v>35</v>
      </c>
      <c r="P475" t="s">
        <v>245</v>
      </c>
      <c r="Q475" t="s">
        <v>344</v>
      </c>
      <c r="R475">
        <v>1</v>
      </c>
      <c r="S475">
        <v>1</v>
      </c>
      <c r="T475" t="s">
        <v>31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342</v>
      </c>
      <c r="D476" t="s">
        <v>31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50</v>
      </c>
      <c r="L476">
        <v>53.8</v>
      </c>
      <c r="M476">
        <v>1.0760000000000001</v>
      </c>
      <c r="N476">
        <f t="shared" si="78"/>
        <v>1.0759999999999998</v>
      </c>
      <c r="O476" t="s">
        <v>35</v>
      </c>
      <c r="P476" t="s">
        <v>245</v>
      </c>
      <c r="Q476" t="s">
        <v>344</v>
      </c>
      <c r="R476">
        <v>0</v>
      </c>
      <c r="S476">
        <v>0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30</v>
      </c>
      <c r="D477" t="s">
        <v>31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55</v>
      </c>
      <c r="L477">
        <v>58.6</v>
      </c>
      <c r="M477">
        <f t="shared" ref="M477:M482" si="79">+L477/K477</f>
        <v>1.0654545454545454</v>
      </c>
      <c r="N477">
        <f t="shared" si="78"/>
        <v>1.0654545454545454</v>
      </c>
      <c r="O477" t="s">
        <v>35</v>
      </c>
      <c r="P477" t="s">
        <v>245</v>
      </c>
      <c r="Q477" t="s">
        <v>457</v>
      </c>
      <c r="R477">
        <v>1</v>
      </c>
      <c r="S477">
        <v>1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203</v>
      </c>
      <c r="B478" t="s">
        <v>141</v>
      </c>
      <c r="C478" t="s">
        <v>142</v>
      </c>
      <c r="D478" t="s">
        <v>31</v>
      </c>
      <c r="E478" t="s">
        <v>32</v>
      </c>
      <c r="F478" s="3">
        <v>46022</v>
      </c>
      <c r="G478">
        <f>YEAR(F478)</f>
        <v>2025</v>
      </c>
      <c r="H478" t="str">
        <f>PROPER(TEXT(F478,"mmmm"))</f>
        <v>Diciembre</v>
      </c>
      <c r="I478" t="str">
        <f>IF(H478="Junio",G478&amp;"-1",G478&amp;"-2")</f>
        <v>2025-2</v>
      </c>
      <c r="J478">
        <v>2</v>
      </c>
      <c r="K478">
        <f>159353929960/1000000</f>
        <v>159353.92996000001</v>
      </c>
      <c r="L478">
        <v>165190.90430007299</v>
      </c>
      <c r="M478">
        <f t="shared" si="79"/>
        <v>1.0366289952280319</v>
      </c>
      <c r="N478">
        <f t="shared" ref="N478:N479" si="80">+L478/K478</f>
        <v>1.0366289952280319</v>
      </c>
      <c r="O478" t="s">
        <v>143</v>
      </c>
      <c r="P478" t="s">
        <v>143</v>
      </c>
      <c r="Q478" t="str">
        <f>A478&amp;"-"&amp;TEXT(F478,"yyyy-mm-dd")</f>
        <v>203-2025-12-31</v>
      </c>
      <c r="R478">
        <v>0</v>
      </c>
      <c r="S478">
        <v>0</v>
      </c>
      <c r="T478" t="s">
        <v>31</v>
      </c>
      <c r="U478" t="s">
        <v>37</v>
      </c>
      <c r="V478" t="s">
        <v>142</v>
      </c>
      <c r="W478" t="s">
        <v>145</v>
      </c>
      <c r="X478" t="s">
        <v>146</v>
      </c>
      <c r="Y478" t="s">
        <v>147</v>
      </c>
      <c r="Z478" t="s">
        <v>63</v>
      </c>
      <c r="AA478" t="s">
        <v>148</v>
      </c>
      <c r="AB478" t="s">
        <v>78</v>
      </c>
      <c r="AC478" t="s">
        <v>66</v>
      </c>
    </row>
    <row r="479" spans="1:29" x14ac:dyDescent="0.3">
      <c r="A479">
        <v>203</v>
      </c>
      <c r="B479" t="s">
        <v>141</v>
      </c>
      <c r="C479" t="s">
        <v>142</v>
      </c>
      <c r="D479" t="s">
        <v>31</v>
      </c>
      <c r="E479" t="s">
        <v>32</v>
      </c>
      <c r="F479" s="3">
        <v>46022</v>
      </c>
      <c r="G479">
        <f>YEAR(F479)</f>
        <v>2025</v>
      </c>
      <c r="H479" t="str">
        <f>PROPER(TEXT(F479,"mmmm"))</f>
        <v>Diciembre</v>
      </c>
      <c r="I479" t="str">
        <f>IF(H479="Junio",G479&amp;"-1",G479&amp;"-2")</f>
        <v>2025-2</v>
      </c>
      <c r="K479">
        <f>309304697290/1000000</f>
        <v>309304.69728999998</v>
      </c>
      <c r="L479">
        <f>332786049596.973/1000000</f>
        <v>332786.049596973</v>
      </c>
      <c r="M479">
        <f t="shared" si="79"/>
        <v>1.0759165719522106</v>
      </c>
      <c r="N479">
        <f t="shared" si="80"/>
        <v>1.0759165719522106</v>
      </c>
      <c r="O479" t="s">
        <v>143</v>
      </c>
      <c r="P479" t="s">
        <v>143</v>
      </c>
      <c r="Q479" t="str">
        <f>A479&amp;"-"&amp;TEXT(F479,"yyyy-mm-dd")</f>
        <v>203-2025-12-31</v>
      </c>
      <c r="R479">
        <v>0</v>
      </c>
      <c r="S479">
        <v>0</v>
      </c>
      <c r="T479" t="s">
        <v>443</v>
      </c>
      <c r="U479" t="s">
        <v>37</v>
      </c>
      <c r="V479" t="s">
        <v>142</v>
      </c>
      <c r="W479" t="s">
        <v>145</v>
      </c>
      <c r="X479" t="s">
        <v>146</v>
      </c>
      <c r="Y479" t="s">
        <v>147</v>
      </c>
      <c r="Z479" t="s">
        <v>63</v>
      </c>
      <c r="AA479" t="s">
        <v>148</v>
      </c>
      <c r="AB479" t="s">
        <v>78</v>
      </c>
      <c r="AC479" t="s">
        <v>66</v>
      </c>
    </row>
    <row r="480" spans="1:29" x14ac:dyDescent="0.3">
      <c r="A480">
        <v>148</v>
      </c>
      <c r="B480" t="s">
        <v>104</v>
      </c>
      <c r="C480" t="s">
        <v>105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</v>
      </c>
      <c r="L480">
        <v>6.78</v>
      </c>
      <c r="M480">
        <f>IF(+L480/K480&gt;1.3,1.3,L480/K480)</f>
        <v>1.3</v>
      </c>
      <c r="N480">
        <f>+L480/K480</f>
        <v>1.3560000000000001</v>
      </c>
      <c r="O480" t="s">
        <v>58</v>
      </c>
      <c r="P480" t="s">
        <v>58</v>
      </c>
      <c r="Q480" t="s">
        <v>510</v>
      </c>
      <c r="R480">
        <v>0</v>
      </c>
      <c r="S480">
        <v>1</v>
      </c>
      <c r="T480" t="s">
        <v>443</v>
      </c>
      <c r="U480" t="s">
        <v>37</v>
      </c>
      <c r="V480" t="s">
        <v>105</v>
      </c>
      <c r="W480" t="s">
        <v>73</v>
      </c>
      <c r="X480" t="s">
        <v>74</v>
      </c>
      <c r="Y480" t="s">
        <v>75</v>
      </c>
      <c r="Z480" t="s">
        <v>76</v>
      </c>
      <c r="AA480" t="s">
        <v>77</v>
      </c>
      <c r="AB480" t="s">
        <v>43</v>
      </c>
      <c r="AC480" t="s">
        <v>31</v>
      </c>
    </row>
    <row r="481" spans="1:29" x14ac:dyDescent="0.3">
      <c r="A481">
        <v>466</v>
      </c>
      <c r="B481" t="s">
        <v>341</v>
      </c>
      <c r="C481" t="s">
        <v>30</v>
      </c>
      <c r="D481" t="s">
        <v>31</v>
      </c>
      <c r="E481" t="s">
        <v>32</v>
      </c>
      <c r="F481" s="3">
        <v>46022</v>
      </c>
      <c r="G481">
        <v>2025</v>
      </c>
      <c r="H481" t="s">
        <v>44</v>
      </c>
      <c r="I481" t="s">
        <v>465</v>
      </c>
      <c r="K481">
        <v>55</v>
      </c>
      <c r="L481">
        <v>58.6</v>
      </c>
      <c r="M481">
        <f t="shared" si="79"/>
        <v>1.0654545454545454</v>
      </c>
      <c r="N481">
        <f>+L481/K481</f>
        <v>1.0654545454545454</v>
      </c>
      <c r="O481" t="s">
        <v>35</v>
      </c>
      <c r="P481" t="s">
        <v>245</v>
      </c>
      <c r="Q481" t="s">
        <v>487</v>
      </c>
      <c r="R481">
        <v>1</v>
      </c>
      <c r="S481">
        <v>1</v>
      </c>
      <c r="T481" t="s">
        <v>443</v>
      </c>
      <c r="U481" t="s">
        <v>37</v>
      </c>
      <c r="V481" t="s">
        <v>342</v>
      </c>
      <c r="W481" t="s">
        <v>112</v>
      </c>
      <c r="X481" t="s">
        <v>113</v>
      </c>
      <c r="Y481" t="s">
        <v>114</v>
      </c>
      <c r="Z481" t="s">
        <v>41</v>
      </c>
      <c r="AA481" t="s">
        <v>102</v>
      </c>
      <c r="AB481" t="s">
        <v>43</v>
      </c>
      <c r="AC481" t="s">
        <v>66</v>
      </c>
    </row>
    <row r="482" spans="1:29" x14ac:dyDescent="0.3">
      <c r="A482">
        <v>109</v>
      </c>
      <c r="B482" t="s">
        <v>96</v>
      </c>
      <c r="C482" t="s">
        <v>99</v>
      </c>
      <c r="D482" t="s">
        <v>66</v>
      </c>
      <c r="E482" t="s">
        <v>32</v>
      </c>
      <c r="F482" s="3">
        <v>46022</v>
      </c>
      <c r="G482">
        <v>2024</v>
      </c>
      <c r="H482" t="s">
        <v>44</v>
      </c>
      <c r="I482" t="s">
        <v>465</v>
      </c>
      <c r="J482">
        <v>2</v>
      </c>
      <c r="K482">
        <v>80</v>
      </c>
      <c r="L482">
        <v>94</v>
      </c>
      <c r="M482">
        <f t="shared" si="79"/>
        <v>1.175</v>
      </c>
      <c r="N482">
        <v>1.0625</v>
      </c>
      <c r="O482" t="s">
        <v>58</v>
      </c>
      <c r="P482" t="s">
        <v>58</v>
      </c>
      <c r="Q482" t="s">
        <v>488</v>
      </c>
      <c r="R482">
        <v>0</v>
      </c>
      <c r="S482">
        <v>0</v>
      </c>
      <c r="T482" t="s">
        <v>31</v>
      </c>
      <c r="U482" t="s">
        <v>37</v>
      </c>
      <c r="V482" t="s">
        <v>99</v>
      </c>
      <c r="W482" t="s">
        <v>60</v>
      </c>
      <c r="X482" t="s">
        <v>100</v>
      </c>
      <c r="Z482" t="s">
        <v>101</v>
      </c>
      <c r="AA482" t="s">
        <v>102</v>
      </c>
      <c r="AB482" t="s">
        <v>65</v>
      </c>
      <c r="AC482" t="s">
        <v>66</v>
      </c>
    </row>
    <row r="483" spans="1:29" x14ac:dyDescent="0.3">
      <c r="A483">
        <v>386.1</v>
      </c>
      <c r="B483" t="s">
        <v>377</v>
      </c>
      <c r="C483" t="s">
        <v>310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K483">
        <f>4042632396/1000000</f>
        <v>4042.632396</v>
      </c>
      <c r="L483">
        <f>3067372669/1000000</f>
        <v>3067.3726689999999</v>
      </c>
      <c r="M483">
        <f>IF(+L483/K483&gt;1.3,1.3,L483/K483)</f>
        <v>0.75875626783059102</v>
      </c>
      <c r="N483">
        <f>+L483/K483</f>
        <v>0.75875626783059102</v>
      </c>
      <c r="O483" t="s">
        <v>143</v>
      </c>
      <c r="P483" t="s">
        <v>143</v>
      </c>
      <c r="Q483" t="s">
        <v>490</v>
      </c>
      <c r="R483">
        <v>0</v>
      </c>
      <c r="S483">
        <v>0</v>
      </c>
      <c r="T483" t="s">
        <v>443</v>
      </c>
      <c r="U483" t="s">
        <v>37</v>
      </c>
      <c r="V483" t="s">
        <v>310</v>
      </c>
      <c r="W483" t="s">
        <v>312</v>
      </c>
      <c r="X483" t="s">
        <v>313</v>
      </c>
      <c r="Y483" t="s">
        <v>314</v>
      </c>
      <c r="AB483" t="s">
        <v>78</v>
      </c>
      <c r="AC483" t="s">
        <v>66</v>
      </c>
    </row>
    <row r="484" spans="1:29" x14ac:dyDescent="0.3">
      <c r="A484">
        <v>385</v>
      </c>
      <c r="B484" t="s">
        <v>309</v>
      </c>
      <c r="C484" t="s">
        <v>310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f>17058242411/1000000</f>
        <v>17058.242410999999</v>
      </c>
      <c r="L484">
        <f>17356249390/1000000</f>
        <v>17356.249390000001</v>
      </c>
      <c r="M484">
        <f>L484/K484</f>
        <v>1.0174699697553735</v>
      </c>
      <c r="N484">
        <f>L484/K484</f>
        <v>1.0174699697553735</v>
      </c>
      <c r="O484" t="s">
        <v>143</v>
      </c>
      <c r="P484" t="s">
        <v>143</v>
      </c>
      <c r="Q484" t="s">
        <v>486</v>
      </c>
      <c r="R484">
        <v>0</v>
      </c>
      <c r="S484">
        <v>0</v>
      </c>
      <c r="T484" t="s">
        <v>443</v>
      </c>
      <c r="U484" t="s">
        <v>37</v>
      </c>
      <c r="V484" t="s">
        <v>310</v>
      </c>
      <c r="W484" t="s">
        <v>312</v>
      </c>
      <c r="X484" t="s">
        <v>313</v>
      </c>
      <c r="Y484" t="s">
        <v>314</v>
      </c>
      <c r="AB484" t="s">
        <v>43</v>
      </c>
      <c r="AC484" t="s">
        <v>66</v>
      </c>
    </row>
    <row r="485" spans="1:29" x14ac:dyDescent="0.3">
      <c r="A485">
        <v>423</v>
      </c>
      <c r="B485" t="s">
        <v>320</v>
      </c>
      <c r="C485" t="s">
        <v>83</v>
      </c>
      <c r="D485" t="s">
        <v>66</v>
      </c>
      <c r="E485" t="s">
        <v>32</v>
      </c>
      <c r="F485" s="3">
        <v>46022</v>
      </c>
      <c r="G485">
        <v>2025</v>
      </c>
      <c r="H485" t="s">
        <v>44</v>
      </c>
      <c r="I485" t="s">
        <v>465</v>
      </c>
      <c r="K485">
        <v>12</v>
      </c>
      <c r="L485">
        <v>15.1</v>
      </c>
      <c r="M485">
        <f>+L485/K485</f>
        <v>1.2583333333333333</v>
      </c>
      <c r="N485">
        <f>+L485/K485</f>
        <v>1.2583333333333333</v>
      </c>
      <c r="O485" t="s">
        <v>245</v>
      </c>
      <c r="P485" t="s">
        <v>245</v>
      </c>
      <c r="Q485" t="s">
        <v>494</v>
      </c>
      <c r="R485">
        <v>1</v>
      </c>
      <c r="S485">
        <v>1</v>
      </c>
      <c r="T485" t="s">
        <v>443</v>
      </c>
      <c r="U485" t="s">
        <v>37</v>
      </c>
      <c r="V485" t="s">
        <v>83</v>
      </c>
      <c r="W485" t="s">
        <v>38</v>
      </c>
      <c r="X485" t="s">
        <v>39</v>
      </c>
      <c r="Y485" t="s">
        <v>322</v>
      </c>
      <c r="Z485" t="s">
        <v>274</v>
      </c>
      <c r="AA485" t="s">
        <v>275</v>
      </c>
      <c r="AB485" t="s">
        <v>43</v>
      </c>
      <c r="AC485" t="s">
        <v>66</v>
      </c>
    </row>
    <row r="486" spans="1:29" x14ac:dyDescent="0.3">
      <c r="A486">
        <v>424</v>
      </c>
      <c r="B486" t="s">
        <v>325</v>
      </c>
      <c r="C486" t="s">
        <v>83</v>
      </c>
      <c r="D486" t="s">
        <v>66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K486">
        <v>9</v>
      </c>
      <c r="L486">
        <v>11</v>
      </c>
      <c r="M486">
        <f>+L486/K486</f>
        <v>1.2222222222222223</v>
      </c>
      <c r="N486">
        <f>+L486/K486</f>
        <v>1.2222222222222223</v>
      </c>
      <c r="O486" t="s">
        <v>35</v>
      </c>
      <c r="P486" t="s">
        <v>35</v>
      </c>
      <c r="Q486" t="s">
        <v>495</v>
      </c>
      <c r="R486">
        <v>0</v>
      </c>
      <c r="S486">
        <v>0</v>
      </c>
      <c r="T486" t="s">
        <v>443</v>
      </c>
      <c r="U486" t="s">
        <v>37</v>
      </c>
      <c r="V486" t="s">
        <v>83</v>
      </c>
      <c r="W486" t="s">
        <v>38</v>
      </c>
      <c r="X486" t="s">
        <v>39</v>
      </c>
      <c r="Y486" t="s">
        <v>322</v>
      </c>
      <c r="Z486" t="s">
        <v>274</v>
      </c>
      <c r="AA486" t="s">
        <v>275</v>
      </c>
      <c r="AB486" t="s">
        <v>43</v>
      </c>
      <c r="AC486" t="s">
        <v>66</v>
      </c>
    </row>
    <row r="487" spans="1:29" x14ac:dyDescent="0.3">
      <c r="A487">
        <v>377</v>
      </c>
      <c r="B487" t="s">
        <v>296</v>
      </c>
      <c r="C487" t="s">
        <v>142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v>10285.243493</v>
      </c>
      <c r="O487" t="s">
        <v>143</v>
      </c>
      <c r="P487" t="s">
        <v>143</v>
      </c>
      <c r="Q487" t="s">
        <v>497</v>
      </c>
      <c r="R487">
        <v>0</v>
      </c>
      <c r="S487">
        <v>0</v>
      </c>
      <c r="T487" t="s">
        <v>443</v>
      </c>
      <c r="U487" t="s">
        <v>37</v>
      </c>
      <c r="V487" t="s">
        <v>142</v>
      </c>
      <c r="W487" t="s">
        <v>145</v>
      </c>
      <c r="X487" t="s">
        <v>146</v>
      </c>
      <c r="Y487" t="s">
        <v>147</v>
      </c>
      <c r="Z487" t="s">
        <v>63</v>
      </c>
      <c r="AA487" t="s">
        <v>148</v>
      </c>
      <c r="AB487" t="s">
        <v>78</v>
      </c>
      <c r="AC487" t="s">
        <v>66</v>
      </c>
    </row>
    <row r="488" spans="1:29" x14ac:dyDescent="0.3">
      <c r="A488">
        <v>367</v>
      </c>
      <c r="B488" t="s">
        <v>500</v>
      </c>
      <c r="C488" t="s">
        <v>267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5</v>
      </c>
      <c r="L488">
        <v>3.82</v>
      </c>
      <c r="M488">
        <f>+L488/K488</f>
        <v>0.76400000000000001</v>
      </c>
      <c r="N488">
        <f>+L488/K488</f>
        <v>0.76400000000000001</v>
      </c>
      <c r="O488" t="s">
        <v>58</v>
      </c>
      <c r="P488" t="s">
        <v>58</v>
      </c>
      <c r="Q488" t="s">
        <v>499</v>
      </c>
      <c r="R488">
        <v>1</v>
      </c>
      <c r="S488">
        <v>2</v>
      </c>
      <c r="T488" t="s">
        <v>443</v>
      </c>
      <c r="U488" t="s">
        <v>37</v>
      </c>
      <c r="V488" t="s">
        <v>267</v>
      </c>
      <c r="W488" t="s">
        <v>145</v>
      </c>
      <c r="X488" t="s">
        <v>179</v>
      </c>
      <c r="Y488" t="s">
        <v>281</v>
      </c>
      <c r="Z488" t="s">
        <v>41</v>
      </c>
      <c r="AA488" t="s">
        <v>42</v>
      </c>
      <c r="AB488" t="s">
        <v>43</v>
      </c>
      <c r="AC488" t="s">
        <v>66</v>
      </c>
    </row>
    <row r="489" spans="1:29" x14ac:dyDescent="0.3">
      <c r="A489">
        <v>244</v>
      </c>
      <c r="B489" t="s">
        <v>182</v>
      </c>
      <c r="C489" t="s">
        <v>177</v>
      </c>
      <c r="D489" t="s">
        <v>66</v>
      </c>
      <c r="E489" t="s">
        <v>171</v>
      </c>
      <c r="F489" s="3">
        <v>46022</v>
      </c>
      <c r="G489">
        <v>2025</v>
      </c>
      <c r="H489" t="s">
        <v>44</v>
      </c>
      <c r="I489" t="s">
        <v>465</v>
      </c>
      <c r="K489">
        <v>25</v>
      </c>
      <c r="L489">
        <v>13</v>
      </c>
      <c r="M489">
        <f>IF(K489/L489&gt;1.3,1.3,K489/L489)</f>
        <v>1.3</v>
      </c>
      <c r="N489">
        <f>+K489/L489</f>
        <v>1.9230769230769231</v>
      </c>
      <c r="O489" t="s">
        <v>35</v>
      </c>
      <c r="P489" t="s">
        <v>35</v>
      </c>
      <c r="Q489" t="s">
        <v>501</v>
      </c>
      <c r="R489">
        <v>0</v>
      </c>
      <c r="S489">
        <v>0</v>
      </c>
      <c r="T489" t="s">
        <v>443</v>
      </c>
      <c r="U489" t="s">
        <v>37</v>
      </c>
      <c r="V489" t="s">
        <v>177</v>
      </c>
      <c r="W489" t="s">
        <v>145</v>
      </c>
      <c r="X489" t="s">
        <v>179</v>
      </c>
      <c r="Y489" t="s">
        <v>180</v>
      </c>
      <c r="Z489" t="s">
        <v>63</v>
      </c>
      <c r="AA489" t="s">
        <v>64</v>
      </c>
      <c r="AB489" t="s">
        <v>43</v>
      </c>
      <c r="AC489" t="s">
        <v>66</v>
      </c>
    </row>
    <row r="490" spans="1:29" x14ac:dyDescent="0.3">
      <c r="A490">
        <v>334</v>
      </c>
      <c r="B490" t="s">
        <v>248</v>
      </c>
      <c r="C490" t="s">
        <v>130</v>
      </c>
      <c r="D490" t="s">
        <v>66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K490">
        <v>89</v>
      </c>
      <c r="L490">
        <v>89</v>
      </c>
      <c r="M490">
        <v>1</v>
      </c>
      <c r="N490">
        <v>1</v>
      </c>
      <c r="O490" t="s">
        <v>35</v>
      </c>
      <c r="P490" t="s">
        <v>245</v>
      </c>
      <c r="Q490" t="s">
        <v>504</v>
      </c>
      <c r="R490">
        <v>0</v>
      </c>
      <c r="S490">
        <v>1</v>
      </c>
      <c r="T490" t="s">
        <v>443</v>
      </c>
      <c r="U490" t="s">
        <v>37</v>
      </c>
      <c r="V490" t="s">
        <v>130</v>
      </c>
      <c r="W490" t="s">
        <v>60</v>
      </c>
      <c r="X490" t="s">
        <v>100</v>
      </c>
      <c r="Y490" t="s">
        <v>241</v>
      </c>
      <c r="Z490" t="s">
        <v>134</v>
      </c>
      <c r="AA490" t="s">
        <v>250</v>
      </c>
      <c r="AB490" t="s">
        <v>43</v>
      </c>
      <c r="AC490" t="s">
        <v>66</v>
      </c>
    </row>
    <row r="491" spans="1:29" x14ac:dyDescent="0.3">
      <c r="A491">
        <v>77</v>
      </c>
      <c r="B491" t="s">
        <v>55</v>
      </c>
      <c r="C491" t="s">
        <v>56</v>
      </c>
      <c r="D491" t="s">
        <v>57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97</v>
      </c>
      <c r="L491">
        <v>95.74545454545455</v>
      </c>
      <c r="M491">
        <f>+L491/K491</f>
        <v>0.98706654170571706</v>
      </c>
      <c r="N491">
        <f>+L491/K491</f>
        <v>0.98706654170571706</v>
      </c>
      <c r="O491" t="s">
        <v>58</v>
      </c>
      <c r="P491" t="s">
        <v>58</v>
      </c>
      <c r="Q491" t="s">
        <v>503</v>
      </c>
      <c r="R491">
        <v>0</v>
      </c>
      <c r="S491">
        <v>1</v>
      </c>
      <c r="T491" t="s">
        <v>443</v>
      </c>
      <c r="U491" t="s">
        <v>37</v>
      </c>
      <c r="V491" t="s">
        <v>56</v>
      </c>
      <c r="W491" t="s">
        <v>60</v>
      </c>
      <c r="X491" t="s">
        <v>61</v>
      </c>
      <c r="Y491" t="s">
        <v>62</v>
      </c>
      <c r="Z491" t="s">
        <v>63</v>
      </c>
      <c r="AA491" t="s">
        <v>64</v>
      </c>
      <c r="AB491" t="s">
        <v>65</v>
      </c>
      <c r="AC491" t="s">
        <v>66</v>
      </c>
    </row>
    <row r="492" spans="1:29" x14ac:dyDescent="0.3">
      <c r="A492">
        <v>96</v>
      </c>
      <c r="B492" t="s">
        <v>70</v>
      </c>
      <c r="C492" t="s">
        <v>71</v>
      </c>
      <c r="D492" t="s">
        <v>66</v>
      </c>
      <c r="E492" t="s">
        <v>32</v>
      </c>
      <c r="F492" s="3">
        <v>46022</v>
      </c>
      <c r="G492">
        <v>2025</v>
      </c>
      <c r="H492" t="s">
        <v>44</v>
      </c>
      <c r="I492" t="s">
        <v>465</v>
      </c>
      <c r="J492">
        <v>2</v>
      </c>
      <c r="K492">
        <v>739</v>
      </c>
      <c r="L492">
        <v>159</v>
      </c>
      <c r="M492">
        <f>+L492/K492</f>
        <v>0.21515561569688768</v>
      </c>
      <c r="N492">
        <f>+L492/K492</f>
        <v>0.21515561569688768</v>
      </c>
      <c r="O492" t="s">
        <v>35</v>
      </c>
      <c r="P492" t="s">
        <v>35</v>
      </c>
      <c r="Q492" t="s">
        <v>507</v>
      </c>
      <c r="R492">
        <v>0</v>
      </c>
      <c r="S492">
        <v>0</v>
      </c>
      <c r="T492" t="s">
        <v>31</v>
      </c>
      <c r="U492" t="s">
        <v>37</v>
      </c>
      <c r="V492" t="s">
        <v>71</v>
      </c>
      <c r="W492" t="s">
        <v>73</v>
      </c>
      <c r="X492" t="s">
        <v>74</v>
      </c>
      <c r="Y492" t="s">
        <v>75</v>
      </c>
      <c r="Z492" t="s">
        <v>76</v>
      </c>
      <c r="AA492" t="s">
        <v>77</v>
      </c>
      <c r="AB492" t="s">
        <v>78</v>
      </c>
      <c r="AC492" t="s">
        <v>66</v>
      </c>
    </row>
    <row r="493" spans="1:29" x14ac:dyDescent="0.3">
      <c r="A493">
        <v>96</v>
      </c>
      <c r="B493" t="s">
        <v>70</v>
      </c>
      <c r="C493" t="s">
        <v>71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739</v>
      </c>
      <c r="L493">
        <v>159</v>
      </c>
      <c r="M493">
        <f>+L493/K493</f>
        <v>0.21515561569688768</v>
      </c>
      <c r="N493">
        <f>+L493/K493</f>
        <v>0.21515561569688768</v>
      </c>
      <c r="O493" t="s">
        <v>35</v>
      </c>
      <c r="P493" t="s">
        <v>35</v>
      </c>
      <c r="Q493" t="s">
        <v>507</v>
      </c>
      <c r="R493">
        <v>0</v>
      </c>
      <c r="S493">
        <v>0</v>
      </c>
      <c r="T493" t="s">
        <v>443</v>
      </c>
      <c r="U493" t="s">
        <v>37</v>
      </c>
      <c r="V493" t="s">
        <v>71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78</v>
      </c>
      <c r="AC493" t="s">
        <v>66</v>
      </c>
    </row>
    <row r="494" spans="1:29" x14ac:dyDescent="0.3">
      <c r="A494">
        <v>193</v>
      </c>
      <c r="B494" s="5" t="s">
        <v>478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94</v>
      </c>
      <c r="L494">
        <v>95</v>
      </c>
      <c r="M494">
        <f>+L494/K494</f>
        <v>1.0106382978723405</v>
      </c>
      <c r="N494">
        <f>+L494/K494</f>
        <v>1.0106382978723405</v>
      </c>
      <c r="O494" t="s">
        <v>58</v>
      </c>
      <c r="P494" t="s">
        <v>58</v>
      </c>
      <c r="Q494" t="s">
        <v>511</v>
      </c>
      <c r="R494">
        <v>1</v>
      </c>
      <c r="S494">
        <v>1</v>
      </c>
      <c r="T494" t="s">
        <v>443</v>
      </c>
      <c r="U494" t="s">
        <v>37</v>
      </c>
      <c r="V494" t="s">
        <v>30</v>
      </c>
      <c r="W494" t="s">
        <v>112</v>
      </c>
      <c r="X494" t="s">
        <v>113</v>
      </c>
      <c r="Y494" t="s">
        <v>114</v>
      </c>
      <c r="Z494" t="s">
        <v>63</v>
      </c>
      <c r="AA494" t="s">
        <v>115</v>
      </c>
      <c r="AB494" t="s">
        <v>65</v>
      </c>
      <c r="AC494" t="s">
        <v>31</v>
      </c>
    </row>
    <row r="495" spans="1:29" x14ac:dyDescent="0.3">
      <c r="A495">
        <v>194</v>
      </c>
      <c r="B495" t="s">
        <v>121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85</v>
      </c>
      <c r="L495">
        <v>89.9</v>
      </c>
      <c r="M495">
        <f t="shared" ref="M495" si="81">+L495/K495</f>
        <v>1.0576470588235294</v>
      </c>
      <c r="N495">
        <f t="shared" ref="N495" si="82">+L495/K495</f>
        <v>1.0576470588235294</v>
      </c>
      <c r="O495" t="s">
        <v>58</v>
      </c>
      <c r="P495" t="s">
        <v>58</v>
      </c>
      <c r="Q495" t="s">
        <v>419</v>
      </c>
      <c r="R495">
        <v>0</v>
      </c>
      <c r="S495">
        <v>0</v>
      </c>
      <c r="T495" t="s">
        <v>443</v>
      </c>
      <c r="U495" t="s">
        <v>37</v>
      </c>
      <c r="V495" t="s">
        <v>30</v>
      </c>
      <c r="W495" t="s">
        <v>112</v>
      </c>
      <c r="X495" t="s">
        <v>113</v>
      </c>
      <c r="Y495" t="s">
        <v>123</v>
      </c>
      <c r="Z495" t="s">
        <v>41</v>
      </c>
      <c r="AA495" t="s">
        <v>124</v>
      </c>
      <c r="AB495" t="s">
        <v>43</v>
      </c>
      <c r="AC495" t="s">
        <v>66</v>
      </c>
    </row>
    <row r="496" spans="1:29" x14ac:dyDescent="0.3">
      <c r="A496">
        <v>200</v>
      </c>
      <c r="B496" t="s">
        <v>129</v>
      </c>
      <c r="C496" t="s">
        <v>130</v>
      </c>
      <c r="D496" t="s">
        <v>66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80</v>
      </c>
      <c r="L496">
        <v>87.4</v>
      </c>
      <c r="M496">
        <f>+L496/K496</f>
        <v>1.0925</v>
      </c>
      <c r="N496">
        <v>1.0925</v>
      </c>
      <c r="O496" t="s">
        <v>58</v>
      </c>
      <c r="P496" t="s">
        <v>58</v>
      </c>
      <c r="Q496" t="s">
        <v>512</v>
      </c>
      <c r="R496">
        <v>0</v>
      </c>
      <c r="S496">
        <v>1</v>
      </c>
      <c r="T496" t="s">
        <v>31</v>
      </c>
      <c r="U496" t="s">
        <v>37</v>
      </c>
      <c r="V496" t="s">
        <v>130</v>
      </c>
      <c r="W496" t="s">
        <v>60</v>
      </c>
      <c r="X496" t="s">
        <v>100</v>
      </c>
      <c r="Y496" t="s">
        <v>133</v>
      </c>
      <c r="Z496" t="s">
        <v>134</v>
      </c>
      <c r="AA496" t="s">
        <v>135</v>
      </c>
      <c r="AB496" t="s">
        <v>43</v>
      </c>
      <c r="AC496" t="s">
        <v>66</v>
      </c>
    </row>
    <row r="497" spans="1:29" x14ac:dyDescent="0.3">
      <c r="A497">
        <v>200</v>
      </c>
      <c r="B497" t="s">
        <v>129</v>
      </c>
      <c r="C497" t="s">
        <v>130</v>
      </c>
      <c r="D497" t="s">
        <v>66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J497">
        <v>2</v>
      </c>
      <c r="K497">
        <v>80</v>
      </c>
      <c r="L497">
        <v>87.4</v>
      </c>
      <c r="M497">
        <f>+L497/K497</f>
        <v>1.0925</v>
      </c>
      <c r="N497">
        <v>1.0925</v>
      </c>
      <c r="O497" t="s">
        <v>58</v>
      </c>
      <c r="P497" t="s">
        <v>58</v>
      </c>
      <c r="Q497" t="s">
        <v>512</v>
      </c>
      <c r="R497">
        <v>0</v>
      </c>
      <c r="S497">
        <v>1</v>
      </c>
      <c r="T497" t="s">
        <v>443</v>
      </c>
      <c r="U497" t="s">
        <v>37</v>
      </c>
      <c r="V497" t="s">
        <v>130</v>
      </c>
      <c r="W497" t="s">
        <v>60</v>
      </c>
      <c r="X497" t="s">
        <v>100</v>
      </c>
      <c r="Y497" t="s">
        <v>133</v>
      </c>
      <c r="Z497" t="s">
        <v>134</v>
      </c>
      <c r="AA497" t="s">
        <v>135</v>
      </c>
      <c r="AB497" t="s">
        <v>43</v>
      </c>
      <c r="AC497" t="s">
        <v>66</v>
      </c>
    </row>
    <row r="498" spans="1:29" x14ac:dyDescent="0.3">
      <c r="A498">
        <v>245</v>
      </c>
      <c r="B498" t="s">
        <v>185</v>
      </c>
      <c r="C498" t="s">
        <v>186</v>
      </c>
      <c r="D498" t="s">
        <v>31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K498">
        <v>86.1</v>
      </c>
      <c r="L498">
        <v>86.2</v>
      </c>
      <c r="M498">
        <f t="shared" ref="M498" si="83">+L498/K498</f>
        <v>1.0011614401858304</v>
      </c>
      <c r="N498">
        <f t="shared" ref="N498" si="84">+L498/K498</f>
        <v>1.0011614401858304</v>
      </c>
      <c r="O498" t="s">
        <v>58</v>
      </c>
      <c r="P498" t="s">
        <v>58</v>
      </c>
      <c r="Q498" t="s">
        <v>421</v>
      </c>
      <c r="R498">
        <v>1</v>
      </c>
      <c r="S498">
        <v>1</v>
      </c>
      <c r="T498" t="s">
        <v>443</v>
      </c>
      <c r="U498" t="s">
        <v>37</v>
      </c>
      <c r="V498" t="s">
        <v>186</v>
      </c>
      <c r="W498" t="s">
        <v>112</v>
      </c>
      <c r="X498" t="s">
        <v>113</v>
      </c>
      <c r="Y498" t="s">
        <v>123</v>
      </c>
      <c r="Z498" t="s">
        <v>41</v>
      </c>
      <c r="AA498" t="s">
        <v>42</v>
      </c>
      <c r="AB498" t="s">
        <v>65</v>
      </c>
      <c r="AC498" t="s">
        <v>31</v>
      </c>
    </row>
    <row r="499" spans="1:29" x14ac:dyDescent="0.3">
      <c r="A499">
        <v>276</v>
      </c>
      <c r="B499" t="s">
        <v>201</v>
      </c>
      <c r="C499" t="s">
        <v>202</v>
      </c>
      <c r="D499" t="s">
        <v>31</v>
      </c>
      <c r="E499" t="s">
        <v>171</v>
      </c>
      <c r="F499" s="3">
        <v>46022</v>
      </c>
      <c r="G499">
        <v>2025</v>
      </c>
      <c r="H499" t="s">
        <v>44</v>
      </c>
      <c r="I499" t="s">
        <v>465</v>
      </c>
      <c r="K499">
        <v>81</v>
      </c>
      <c r="L499">
        <v>82.81</v>
      </c>
      <c r="M499">
        <f t="shared" ref="M499:M500" si="85">+K499/L499</f>
        <v>0.97814273638449456</v>
      </c>
      <c r="N499">
        <f t="shared" ref="N499:N500" si="86">+K499/L499</f>
        <v>0.97814273638449456</v>
      </c>
      <c r="O499" t="s">
        <v>35</v>
      </c>
      <c r="P499" t="s">
        <v>245</v>
      </c>
      <c r="Q499" t="s">
        <v>514</v>
      </c>
      <c r="R499">
        <v>0</v>
      </c>
      <c r="S499">
        <v>1</v>
      </c>
      <c r="T499" t="s">
        <v>443</v>
      </c>
      <c r="U499" t="s">
        <v>37</v>
      </c>
      <c r="V499" t="s">
        <v>202</v>
      </c>
      <c r="W499" t="s">
        <v>73</v>
      </c>
      <c r="X499" t="s">
        <v>74</v>
      </c>
      <c r="Y499" t="s">
        <v>75</v>
      </c>
      <c r="Z499" t="s">
        <v>86</v>
      </c>
      <c r="AA499" t="s">
        <v>204</v>
      </c>
      <c r="AB499" t="s">
        <v>65</v>
      </c>
      <c r="AC499" t="s">
        <v>31</v>
      </c>
    </row>
    <row r="500" spans="1:29" x14ac:dyDescent="0.3">
      <c r="A500">
        <v>277</v>
      </c>
      <c r="B500" t="s">
        <v>210</v>
      </c>
      <c r="C500" t="s">
        <v>202</v>
      </c>
      <c r="D500" t="s">
        <v>31</v>
      </c>
      <c r="E500" t="s">
        <v>171</v>
      </c>
      <c r="F500" s="3">
        <v>46022</v>
      </c>
      <c r="G500">
        <v>2025</v>
      </c>
      <c r="H500" t="s">
        <v>44</v>
      </c>
      <c r="I500" t="s">
        <v>465</v>
      </c>
      <c r="K500">
        <v>71</v>
      </c>
      <c r="L500">
        <v>68.400000000000006</v>
      </c>
      <c r="M500">
        <f t="shared" si="85"/>
        <v>1.0380116959064327</v>
      </c>
      <c r="N500">
        <f t="shared" si="86"/>
        <v>1.0380116959064327</v>
      </c>
      <c r="O500" t="s">
        <v>35</v>
      </c>
      <c r="P500" t="s">
        <v>245</v>
      </c>
      <c r="Q500" t="s">
        <v>515</v>
      </c>
      <c r="R500">
        <v>1</v>
      </c>
      <c r="S500">
        <v>1</v>
      </c>
      <c r="T500" t="s">
        <v>443</v>
      </c>
      <c r="U500" t="s">
        <v>37</v>
      </c>
      <c r="V500" t="s">
        <v>202</v>
      </c>
      <c r="W500" t="s">
        <v>73</v>
      </c>
      <c r="X500" t="s">
        <v>74</v>
      </c>
      <c r="Z500" t="s">
        <v>86</v>
      </c>
      <c r="AA500" t="s">
        <v>204</v>
      </c>
      <c r="AB500" t="s">
        <v>65</v>
      </c>
      <c r="AC500" t="s">
        <v>31</v>
      </c>
    </row>
    <row r="501" spans="1:29" x14ac:dyDescent="0.3">
      <c r="A501">
        <v>364</v>
      </c>
      <c r="B501" t="s">
        <v>271</v>
      </c>
      <c r="C501" t="s">
        <v>267</v>
      </c>
      <c r="D501" t="s">
        <v>31</v>
      </c>
      <c r="E501" t="s">
        <v>171</v>
      </c>
      <c r="F501" s="3">
        <v>46022</v>
      </c>
      <c r="G501">
        <v>2025</v>
      </c>
      <c r="H501" t="s">
        <v>44</v>
      </c>
      <c r="I501" t="s">
        <v>465</v>
      </c>
      <c r="K501">
        <v>83197</v>
      </c>
      <c r="L501">
        <v>70233</v>
      </c>
      <c r="M501">
        <f t="shared" ref="M501:M502" si="87">+L501/K501</f>
        <v>0.84417707369256101</v>
      </c>
      <c r="N501">
        <f t="shared" ref="N501" si="88">+L501/K501</f>
        <v>0.84417707369256101</v>
      </c>
      <c r="O501" t="s">
        <v>35</v>
      </c>
      <c r="P501" t="s">
        <v>35</v>
      </c>
      <c r="Q501" t="s">
        <v>516</v>
      </c>
      <c r="R501">
        <v>0</v>
      </c>
      <c r="S501">
        <v>0</v>
      </c>
      <c r="T501" t="s">
        <v>443</v>
      </c>
      <c r="U501" t="s">
        <v>37</v>
      </c>
      <c r="V501" t="s">
        <v>267</v>
      </c>
      <c r="W501" t="s">
        <v>145</v>
      </c>
      <c r="X501" t="s">
        <v>179</v>
      </c>
      <c r="Y501" t="s">
        <v>273</v>
      </c>
      <c r="Z501" t="s">
        <v>274</v>
      </c>
      <c r="AA501" t="s">
        <v>275</v>
      </c>
      <c r="AB501" t="s">
        <v>78</v>
      </c>
      <c r="AC501" t="s">
        <v>66</v>
      </c>
    </row>
    <row r="502" spans="1:29" x14ac:dyDescent="0.3">
      <c r="A502">
        <v>369</v>
      </c>
      <c r="B502" t="s">
        <v>283</v>
      </c>
      <c r="C502" t="s">
        <v>267</v>
      </c>
      <c r="D502" t="s">
        <v>31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190</v>
      </c>
      <c r="L502">
        <v>190</v>
      </c>
      <c r="M502">
        <f t="shared" si="87"/>
        <v>1</v>
      </c>
      <c r="N502">
        <f>+L502/K502</f>
        <v>1</v>
      </c>
      <c r="O502" t="s">
        <v>35</v>
      </c>
      <c r="P502" t="s">
        <v>35</v>
      </c>
      <c r="Q502" t="s">
        <v>517</v>
      </c>
      <c r="R502">
        <v>0</v>
      </c>
      <c r="S502">
        <v>0</v>
      </c>
      <c r="T502" t="s">
        <v>443</v>
      </c>
      <c r="U502" t="s">
        <v>37</v>
      </c>
      <c r="V502" t="s">
        <v>267</v>
      </c>
      <c r="W502" t="s">
        <v>145</v>
      </c>
      <c r="X502" t="s">
        <v>179</v>
      </c>
      <c r="Y502" t="s">
        <v>273</v>
      </c>
      <c r="Z502" t="s">
        <v>41</v>
      </c>
      <c r="AA502" t="s">
        <v>42</v>
      </c>
      <c r="AB502" t="s">
        <v>78</v>
      </c>
      <c r="AC502" t="s">
        <v>66</v>
      </c>
    </row>
    <row r="503" spans="1:29" x14ac:dyDescent="0.3">
      <c r="A503">
        <v>379</v>
      </c>
      <c r="B503" t="s">
        <v>301</v>
      </c>
      <c r="C503" t="s">
        <v>302</v>
      </c>
      <c r="D503" t="s">
        <v>31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f>+K421+K420</f>
        <v>24628</v>
      </c>
      <c r="L503">
        <f>+L421+L420</f>
        <v>25426</v>
      </c>
      <c r="M503">
        <f>+L503/K503</f>
        <v>1.0324021439012505</v>
      </c>
      <c r="N503">
        <f>+L503/K503</f>
        <v>1.0324021439012505</v>
      </c>
      <c r="O503" t="s">
        <v>35</v>
      </c>
      <c r="P503" t="s">
        <v>35</v>
      </c>
      <c r="Q503" t="str">
        <f>A503&amp;"-"&amp;TEXT(F503,"yyyy-mm-dd")</f>
        <v>379-2025-12-31</v>
      </c>
      <c r="R503">
        <v>0</v>
      </c>
      <c r="S503">
        <v>0</v>
      </c>
      <c r="T503" t="s">
        <v>443</v>
      </c>
      <c r="U503" t="s">
        <v>37</v>
      </c>
      <c r="V503" t="s">
        <v>302</v>
      </c>
      <c r="W503" t="s">
        <v>38</v>
      </c>
      <c r="X503" t="s">
        <v>39</v>
      </c>
      <c r="Y503" t="s">
        <v>40</v>
      </c>
      <c r="Z503" t="s">
        <v>41</v>
      </c>
      <c r="AA503" t="s">
        <v>42</v>
      </c>
      <c r="AB503" t="s">
        <v>78</v>
      </c>
      <c r="AC503" t="s">
        <v>31</v>
      </c>
    </row>
    <row r="504" spans="1:29" x14ac:dyDescent="0.3">
      <c r="A504">
        <v>98</v>
      </c>
      <c r="B504" t="s">
        <v>91</v>
      </c>
      <c r="C504" t="s">
        <v>83</v>
      </c>
      <c r="D504" t="s">
        <v>31</v>
      </c>
      <c r="E504" t="s">
        <v>32</v>
      </c>
      <c r="F504" s="3">
        <v>46022</v>
      </c>
      <c r="G504">
        <v>2025</v>
      </c>
      <c r="H504" t="s">
        <v>44</v>
      </c>
      <c r="I504" t="s">
        <v>465</v>
      </c>
      <c r="K504">
        <v>10</v>
      </c>
      <c r="L504">
        <v>10</v>
      </c>
      <c r="M504">
        <v>1</v>
      </c>
      <c r="N504">
        <v>1</v>
      </c>
      <c r="O504" t="s">
        <v>35</v>
      </c>
      <c r="P504" t="s">
        <v>35</v>
      </c>
      <c r="Q504" t="s">
        <v>509</v>
      </c>
      <c r="R504">
        <v>0</v>
      </c>
      <c r="S504">
        <v>0</v>
      </c>
      <c r="T504" t="s">
        <v>443</v>
      </c>
      <c r="U504" t="s">
        <v>37</v>
      </c>
      <c r="V504" t="s">
        <v>83</v>
      </c>
      <c r="W504" t="s">
        <v>38</v>
      </c>
      <c r="X504" t="s">
        <v>39</v>
      </c>
      <c r="Y504" t="s">
        <v>85</v>
      </c>
      <c r="Z504" t="s">
        <v>86</v>
      </c>
      <c r="AA504" t="s">
        <v>87</v>
      </c>
      <c r="AB504" t="s">
        <v>78</v>
      </c>
      <c r="AC504" t="s">
        <v>66</v>
      </c>
    </row>
  </sheetData>
  <sortState xmlns:xlrd2="http://schemas.microsoft.com/office/spreadsheetml/2017/richdata2" ref="A2:AC477">
    <sortCondition ref="A2:A477"/>
    <sortCondition ref="F2:F47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7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7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7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7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7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7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7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7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7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7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7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7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7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7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7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7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7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7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2026-01-20T13:49:28Z</dcterms:modified>
</cp:coreProperties>
</file>