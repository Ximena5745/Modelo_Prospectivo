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149" documentId="11_C54DB9D477E07092D1C9E253F65DD242EE9209D1" xr6:coauthVersionLast="47" xr6:coauthVersionMax="47" xr10:uidLastSave="{50C33A5A-2A5B-4AC4-8258-3235DCA9A6EE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0" i="1" l="1"/>
  <c r="L443" i="1"/>
  <c r="L466" i="1"/>
  <c r="L465" i="1"/>
  <c r="L461" i="1"/>
  <c r="L462" i="1"/>
  <c r="L460" i="1"/>
  <c r="L459" i="1"/>
  <c r="L499" i="1"/>
  <c r="L450" i="1"/>
  <c r="L445" i="1"/>
  <c r="L444" i="1"/>
  <c r="L458" i="1"/>
  <c r="L457" i="1"/>
  <c r="L452" i="1"/>
  <c r="G452" i="1"/>
  <c r="L451" i="1"/>
  <c r="G451" i="1"/>
  <c r="M498" i="1"/>
  <c r="M166" i="1"/>
  <c r="M493" i="1"/>
  <c r="M497" i="1"/>
  <c r="Q204" i="1"/>
  <c r="H204" i="1"/>
  <c r="G204" i="1"/>
  <c r="Q205" i="1"/>
  <c r="H205" i="1"/>
  <c r="G205" i="1"/>
  <c r="Q208" i="1"/>
  <c r="H208" i="1"/>
  <c r="G208" i="1"/>
  <c r="Q495" i="1"/>
  <c r="G495" i="1"/>
  <c r="H495" i="1"/>
  <c r="I495" i="1" s="1"/>
  <c r="I208" i="1" l="1"/>
  <c r="I205" i="1"/>
  <c r="I204" i="1"/>
  <c r="Q494" i="1"/>
  <c r="H494" i="1"/>
  <c r="G494" i="1"/>
  <c r="I494" i="1" l="1"/>
  <c r="Q371" i="1"/>
  <c r="G371" i="1"/>
  <c r="H371" i="1"/>
  <c r="Q206" i="1"/>
  <c r="Q207" i="1"/>
  <c r="Q203" i="1"/>
  <c r="H207" i="1"/>
  <c r="G207" i="1"/>
  <c r="H206" i="1"/>
  <c r="G206" i="1"/>
  <c r="G203" i="1"/>
  <c r="H203" i="1"/>
  <c r="H295" i="1"/>
  <c r="Q284" i="1"/>
  <c r="H284" i="1"/>
  <c r="G284" i="1"/>
  <c r="Q281" i="1"/>
  <c r="H281" i="1"/>
  <c r="G281" i="1"/>
  <c r="Q278" i="1"/>
  <c r="H278" i="1"/>
  <c r="G278" i="1"/>
  <c r="Q275" i="1"/>
  <c r="G275" i="1"/>
  <c r="H275" i="1"/>
  <c r="Q424" i="1"/>
  <c r="H424" i="1"/>
  <c r="G424" i="1"/>
  <c r="Q421" i="1"/>
  <c r="H421" i="1"/>
  <c r="G421" i="1"/>
  <c r="Q418" i="1"/>
  <c r="H418" i="1"/>
  <c r="G418" i="1"/>
  <c r="Q435" i="1"/>
  <c r="Q296" i="1"/>
  <c r="H296" i="1"/>
  <c r="G296" i="1"/>
  <c r="Q283" i="1"/>
  <c r="H283" i="1"/>
  <c r="G283" i="1"/>
  <c r="Q282" i="1"/>
  <c r="H282" i="1"/>
  <c r="G282" i="1"/>
  <c r="Q280" i="1"/>
  <c r="H280" i="1"/>
  <c r="G280" i="1"/>
  <c r="Q279" i="1"/>
  <c r="H279" i="1"/>
  <c r="G279" i="1"/>
  <c r="Q277" i="1"/>
  <c r="H277" i="1"/>
  <c r="G277" i="1"/>
  <c r="Q276" i="1"/>
  <c r="H276" i="1"/>
  <c r="G276" i="1"/>
  <c r="Q274" i="1"/>
  <c r="H274" i="1"/>
  <c r="G274" i="1"/>
  <c r="Q273" i="1"/>
  <c r="G273" i="1"/>
  <c r="H273" i="1"/>
  <c r="Q423" i="1"/>
  <c r="H423" i="1"/>
  <c r="G423" i="1"/>
  <c r="Q422" i="1"/>
  <c r="H422" i="1"/>
  <c r="G422" i="1"/>
  <c r="Q420" i="1"/>
  <c r="H420" i="1"/>
  <c r="G420" i="1"/>
  <c r="Q419" i="1"/>
  <c r="H419" i="1"/>
  <c r="G419" i="1"/>
  <c r="Q417" i="1"/>
  <c r="H417" i="1"/>
  <c r="G417" i="1"/>
  <c r="Q416" i="1"/>
  <c r="H416" i="1"/>
  <c r="G416" i="1"/>
  <c r="Q415" i="1"/>
  <c r="H415" i="1"/>
  <c r="G415" i="1"/>
  <c r="Q413" i="1"/>
  <c r="H413" i="1"/>
  <c r="G413" i="1"/>
  <c r="Q436" i="1"/>
  <c r="G436" i="1"/>
  <c r="H436" i="1"/>
  <c r="Q13" i="1"/>
  <c r="Q12" i="1"/>
  <c r="Q11" i="1"/>
  <c r="Q10" i="1"/>
  <c r="Q9" i="1"/>
  <c r="Q8" i="1"/>
  <c r="Q7" i="1"/>
  <c r="Q6" i="1"/>
  <c r="Q5" i="1"/>
  <c r="Q4" i="1"/>
  <c r="Q3" i="1"/>
  <c r="Q2" i="1"/>
  <c r="Q414" i="1"/>
  <c r="H414" i="1"/>
  <c r="G414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5" i="1"/>
  <c r="M374" i="1"/>
  <c r="I203" i="1" l="1"/>
  <c r="I371" i="1"/>
  <c r="I206" i="1"/>
  <c r="I207" i="1"/>
  <c r="I424" i="1"/>
  <c r="I284" i="1"/>
  <c r="I296" i="1"/>
  <c r="I421" i="1"/>
  <c r="I281" i="1"/>
  <c r="I278" i="1"/>
  <c r="I275" i="1"/>
  <c r="I418" i="1"/>
  <c r="I417" i="1"/>
  <c r="I423" i="1"/>
  <c r="I283" i="1"/>
  <c r="I279" i="1"/>
  <c r="I416" i="1"/>
  <c r="I422" i="1"/>
  <c r="I276" i="1"/>
  <c r="I280" i="1"/>
  <c r="I274" i="1"/>
  <c r="I277" i="1"/>
  <c r="I282" i="1"/>
  <c r="I273" i="1"/>
  <c r="I420" i="1"/>
  <c r="I415" i="1"/>
  <c r="I413" i="1"/>
  <c r="I419" i="1"/>
  <c r="I28" i="1"/>
  <c r="I52" i="1"/>
  <c r="I76" i="1"/>
  <c r="I436" i="1"/>
  <c r="I98" i="1"/>
  <c r="I4" i="1"/>
  <c r="I414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8" i="1"/>
</calcChain>
</file>

<file path=xl/sharedStrings.xml><?xml version="1.0" encoding="utf-8"?>
<sst xmlns="http://schemas.openxmlformats.org/spreadsheetml/2006/main" count="14176" uniqueCount="496">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</sst>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43" fontId="0" fillId="0" borderId="0" xfId="2" applyFont="1"/>
    <xf numFmtId="6" fontId="0" fillId="0" borderId="0" xfId="0" applyNumberFormat="1"/>
  </cellXfs>
  <cellStyles count="3">
    <cellStyle name="Millares" xfId="2" builtinId="3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5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45838</v>
      </c>
      <c r="G132">
        <v>2025</v>
      </c>
      <c r="H132" t="s">
        <v>33</v>
      </c>
      <c r="I132" t="s">
        <v>404</v>
      </c>
      <c r="K132">
        <v>97</v>
      </c>
      <c r="L132">
        <v>94.65</v>
      </c>
      <c r="M132">
        <v>0.97577319587628875</v>
      </c>
      <c r="N132">
        <v>0.97577319587628875</v>
      </c>
      <c r="O132" t="s">
        <v>58</v>
      </c>
      <c r="P132" t="s">
        <v>58</v>
      </c>
      <c r="Q132" t="s">
        <v>433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58</v>
      </c>
      <c r="P162" t="s">
        <v>58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58</v>
      </c>
      <c r="P164" t="s">
        <v>58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46022</v>
      </c>
      <c r="G166">
        <v>2025</v>
      </c>
      <c r="H166" t="s">
        <v>44</v>
      </c>
      <c r="I166" t="s">
        <v>465</v>
      </c>
      <c r="K166">
        <v>80</v>
      </c>
      <c r="L166">
        <v>94</v>
      </c>
      <c r="M166">
        <f>+L166/K166</f>
        <v>1.175</v>
      </c>
      <c r="N166">
        <v>1.0625</v>
      </c>
      <c r="O166" t="s">
        <v>58</v>
      </c>
      <c r="P166" t="s">
        <v>58</v>
      </c>
      <c r="Q166" t="s">
        <v>488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58</v>
      </c>
      <c r="P172" t="s">
        <v>58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245</v>
      </c>
      <c r="P203" t="s">
        <v>245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245</v>
      </c>
      <c r="P204" t="s">
        <v>245</v>
      </c>
      <c r="Q204" t="str">
        <f t="shared" si="23"/>
        <v>202-2017-12-31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245</v>
      </c>
      <c r="P205" t="s">
        <v>245</v>
      </c>
      <c r="Q205" t="str">
        <f t="shared" si="23"/>
        <v>202-2019-12-31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245</v>
      </c>
      <c r="P206" t="s">
        <v>245</v>
      </c>
      <c r="Q206" t="str">
        <f t="shared" si="23"/>
        <v>202-2019-12-31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245</v>
      </c>
      <c r="P207" t="s">
        <v>245</v>
      </c>
      <c r="Q207" t="str">
        <f t="shared" si="23"/>
        <v>202-2021-12-31</v>
      </c>
      <c r="R207">
        <v>1</v>
      </c>
      <c r="S207">
        <v>1</v>
      </c>
      <c r="T207" t="s">
        <v>31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245</v>
      </c>
      <c r="P208" t="s">
        <v>245</v>
      </c>
      <c r="Q208" t="str">
        <f t="shared" si="23"/>
        <v>202-2021-12-31</v>
      </c>
      <c r="R208">
        <v>1</v>
      </c>
      <c r="S208">
        <v>1</v>
      </c>
      <c r="T208" t="s">
        <v>31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45291</v>
      </c>
      <c r="G209">
        <v>2023</v>
      </c>
      <c r="H209" t="s">
        <v>44</v>
      </c>
      <c r="I209" t="s">
        <v>49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245</v>
      </c>
      <c r="P209" t="s">
        <v>245</v>
      </c>
      <c r="Q209" t="s">
        <v>138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t="s">
        <v>137</v>
      </c>
      <c r="C210" t="s">
        <v>130</v>
      </c>
      <c r="D210" t="s">
        <v>66</v>
      </c>
      <c r="E210" t="s">
        <v>32</v>
      </c>
      <c r="F210" s="3">
        <v>45291</v>
      </c>
      <c r="G210">
        <v>2023</v>
      </c>
      <c r="H210" t="s">
        <v>44</v>
      </c>
      <c r="I210" t="s">
        <v>49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35</v>
      </c>
      <c r="P210" t="s">
        <v>245</v>
      </c>
      <c r="Q210" t="s">
        <v>138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202</v>
      </c>
      <c r="B211" t="s">
        <v>137</v>
      </c>
      <c r="C211" t="s">
        <v>130</v>
      </c>
      <c r="D211" t="s">
        <v>66</v>
      </c>
      <c r="E211" t="s">
        <v>32</v>
      </c>
      <c r="F211" s="3">
        <v>45838</v>
      </c>
      <c r="G211">
        <v>2025</v>
      </c>
      <c r="H211" t="s">
        <v>44</v>
      </c>
      <c r="I211" t="s">
        <v>465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245</v>
      </c>
      <c r="P211" t="s">
        <v>245</v>
      </c>
      <c r="Q211" t="s">
        <v>432</v>
      </c>
      <c r="R211">
        <v>1</v>
      </c>
      <c r="S211">
        <v>1</v>
      </c>
      <c r="T211" t="s">
        <v>31</v>
      </c>
      <c r="U211" t="s">
        <v>37</v>
      </c>
      <c r="V211" t="s">
        <v>130</v>
      </c>
      <c r="W211" t="s">
        <v>60</v>
      </c>
      <c r="X211" t="s">
        <v>100</v>
      </c>
      <c r="Y211" t="s">
        <v>139</v>
      </c>
      <c r="Z211" t="s">
        <v>63</v>
      </c>
      <c r="AA211" t="s">
        <v>115</v>
      </c>
      <c r="AB211" t="s">
        <v>43</v>
      </c>
      <c r="AC211" t="s">
        <v>66</v>
      </c>
    </row>
    <row r="212" spans="1:29" x14ac:dyDescent="0.3">
      <c r="A212">
        <v>202</v>
      </c>
      <c r="B212" s="6" t="s">
        <v>137</v>
      </c>
      <c r="C212" t="s">
        <v>130</v>
      </c>
      <c r="D212" t="s">
        <v>66</v>
      </c>
      <c r="E212" t="s">
        <v>32</v>
      </c>
      <c r="F212" s="3">
        <v>46022</v>
      </c>
      <c r="G212">
        <v>2025</v>
      </c>
      <c r="H212" t="s">
        <v>44</v>
      </c>
      <c r="I212" t="s">
        <v>465</v>
      </c>
      <c r="K212">
        <v>68.7</v>
      </c>
      <c r="L212">
        <v>81</v>
      </c>
      <c r="M212">
        <v>1.179039301310044</v>
      </c>
      <c r="N212">
        <v>1.179039301310044</v>
      </c>
      <c r="O212" t="s">
        <v>245</v>
      </c>
      <c r="P212" t="s">
        <v>245</v>
      </c>
      <c r="Q212" t="s">
        <v>432</v>
      </c>
      <c r="R212">
        <v>1</v>
      </c>
      <c r="S212">
        <v>1</v>
      </c>
      <c r="T212" t="s">
        <v>443</v>
      </c>
      <c r="U212" t="s">
        <v>37</v>
      </c>
      <c r="V212" t="s">
        <v>130</v>
      </c>
      <c r="W212" t="s">
        <v>60</v>
      </c>
      <c r="X212" t="s">
        <v>100</v>
      </c>
      <c r="Y212" t="s">
        <v>139</v>
      </c>
      <c r="Z212" t="s">
        <v>63</v>
      </c>
      <c r="AA212" t="s">
        <v>115</v>
      </c>
      <c r="AB212" t="s">
        <v>43</v>
      </c>
      <c r="AC212" t="s">
        <v>66</v>
      </c>
    </row>
    <row r="213" spans="1:29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44742</v>
      </c>
      <c r="G213">
        <v>2022</v>
      </c>
      <c r="H213" t="s">
        <v>33</v>
      </c>
      <c r="I213" t="s">
        <v>34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143</v>
      </c>
      <c r="P213" t="s">
        <v>143</v>
      </c>
      <c r="Q213" t="s">
        <v>144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44926</v>
      </c>
      <c r="G214">
        <v>2022</v>
      </c>
      <c r="H214" t="s">
        <v>44</v>
      </c>
      <c r="I214" t="s">
        <v>45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143</v>
      </c>
      <c r="P214" t="s">
        <v>143</v>
      </c>
      <c r="Q214" t="s">
        <v>149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44926</v>
      </c>
      <c r="G215">
        <v>2022</v>
      </c>
      <c r="H215" t="s">
        <v>44</v>
      </c>
      <c r="I215" t="s">
        <v>45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143</v>
      </c>
      <c r="P215" t="s">
        <v>143</v>
      </c>
      <c r="Q215" t="s">
        <v>149</v>
      </c>
      <c r="R215">
        <v>0</v>
      </c>
      <c r="S215">
        <v>0</v>
      </c>
      <c r="T215" t="s">
        <v>443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45107</v>
      </c>
      <c r="G216">
        <v>2023</v>
      </c>
      <c r="H216" t="s">
        <v>33</v>
      </c>
      <c r="I216" t="s">
        <v>47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143</v>
      </c>
      <c r="P216" t="s">
        <v>143</v>
      </c>
      <c r="Q216" t="s">
        <v>150</v>
      </c>
      <c r="R216">
        <v>0</v>
      </c>
      <c r="S216">
        <v>0</v>
      </c>
      <c r="T216" t="s">
        <v>31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45291</v>
      </c>
      <c r="G217">
        <v>2023</v>
      </c>
      <c r="H217" t="s">
        <v>44</v>
      </c>
      <c r="I217" t="s">
        <v>49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143</v>
      </c>
      <c r="P217" t="s">
        <v>143</v>
      </c>
      <c r="Q217" t="s">
        <v>151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45291</v>
      </c>
      <c r="G218">
        <v>2023</v>
      </c>
      <c r="H218" t="s">
        <v>44</v>
      </c>
      <c r="I218" t="s">
        <v>49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143</v>
      </c>
      <c r="P218" t="s">
        <v>143</v>
      </c>
      <c r="Q218" t="s">
        <v>151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45473</v>
      </c>
      <c r="G219">
        <v>2024</v>
      </c>
      <c r="H219" t="s">
        <v>33</v>
      </c>
      <c r="I219" t="s">
        <v>51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143</v>
      </c>
      <c r="P219" t="s">
        <v>143</v>
      </c>
      <c r="Q219" t="s">
        <v>152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45657</v>
      </c>
      <c r="G220">
        <v>2024</v>
      </c>
      <c r="H220" t="s">
        <v>44</v>
      </c>
      <c r="I220" t="s">
        <v>53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143</v>
      </c>
      <c r="P220" t="s">
        <v>143</v>
      </c>
      <c r="Q220" t="s">
        <v>153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203</v>
      </c>
      <c r="B221" t="s">
        <v>141</v>
      </c>
      <c r="C221" t="s">
        <v>142</v>
      </c>
      <c r="D221" t="s">
        <v>31</v>
      </c>
      <c r="E221" t="s">
        <v>32</v>
      </c>
      <c r="F221" s="3">
        <v>45657</v>
      </c>
      <c r="G221">
        <v>2024</v>
      </c>
      <c r="H221" t="s">
        <v>44</v>
      </c>
      <c r="I221" t="s">
        <v>53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143</v>
      </c>
      <c r="P221" t="s">
        <v>143</v>
      </c>
      <c r="Q221" t="s">
        <v>153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203</v>
      </c>
      <c r="B222" t="s">
        <v>141</v>
      </c>
      <c r="C222" t="s">
        <v>142</v>
      </c>
      <c r="D222" t="s">
        <v>31</v>
      </c>
      <c r="E222" t="s">
        <v>32</v>
      </c>
      <c r="F222" s="3">
        <v>45838</v>
      </c>
      <c r="G222">
        <v>2025</v>
      </c>
      <c r="H222" t="s">
        <v>33</v>
      </c>
      <c r="I222" t="s">
        <v>404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143</v>
      </c>
      <c r="P222" t="s">
        <v>143</v>
      </c>
      <c r="Q222" t="s">
        <v>426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44742</v>
      </c>
      <c r="G223">
        <v>2022</v>
      </c>
      <c r="H223" t="s">
        <v>33</v>
      </c>
      <c r="I223" t="s">
        <v>34</v>
      </c>
      <c r="J223">
        <v>1</v>
      </c>
      <c r="K223">
        <v>58804</v>
      </c>
      <c r="L223">
        <v>37101</v>
      </c>
      <c r="M223">
        <v>0.63092646758723891</v>
      </c>
      <c r="N223">
        <v>0.63092646758723891</v>
      </c>
      <c r="O223" t="s">
        <v>143</v>
      </c>
      <c r="P223" t="s">
        <v>143</v>
      </c>
      <c r="Q223" t="s">
        <v>155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44925</v>
      </c>
      <c r="G224">
        <v>2022</v>
      </c>
      <c r="H224" t="s">
        <v>44</v>
      </c>
      <c r="I224" t="s">
        <v>45</v>
      </c>
      <c r="J224">
        <v>2</v>
      </c>
      <c r="K224">
        <v>82987</v>
      </c>
      <c r="L224">
        <v>18386</v>
      </c>
      <c r="M224">
        <v>0.22155277332594259</v>
      </c>
      <c r="N224">
        <v>0.22155277332594259</v>
      </c>
      <c r="O224" t="s">
        <v>143</v>
      </c>
      <c r="P224" t="s">
        <v>143</v>
      </c>
      <c r="Q224" t="s">
        <v>156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44925</v>
      </c>
      <c r="G225">
        <v>2022</v>
      </c>
      <c r="H225" t="s">
        <v>44</v>
      </c>
      <c r="I225" t="s">
        <v>45</v>
      </c>
      <c r="O225" t="s">
        <v>143</v>
      </c>
      <c r="P225" t="s">
        <v>143</v>
      </c>
      <c r="Q225" t="s">
        <v>156</v>
      </c>
      <c r="R225">
        <v>0</v>
      </c>
      <c r="S225">
        <v>0</v>
      </c>
      <c r="T225" t="s">
        <v>443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45107</v>
      </c>
      <c r="G226">
        <v>2023</v>
      </c>
      <c r="H226" t="s">
        <v>33</v>
      </c>
      <c r="I226" t="s">
        <v>47</v>
      </c>
      <c r="J226">
        <v>1</v>
      </c>
      <c r="K226">
        <v>8772.7956340000001</v>
      </c>
      <c r="L226">
        <v>17085.606216</v>
      </c>
      <c r="M226">
        <v>1.3</v>
      </c>
      <c r="N226">
        <v>1.9475668793403469</v>
      </c>
      <c r="O226" t="s">
        <v>143</v>
      </c>
      <c r="P226" t="s">
        <v>143</v>
      </c>
      <c r="Q226" t="s">
        <v>157</v>
      </c>
      <c r="R226">
        <v>0</v>
      </c>
      <c r="S226">
        <v>0</v>
      </c>
      <c r="T226" t="s">
        <v>31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45291</v>
      </c>
      <c r="G227">
        <v>2023</v>
      </c>
      <c r="H227" t="s">
        <v>44</v>
      </c>
      <c r="I227" t="s">
        <v>49</v>
      </c>
      <c r="J227">
        <v>2</v>
      </c>
      <c r="K227">
        <v>78073.811390316565</v>
      </c>
      <c r="L227">
        <v>123931.15668299999</v>
      </c>
      <c r="M227">
        <v>1.3</v>
      </c>
      <c r="N227">
        <v>1.5873588656179161</v>
      </c>
      <c r="O227" t="s">
        <v>143</v>
      </c>
      <c r="P227" t="s">
        <v>143</v>
      </c>
      <c r="Q227" t="s">
        <v>158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45291</v>
      </c>
      <c r="G228">
        <v>2023</v>
      </c>
      <c r="H228" t="s">
        <v>44</v>
      </c>
      <c r="I228" t="s">
        <v>49</v>
      </c>
      <c r="K228">
        <v>86846.60702431656</v>
      </c>
      <c r="L228">
        <v>141016.76289899999</v>
      </c>
      <c r="M228">
        <v>1.3</v>
      </c>
      <c r="N228">
        <v>1.6237452185036549</v>
      </c>
      <c r="O228" t="s">
        <v>143</v>
      </c>
      <c r="P228" t="s">
        <v>143</v>
      </c>
      <c r="Q228" t="s">
        <v>158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204</v>
      </c>
      <c r="B229" t="s">
        <v>154</v>
      </c>
      <c r="C229" t="s">
        <v>142</v>
      </c>
      <c r="D229" t="s">
        <v>31</v>
      </c>
      <c r="E229" t="s">
        <v>32</v>
      </c>
      <c r="F229" s="3">
        <v>45473</v>
      </c>
      <c r="G229">
        <v>2024</v>
      </c>
      <c r="H229" t="s">
        <v>33</v>
      </c>
      <c r="I229" t="s">
        <v>51</v>
      </c>
      <c r="J229">
        <v>1</v>
      </c>
      <c r="K229">
        <v>20714.519157999999</v>
      </c>
      <c r="L229">
        <v>27665.037063</v>
      </c>
      <c r="M229">
        <v>1.3</v>
      </c>
      <c r="N229">
        <v>1.335538462273004</v>
      </c>
      <c r="O229" t="s">
        <v>143</v>
      </c>
      <c r="P229" t="s">
        <v>143</v>
      </c>
      <c r="Q229" t="s">
        <v>159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204</v>
      </c>
      <c r="B230" t="s">
        <v>154</v>
      </c>
      <c r="C230" t="s">
        <v>142</v>
      </c>
      <c r="D230" t="s">
        <v>31</v>
      </c>
      <c r="E230" t="s">
        <v>32</v>
      </c>
      <c r="F230" s="3">
        <v>45657</v>
      </c>
      <c r="G230">
        <v>2024</v>
      </c>
      <c r="H230" t="s">
        <v>44</v>
      </c>
      <c r="I230" t="s">
        <v>53</v>
      </c>
      <c r="J230">
        <v>2</v>
      </c>
      <c r="K230">
        <v>101459.98229760421</v>
      </c>
      <c r="L230">
        <v>149297.71176100001</v>
      </c>
      <c r="M230">
        <v>1.3</v>
      </c>
      <c r="N230">
        <v>1.335538462273004</v>
      </c>
      <c r="O230" t="s">
        <v>143</v>
      </c>
      <c r="P230" t="s">
        <v>143</v>
      </c>
      <c r="Q230" t="s">
        <v>160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204</v>
      </c>
      <c r="B231" t="s">
        <v>154</v>
      </c>
      <c r="C231" t="s">
        <v>142</v>
      </c>
      <c r="D231" t="s">
        <v>31</v>
      </c>
      <c r="E231" t="s">
        <v>32</v>
      </c>
      <c r="F231" s="3">
        <v>45657</v>
      </c>
      <c r="G231">
        <v>2024</v>
      </c>
      <c r="H231" t="s">
        <v>44</v>
      </c>
      <c r="I231" t="s">
        <v>53</v>
      </c>
      <c r="K231">
        <v>122440.821151</v>
      </c>
      <c r="L231">
        <v>176962.74882400001</v>
      </c>
      <c r="M231">
        <v>1.3</v>
      </c>
      <c r="N231">
        <v>1.4452920779235949</v>
      </c>
      <c r="O231" t="s">
        <v>143</v>
      </c>
      <c r="P231" t="s">
        <v>143</v>
      </c>
      <c r="Q231" t="s">
        <v>160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204</v>
      </c>
      <c r="B232" t="s">
        <v>154</v>
      </c>
      <c r="C232" t="s">
        <v>142</v>
      </c>
      <c r="D232" t="s">
        <v>31</v>
      </c>
      <c r="E232" t="s">
        <v>32</v>
      </c>
      <c r="F232" s="3">
        <v>45838</v>
      </c>
      <c r="G232">
        <v>2025</v>
      </c>
      <c r="H232" t="s">
        <v>33</v>
      </c>
      <c r="I232" t="s">
        <v>404</v>
      </c>
      <c r="J232">
        <v>1</v>
      </c>
      <c r="K232">
        <v>23623.074006999999</v>
      </c>
      <c r="L232">
        <v>20526.599049</v>
      </c>
      <c r="M232">
        <v>0.86892159093763788</v>
      </c>
      <c r="N232">
        <v>0.86892159093763788</v>
      </c>
      <c r="O232" t="s">
        <v>143</v>
      </c>
      <c r="P232" t="s">
        <v>143</v>
      </c>
      <c r="Q232" t="s">
        <v>423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204</v>
      </c>
      <c r="B233" t="s">
        <v>154</v>
      </c>
      <c r="C233" t="s">
        <v>142</v>
      </c>
      <c r="D233" t="s">
        <v>31</v>
      </c>
      <c r="E233" t="s">
        <v>32</v>
      </c>
      <c r="F233" s="3">
        <v>45838</v>
      </c>
      <c r="G233">
        <v>2025</v>
      </c>
      <c r="H233" t="s">
        <v>33</v>
      </c>
      <c r="I233" t="s">
        <v>404</v>
      </c>
      <c r="K233">
        <v>23623.074006999999</v>
      </c>
      <c r="L233">
        <v>20526.599049</v>
      </c>
      <c r="M233">
        <v>0.86892159093763788</v>
      </c>
      <c r="N233">
        <v>0.86892159093763788</v>
      </c>
      <c r="O233" t="s">
        <v>143</v>
      </c>
      <c r="P233" t="s">
        <v>143</v>
      </c>
      <c r="Q233" t="s">
        <v>423</v>
      </c>
      <c r="R233">
        <v>0</v>
      </c>
      <c r="S233">
        <v>0</v>
      </c>
      <c r="T233" t="s">
        <v>443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45107</v>
      </c>
      <c r="G234">
        <v>2023</v>
      </c>
      <c r="H234" t="s">
        <v>33</v>
      </c>
      <c r="I234" t="s">
        <v>47</v>
      </c>
      <c r="J234">
        <v>1</v>
      </c>
      <c r="K234">
        <v>2622.5539939999999</v>
      </c>
      <c r="L234">
        <v>4338.4199079999999</v>
      </c>
      <c r="M234">
        <v>1.3</v>
      </c>
      <c r="N234">
        <v>1.654272864515139</v>
      </c>
      <c r="O234" t="s">
        <v>143</v>
      </c>
      <c r="P234" t="s">
        <v>143</v>
      </c>
      <c r="Q234" t="s">
        <v>162</v>
      </c>
      <c r="R234">
        <v>0</v>
      </c>
      <c r="S234">
        <v>0</v>
      </c>
      <c r="T234" t="s">
        <v>31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45291</v>
      </c>
      <c r="G235">
        <v>2023</v>
      </c>
      <c r="H235" t="s">
        <v>44</v>
      </c>
      <c r="I235" t="s">
        <v>49</v>
      </c>
      <c r="J235">
        <v>2</v>
      </c>
      <c r="K235">
        <v>2041.786670711695</v>
      </c>
      <c r="L235">
        <v>7345.4747770000004</v>
      </c>
      <c r="M235">
        <v>1.3</v>
      </c>
      <c r="N235">
        <v>3.597572107981108</v>
      </c>
      <c r="O235" t="s">
        <v>143</v>
      </c>
      <c r="P235" t="s">
        <v>143</v>
      </c>
      <c r="Q235" t="s">
        <v>163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45291</v>
      </c>
      <c r="G236">
        <v>2023</v>
      </c>
      <c r="H236" t="s">
        <v>44</v>
      </c>
      <c r="I236" t="s">
        <v>49</v>
      </c>
      <c r="K236">
        <v>2041.7866710000001</v>
      </c>
      <c r="L236">
        <v>8708.3762700000007</v>
      </c>
      <c r="M236">
        <v>1.3</v>
      </c>
      <c r="N236">
        <v>4.2650764615555667</v>
      </c>
      <c r="O236" t="s">
        <v>143</v>
      </c>
      <c r="P236" t="s">
        <v>143</v>
      </c>
      <c r="Q236" t="s">
        <v>163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45473</v>
      </c>
      <c r="G237">
        <v>2024</v>
      </c>
      <c r="H237" t="s">
        <v>33</v>
      </c>
      <c r="I237" t="s">
        <v>51</v>
      </c>
      <c r="J237">
        <v>1</v>
      </c>
      <c r="K237">
        <v>2039.2370430000001</v>
      </c>
      <c r="L237">
        <v>4385.721681</v>
      </c>
      <c r="M237">
        <v>1.3</v>
      </c>
      <c r="N237">
        <v>2.1506679157553932</v>
      </c>
      <c r="O237" t="s">
        <v>143</v>
      </c>
      <c r="P237" t="s">
        <v>143</v>
      </c>
      <c r="Q237" t="s">
        <v>164</v>
      </c>
      <c r="R237">
        <v>0</v>
      </c>
      <c r="S237">
        <v>0</v>
      </c>
      <c r="T237" t="s">
        <v>31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45657</v>
      </c>
      <c r="G238">
        <v>2024</v>
      </c>
      <c r="H238" t="s">
        <v>44</v>
      </c>
      <c r="I238" t="s">
        <v>53</v>
      </c>
      <c r="J238">
        <v>2</v>
      </c>
      <c r="K238">
        <v>2783.2196537144901</v>
      </c>
      <c r="L238">
        <v>5092.3929009999993</v>
      </c>
      <c r="M238">
        <v>1.3</v>
      </c>
      <c r="N238">
        <v>1.829676969334304</v>
      </c>
      <c r="O238" t="s">
        <v>143</v>
      </c>
      <c r="P238" t="s">
        <v>143</v>
      </c>
      <c r="Q238" t="s">
        <v>165</v>
      </c>
      <c r="R238">
        <v>0</v>
      </c>
      <c r="S238">
        <v>0</v>
      </c>
      <c r="T238" t="s">
        <v>31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x14ac:dyDescent="0.3">
      <c r="A239">
        <v>205</v>
      </c>
      <c r="B239" t="s">
        <v>161</v>
      </c>
      <c r="C239" t="s">
        <v>142</v>
      </c>
      <c r="D239" t="s">
        <v>31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K239">
        <v>2783.219654</v>
      </c>
      <c r="L239">
        <v>5141.1028649999998</v>
      </c>
      <c r="M239">
        <v>1.3</v>
      </c>
      <c r="N239">
        <v>1.847178269818297</v>
      </c>
      <c r="O239" t="s">
        <v>143</v>
      </c>
      <c r="P239" t="s">
        <v>143</v>
      </c>
      <c r="Q239" t="s">
        <v>165</v>
      </c>
      <c r="R239">
        <v>0</v>
      </c>
      <c r="S239">
        <v>0</v>
      </c>
      <c r="T239" t="s">
        <v>443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78</v>
      </c>
      <c r="AC239" t="s">
        <v>66</v>
      </c>
    </row>
    <row r="240" spans="1:29" x14ac:dyDescent="0.3">
      <c r="A240">
        <v>205</v>
      </c>
      <c r="B240" t="s">
        <v>161</v>
      </c>
      <c r="C240" t="s">
        <v>142</v>
      </c>
      <c r="D240" t="s">
        <v>31</v>
      </c>
      <c r="E240" t="s">
        <v>32</v>
      </c>
      <c r="F240" s="3">
        <v>45838</v>
      </c>
      <c r="G240">
        <v>2025</v>
      </c>
      <c r="H240" t="s">
        <v>33</v>
      </c>
      <c r="I240" t="s">
        <v>404</v>
      </c>
      <c r="J240">
        <v>1</v>
      </c>
      <c r="K240">
        <v>4817.8363419999996</v>
      </c>
      <c r="L240">
        <v>8976.1202028999996</v>
      </c>
      <c r="M240">
        <v>1.3</v>
      </c>
      <c r="N240">
        <v>1.8631019332578229</v>
      </c>
      <c r="O240" t="s">
        <v>143</v>
      </c>
      <c r="P240" t="s">
        <v>143</v>
      </c>
      <c r="Q240" t="s">
        <v>422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78</v>
      </c>
      <c r="AC240" t="s">
        <v>66</v>
      </c>
    </row>
    <row r="241" spans="1:29" x14ac:dyDescent="0.3">
      <c r="A241">
        <v>205</v>
      </c>
      <c r="B241" t="s">
        <v>161</v>
      </c>
      <c r="C241" t="s">
        <v>142</v>
      </c>
      <c r="D241" t="s">
        <v>31</v>
      </c>
      <c r="E241" t="s">
        <v>32</v>
      </c>
      <c r="F241" s="3">
        <v>45838</v>
      </c>
      <c r="G241">
        <v>2025</v>
      </c>
      <c r="H241" t="s">
        <v>33</v>
      </c>
      <c r="I241" t="s">
        <v>404</v>
      </c>
      <c r="K241">
        <v>4817.8363419999996</v>
      </c>
      <c r="L241">
        <v>8976.1202028999996</v>
      </c>
      <c r="M241">
        <v>1.3</v>
      </c>
      <c r="N241">
        <v>1.8631019332578229</v>
      </c>
      <c r="O241" t="s">
        <v>143</v>
      </c>
      <c r="P241" t="s">
        <v>143</v>
      </c>
      <c r="Q241" t="s">
        <v>422</v>
      </c>
      <c r="R241">
        <v>0</v>
      </c>
      <c r="S241">
        <v>0</v>
      </c>
      <c r="T241" t="s">
        <v>443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78</v>
      </c>
      <c r="AC241" t="s">
        <v>66</v>
      </c>
    </row>
    <row r="242" spans="1:29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45107</v>
      </c>
      <c r="G242">
        <v>2023</v>
      </c>
      <c r="H242" t="s">
        <v>33</v>
      </c>
      <c r="I242" t="s">
        <v>47</v>
      </c>
      <c r="J242">
        <v>1</v>
      </c>
      <c r="K242">
        <v>114640.77968199999</v>
      </c>
      <c r="L242">
        <v>116015.126638</v>
      </c>
      <c r="M242">
        <v>0.98815372619220287</v>
      </c>
      <c r="N242">
        <v>0.98815372619220287</v>
      </c>
      <c r="O242" t="s">
        <v>143</v>
      </c>
      <c r="P242" t="s">
        <v>143</v>
      </c>
      <c r="Q242" t="s">
        <v>172</v>
      </c>
      <c r="R242">
        <v>0</v>
      </c>
      <c r="S242">
        <v>0</v>
      </c>
      <c r="T242" t="s">
        <v>31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238770.96657245801</v>
      </c>
      <c r="L243">
        <v>247359.733075</v>
      </c>
      <c r="M243">
        <v>0.96527823507984689</v>
      </c>
      <c r="N243">
        <v>0.96527823507984689</v>
      </c>
      <c r="O243" t="s">
        <v>143</v>
      </c>
      <c r="P243" t="s">
        <v>143</v>
      </c>
      <c r="Q243" t="s">
        <v>173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238770.96657245801</v>
      </c>
      <c r="L244">
        <v>247359.73307500011</v>
      </c>
      <c r="M244">
        <v>0.96527823507984656</v>
      </c>
      <c r="N244">
        <v>0.96527823507984656</v>
      </c>
      <c r="O244" t="s">
        <v>143</v>
      </c>
      <c r="P244" t="s">
        <v>143</v>
      </c>
      <c r="Q244" t="s">
        <v>173</v>
      </c>
      <c r="R244">
        <v>0</v>
      </c>
      <c r="S244">
        <v>0</v>
      </c>
      <c r="T244" t="s">
        <v>443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45473</v>
      </c>
      <c r="G245">
        <v>2024</v>
      </c>
      <c r="H245" t="s">
        <v>33</v>
      </c>
      <c r="I245" t="s">
        <v>51</v>
      </c>
      <c r="J245">
        <v>1</v>
      </c>
      <c r="K245">
        <v>128735.29679399999</v>
      </c>
      <c r="L245">
        <v>131039.3223</v>
      </c>
      <c r="M245">
        <v>1.017897387611471</v>
      </c>
      <c r="N245">
        <v>1.017897387611471</v>
      </c>
      <c r="O245" t="s">
        <v>143</v>
      </c>
      <c r="P245" t="s">
        <v>143</v>
      </c>
      <c r="Q245" t="s">
        <v>174</v>
      </c>
      <c r="R245">
        <v>0</v>
      </c>
      <c r="S245">
        <v>0</v>
      </c>
      <c r="T245" t="s">
        <v>31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x14ac:dyDescent="0.3">
      <c r="A246">
        <v>207</v>
      </c>
      <c r="B246" t="s">
        <v>170</v>
      </c>
      <c r="C246" t="s">
        <v>142</v>
      </c>
      <c r="D246" t="s">
        <v>31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262628.34438982193</v>
      </c>
      <c r="L246">
        <v>268399.19981700002</v>
      </c>
      <c r="M246">
        <v>1.017897387611471</v>
      </c>
      <c r="N246">
        <v>1.017897387611471</v>
      </c>
      <c r="O246" t="s">
        <v>143</v>
      </c>
      <c r="P246" t="s">
        <v>143</v>
      </c>
      <c r="Q246" t="s">
        <v>175</v>
      </c>
      <c r="R246">
        <v>0</v>
      </c>
      <c r="S246">
        <v>0</v>
      </c>
      <c r="T246" t="s">
        <v>31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x14ac:dyDescent="0.3">
      <c r="A247">
        <v>207</v>
      </c>
      <c r="B247" t="s">
        <v>170</v>
      </c>
      <c r="C247" t="s">
        <v>142</v>
      </c>
      <c r="D247" t="s">
        <v>31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262628.34438999998</v>
      </c>
      <c r="L247">
        <v>268399.19981700002</v>
      </c>
      <c r="M247">
        <v>1.0219734676407599</v>
      </c>
      <c r="N247">
        <v>1.0219734676407599</v>
      </c>
      <c r="O247" t="s">
        <v>143</v>
      </c>
      <c r="P247" t="s">
        <v>143</v>
      </c>
      <c r="Q247" t="s">
        <v>175</v>
      </c>
      <c r="R247">
        <v>0</v>
      </c>
      <c r="S247">
        <v>0</v>
      </c>
      <c r="T247" t="s">
        <v>443</v>
      </c>
      <c r="U247" t="s">
        <v>37</v>
      </c>
      <c r="V247" t="s">
        <v>142</v>
      </c>
      <c r="W247" t="s">
        <v>145</v>
      </c>
      <c r="X247" t="s">
        <v>146</v>
      </c>
      <c r="Y247" t="s">
        <v>147</v>
      </c>
      <c r="Z247" t="s">
        <v>63</v>
      </c>
      <c r="AA247" t="s">
        <v>148</v>
      </c>
      <c r="AB247" t="s">
        <v>43</v>
      </c>
      <c r="AC247" t="s">
        <v>66</v>
      </c>
    </row>
    <row r="248" spans="1:29" x14ac:dyDescent="0.3">
      <c r="A248">
        <v>207</v>
      </c>
      <c r="B248" t="s">
        <v>170</v>
      </c>
      <c r="C248" t="s">
        <v>142</v>
      </c>
      <c r="D248" t="s">
        <v>31</v>
      </c>
      <c r="E248" t="s">
        <v>171</v>
      </c>
      <c r="F248" s="3">
        <v>45838</v>
      </c>
      <c r="G248">
        <v>2025</v>
      </c>
      <c r="H248" t="s">
        <v>33</v>
      </c>
      <c r="I248" t="s">
        <v>404</v>
      </c>
      <c r="J248">
        <v>1</v>
      </c>
      <c r="K248">
        <v>131244.07283600001</v>
      </c>
      <c r="L248">
        <v>145546.91852800001</v>
      </c>
      <c r="M248">
        <v>1.108978983834741</v>
      </c>
      <c r="N248">
        <v>1.108978983834741</v>
      </c>
      <c r="O248" t="s">
        <v>143</v>
      </c>
      <c r="P248" t="s">
        <v>143</v>
      </c>
      <c r="Q248" t="s">
        <v>427</v>
      </c>
      <c r="R248">
        <v>0</v>
      </c>
      <c r="S248">
        <v>0</v>
      </c>
      <c r="T248" t="s">
        <v>31</v>
      </c>
      <c r="U248" t="s">
        <v>37</v>
      </c>
      <c r="V248" t="s">
        <v>142</v>
      </c>
      <c r="W248" t="s">
        <v>145</v>
      </c>
      <c r="X248" t="s">
        <v>146</v>
      </c>
      <c r="Y248" t="s">
        <v>147</v>
      </c>
      <c r="Z248" t="s">
        <v>63</v>
      </c>
      <c r="AA248" t="s">
        <v>148</v>
      </c>
      <c r="AB248" t="s">
        <v>43</v>
      </c>
      <c r="AC248" t="s">
        <v>66</v>
      </c>
    </row>
    <row r="249" spans="1:29" x14ac:dyDescent="0.3">
      <c r="A249">
        <v>207</v>
      </c>
      <c r="B249" s="6" t="s">
        <v>170</v>
      </c>
      <c r="C249" t="s">
        <v>142</v>
      </c>
      <c r="D249" t="s">
        <v>31</v>
      </c>
      <c r="E249" t="s">
        <v>171</v>
      </c>
      <c r="F249" s="3">
        <v>45838</v>
      </c>
      <c r="G249">
        <v>2025</v>
      </c>
      <c r="H249" t="s">
        <v>33</v>
      </c>
      <c r="I249" t="s">
        <v>404</v>
      </c>
      <c r="K249">
        <v>131244.07283600001</v>
      </c>
      <c r="L249">
        <v>145546.91852800001</v>
      </c>
      <c r="M249">
        <v>1.108978983834741</v>
      </c>
      <c r="N249">
        <v>1.108978983834741</v>
      </c>
      <c r="O249" t="s">
        <v>143</v>
      </c>
      <c r="P249" t="s">
        <v>143</v>
      </c>
      <c r="Q249" t="s">
        <v>427</v>
      </c>
      <c r="R249">
        <v>0</v>
      </c>
      <c r="S249">
        <v>0</v>
      </c>
      <c r="T249" t="s">
        <v>443</v>
      </c>
      <c r="U249" t="s">
        <v>37</v>
      </c>
      <c r="V249" t="s">
        <v>142</v>
      </c>
      <c r="W249" t="s">
        <v>145</v>
      </c>
      <c r="X249" t="s">
        <v>146</v>
      </c>
      <c r="Y249" t="s">
        <v>147</v>
      </c>
      <c r="Z249" t="s">
        <v>63</v>
      </c>
      <c r="AA249" t="s">
        <v>148</v>
      </c>
      <c r="AB249" t="s">
        <v>43</v>
      </c>
      <c r="AC249" t="s">
        <v>66</v>
      </c>
    </row>
    <row r="250" spans="1:29" x14ac:dyDescent="0.3">
      <c r="A250">
        <v>228</v>
      </c>
      <c r="B250" s="6" t="s">
        <v>176</v>
      </c>
      <c r="C250" t="s">
        <v>177</v>
      </c>
      <c r="D250" t="s">
        <v>66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100</v>
      </c>
      <c r="L250">
        <v>100.11</v>
      </c>
      <c r="M250">
        <v>1.0011000000000001</v>
      </c>
      <c r="N250">
        <v>1.0011000000000001</v>
      </c>
      <c r="Q250" t="s">
        <v>178</v>
      </c>
      <c r="R250">
        <v>1</v>
      </c>
      <c r="S250">
        <v>1</v>
      </c>
      <c r="T250" t="s">
        <v>31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x14ac:dyDescent="0.3">
      <c r="A251">
        <v>228</v>
      </c>
      <c r="B251" s="6" t="s">
        <v>176</v>
      </c>
      <c r="C251" t="s">
        <v>177</v>
      </c>
      <c r="D251" t="s">
        <v>66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170.99</v>
      </c>
      <c r="L251">
        <v>235</v>
      </c>
      <c r="M251">
        <v>1</v>
      </c>
      <c r="N251">
        <v>1.3743493771565589</v>
      </c>
      <c r="O251" t="s">
        <v>445</v>
      </c>
      <c r="P251" t="s">
        <v>445</v>
      </c>
      <c r="Q251" t="s">
        <v>178</v>
      </c>
      <c r="R251">
        <v>1</v>
      </c>
      <c r="S251">
        <v>0</v>
      </c>
      <c r="T251" t="s">
        <v>443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K252">
        <v>622.69000000000005</v>
      </c>
      <c r="L252">
        <v>622.68999999999994</v>
      </c>
      <c r="M252">
        <v>0.99999999999999978</v>
      </c>
      <c r="N252">
        <v>0.99999999999999978</v>
      </c>
      <c r="O252" t="s">
        <v>445</v>
      </c>
      <c r="P252" t="s">
        <v>445</v>
      </c>
      <c r="Q252" t="s">
        <v>453</v>
      </c>
      <c r="R252">
        <v>1</v>
      </c>
      <c r="S252">
        <v>1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x14ac:dyDescent="0.3">
      <c r="A253">
        <v>228</v>
      </c>
      <c r="B253" t="s">
        <v>176</v>
      </c>
      <c r="C253" t="s">
        <v>177</v>
      </c>
      <c r="D253" t="s">
        <v>66</v>
      </c>
      <c r="E253" t="s">
        <v>32</v>
      </c>
      <c r="F253" s="3">
        <v>45657</v>
      </c>
      <c r="G253">
        <v>2024</v>
      </c>
      <c r="H253" t="s">
        <v>44</v>
      </c>
      <c r="I253" t="s">
        <v>53</v>
      </c>
      <c r="J253">
        <v>2</v>
      </c>
      <c r="Q253" t="s">
        <v>181</v>
      </c>
      <c r="R253">
        <v>0</v>
      </c>
      <c r="S253">
        <v>0</v>
      </c>
      <c r="T253" t="s">
        <v>31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x14ac:dyDescent="0.3">
      <c r="A254">
        <v>228</v>
      </c>
      <c r="B254" t="s">
        <v>176</v>
      </c>
      <c r="C254" t="s">
        <v>177</v>
      </c>
      <c r="D254" t="s">
        <v>66</v>
      </c>
      <c r="E254" t="s">
        <v>32</v>
      </c>
      <c r="F254" s="3">
        <v>45657</v>
      </c>
      <c r="G254">
        <v>2024</v>
      </c>
      <c r="H254" t="s">
        <v>44</v>
      </c>
      <c r="I254" t="s">
        <v>53</v>
      </c>
      <c r="K254">
        <v>476.48</v>
      </c>
      <c r="L254">
        <v>477</v>
      </c>
      <c r="M254">
        <v>1</v>
      </c>
      <c r="N254">
        <v>1.0010913364674281</v>
      </c>
      <c r="O254" t="s">
        <v>445</v>
      </c>
      <c r="P254" t="s">
        <v>445</v>
      </c>
      <c r="Q254" t="s">
        <v>181</v>
      </c>
      <c r="R254">
        <v>1</v>
      </c>
      <c r="S254">
        <v>0</v>
      </c>
      <c r="T254" t="s">
        <v>443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x14ac:dyDescent="0.3">
      <c r="A255">
        <v>228</v>
      </c>
      <c r="B255" t="s">
        <v>176</v>
      </c>
      <c r="C255" t="s">
        <v>177</v>
      </c>
      <c r="D255" t="s">
        <v>66</v>
      </c>
      <c r="E255" t="s">
        <v>32</v>
      </c>
      <c r="F255" s="3">
        <v>45838</v>
      </c>
      <c r="G255">
        <v>2025</v>
      </c>
      <c r="H255" t="s">
        <v>33</v>
      </c>
      <c r="I255" t="s">
        <v>404</v>
      </c>
      <c r="K255">
        <v>622.69000000000005</v>
      </c>
      <c r="L255">
        <v>622.69100000000003</v>
      </c>
      <c r="M255">
        <v>1</v>
      </c>
      <c r="N255">
        <v>1.0000016059355381</v>
      </c>
      <c r="O255" t="s">
        <v>445</v>
      </c>
      <c r="P255" t="s">
        <v>445</v>
      </c>
      <c r="Q255" t="s">
        <v>460</v>
      </c>
      <c r="R255">
        <v>1</v>
      </c>
      <c r="S255">
        <v>1</v>
      </c>
      <c r="T255" t="s">
        <v>443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44926</v>
      </c>
      <c r="G256">
        <v>2022</v>
      </c>
      <c r="H256" t="s">
        <v>44</v>
      </c>
      <c r="I256" t="s">
        <v>45</v>
      </c>
      <c r="K256">
        <v>27</v>
      </c>
      <c r="L256">
        <v>27</v>
      </c>
      <c r="M256">
        <v>1</v>
      </c>
      <c r="N256">
        <v>1</v>
      </c>
      <c r="O256" t="s">
        <v>35</v>
      </c>
      <c r="P256" t="s">
        <v>35</v>
      </c>
      <c r="Q256" t="s">
        <v>446</v>
      </c>
      <c r="R256">
        <v>0</v>
      </c>
      <c r="S256">
        <v>0</v>
      </c>
      <c r="T256" t="s">
        <v>443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45291</v>
      </c>
      <c r="G257">
        <v>2023</v>
      </c>
      <c r="H257" t="s">
        <v>44</v>
      </c>
      <c r="I257" t="s">
        <v>49</v>
      </c>
      <c r="J257">
        <v>2</v>
      </c>
      <c r="K257">
        <v>25</v>
      </c>
      <c r="L257">
        <v>24</v>
      </c>
      <c r="M257">
        <v>1.041666666666667</v>
      </c>
      <c r="N257">
        <v>1.041666666666667</v>
      </c>
      <c r="Q257" t="s">
        <v>183</v>
      </c>
      <c r="R257">
        <v>0</v>
      </c>
      <c r="S257">
        <v>0</v>
      </c>
      <c r="T257" t="s">
        <v>31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45291</v>
      </c>
      <c r="G258">
        <v>2023</v>
      </c>
      <c r="H258" t="s">
        <v>44</v>
      </c>
      <c r="I258" t="s">
        <v>49</v>
      </c>
      <c r="K258">
        <v>25</v>
      </c>
      <c r="L258">
        <v>24</v>
      </c>
      <c r="M258">
        <v>1.041666666666667</v>
      </c>
      <c r="N258">
        <v>1.041666666666667</v>
      </c>
      <c r="O258" t="s">
        <v>35</v>
      </c>
      <c r="P258" t="s">
        <v>35</v>
      </c>
      <c r="Q258" t="s">
        <v>183</v>
      </c>
      <c r="R258">
        <v>0</v>
      </c>
      <c r="S258">
        <v>0</v>
      </c>
      <c r="T258" t="s">
        <v>443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x14ac:dyDescent="0.3">
      <c r="A259">
        <v>244</v>
      </c>
      <c r="B259" t="s">
        <v>182</v>
      </c>
      <c r="C259" t="s">
        <v>177</v>
      </c>
      <c r="D259" t="s">
        <v>66</v>
      </c>
      <c r="E259" t="s">
        <v>171</v>
      </c>
      <c r="F259" s="3">
        <v>45657</v>
      </c>
      <c r="G259">
        <v>2024</v>
      </c>
      <c r="H259" t="s">
        <v>44</v>
      </c>
      <c r="I259" t="s">
        <v>53</v>
      </c>
      <c r="J259">
        <v>2</v>
      </c>
      <c r="K259">
        <v>25</v>
      </c>
      <c r="L259">
        <v>25</v>
      </c>
      <c r="M259">
        <v>1</v>
      </c>
      <c r="N259">
        <v>1</v>
      </c>
      <c r="Q259" t="s">
        <v>184</v>
      </c>
      <c r="R259">
        <v>0</v>
      </c>
      <c r="S259">
        <v>0</v>
      </c>
      <c r="T259" t="s">
        <v>31</v>
      </c>
      <c r="U259" t="s">
        <v>37</v>
      </c>
      <c r="V259" t="s">
        <v>177</v>
      </c>
      <c r="W259" t="s">
        <v>145</v>
      </c>
      <c r="X259" t="s">
        <v>179</v>
      </c>
      <c r="Y259" t="s">
        <v>180</v>
      </c>
      <c r="Z259" t="s">
        <v>63</v>
      </c>
      <c r="AA259" t="s">
        <v>64</v>
      </c>
      <c r="AB259" t="s">
        <v>43</v>
      </c>
      <c r="AC259" t="s">
        <v>66</v>
      </c>
    </row>
    <row r="260" spans="1:29" x14ac:dyDescent="0.3">
      <c r="A260">
        <v>244</v>
      </c>
      <c r="B260" t="s">
        <v>182</v>
      </c>
      <c r="C260" t="s">
        <v>177</v>
      </c>
      <c r="D260" t="s">
        <v>66</v>
      </c>
      <c r="E260" t="s">
        <v>171</v>
      </c>
      <c r="F260" s="3">
        <v>45657</v>
      </c>
      <c r="G260">
        <v>2024</v>
      </c>
      <c r="H260" t="s">
        <v>44</v>
      </c>
      <c r="I260" t="s">
        <v>53</v>
      </c>
      <c r="K260">
        <v>25</v>
      </c>
      <c r="L260">
        <v>25</v>
      </c>
      <c r="M260">
        <v>1</v>
      </c>
      <c r="N260">
        <v>1</v>
      </c>
      <c r="O260" t="s">
        <v>35</v>
      </c>
      <c r="P260" t="s">
        <v>35</v>
      </c>
      <c r="Q260" t="s">
        <v>184</v>
      </c>
      <c r="R260">
        <v>0</v>
      </c>
      <c r="S260">
        <v>0</v>
      </c>
      <c r="T260" t="s">
        <v>443</v>
      </c>
      <c r="U260" t="s">
        <v>37</v>
      </c>
      <c r="V260" t="s">
        <v>177</v>
      </c>
      <c r="W260" t="s">
        <v>145</v>
      </c>
      <c r="X260" t="s">
        <v>179</v>
      </c>
      <c r="Y260" t="s">
        <v>180</v>
      </c>
      <c r="Z260" t="s">
        <v>63</v>
      </c>
      <c r="AA260" t="s">
        <v>64</v>
      </c>
      <c r="AB260" t="s">
        <v>43</v>
      </c>
      <c r="AC260" t="s">
        <v>66</v>
      </c>
    </row>
    <row r="261" spans="1:29" x14ac:dyDescent="0.3">
      <c r="A261">
        <v>244</v>
      </c>
      <c r="B261" t="s">
        <v>182</v>
      </c>
      <c r="C261" t="s">
        <v>177</v>
      </c>
      <c r="D261" t="s">
        <v>66</v>
      </c>
      <c r="E261" t="s">
        <v>171</v>
      </c>
      <c r="F261" s="3">
        <v>45838</v>
      </c>
      <c r="G261">
        <v>2025</v>
      </c>
      <c r="H261" t="s">
        <v>33</v>
      </c>
      <c r="I261" t="s">
        <v>404</v>
      </c>
      <c r="K261">
        <v>25</v>
      </c>
      <c r="L261">
        <v>25</v>
      </c>
      <c r="M261">
        <v>1</v>
      </c>
      <c r="N261">
        <v>1</v>
      </c>
      <c r="O261" t="s">
        <v>35</v>
      </c>
      <c r="P261" t="s">
        <v>35</v>
      </c>
      <c r="Q261" t="s">
        <v>462</v>
      </c>
      <c r="R261">
        <v>0</v>
      </c>
      <c r="S261">
        <v>0</v>
      </c>
      <c r="T261" t="s">
        <v>443</v>
      </c>
      <c r="U261" t="s">
        <v>37</v>
      </c>
      <c r="V261" t="s">
        <v>177</v>
      </c>
      <c r="W261" t="s">
        <v>145</v>
      </c>
      <c r="X261" t="s">
        <v>179</v>
      </c>
      <c r="Y261" t="s">
        <v>180</v>
      </c>
      <c r="Z261" t="s">
        <v>63</v>
      </c>
      <c r="AA261" t="s">
        <v>64</v>
      </c>
      <c r="AB261" t="s">
        <v>43</v>
      </c>
      <c r="AC261" t="s">
        <v>66</v>
      </c>
    </row>
    <row r="262" spans="1:29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44742</v>
      </c>
      <c r="G262">
        <v>2022</v>
      </c>
      <c r="H262" t="s">
        <v>33</v>
      </c>
      <c r="I262" t="s">
        <v>34</v>
      </c>
      <c r="J262">
        <v>1</v>
      </c>
      <c r="K262">
        <v>88.5</v>
      </c>
      <c r="L262">
        <v>87</v>
      </c>
      <c r="M262">
        <v>0.98305084745762716</v>
      </c>
      <c r="N262">
        <v>0.98305084745762716</v>
      </c>
      <c r="O262" t="s">
        <v>58</v>
      </c>
      <c r="P262" t="s">
        <v>58</v>
      </c>
      <c r="Q262" t="s">
        <v>187</v>
      </c>
      <c r="R262">
        <v>0</v>
      </c>
      <c r="S262">
        <v>0</v>
      </c>
      <c r="T262" t="s">
        <v>31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44926</v>
      </c>
      <c r="G263">
        <v>2022</v>
      </c>
      <c r="H263" t="s">
        <v>44</v>
      </c>
      <c r="I263" t="s">
        <v>45</v>
      </c>
      <c r="J263">
        <v>2</v>
      </c>
      <c r="K263">
        <v>88.5</v>
      </c>
      <c r="L263">
        <v>85.9</v>
      </c>
      <c r="M263">
        <v>0.97062146892655377</v>
      </c>
      <c r="N263">
        <v>0.97062146892655377</v>
      </c>
      <c r="O263" t="s">
        <v>58</v>
      </c>
      <c r="P263" t="s">
        <v>58</v>
      </c>
      <c r="Q263" t="s">
        <v>188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44926</v>
      </c>
      <c r="G264">
        <v>2022</v>
      </c>
      <c r="H264" t="s">
        <v>44</v>
      </c>
      <c r="I264" t="s">
        <v>45</v>
      </c>
      <c r="K264">
        <v>88.5</v>
      </c>
      <c r="L264">
        <v>85.9</v>
      </c>
      <c r="M264">
        <v>0.97062146892655377</v>
      </c>
      <c r="N264">
        <v>0.97062146892655377</v>
      </c>
      <c r="O264" t="s">
        <v>58</v>
      </c>
      <c r="P264" t="s">
        <v>58</v>
      </c>
      <c r="Q264" t="s">
        <v>188</v>
      </c>
      <c r="R264">
        <v>1</v>
      </c>
      <c r="S264">
        <v>0</v>
      </c>
      <c r="T264" t="s">
        <v>443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45107</v>
      </c>
      <c r="G265">
        <v>2023</v>
      </c>
      <c r="H265" t="s">
        <v>33</v>
      </c>
      <c r="I265" t="s">
        <v>47</v>
      </c>
      <c r="J265">
        <v>1</v>
      </c>
      <c r="K265">
        <v>87</v>
      </c>
      <c r="L265">
        <v>85.12</v>
      </c>
      <c r="M265">
        <v>0.97839080459770122</v>
      </c>
      <c r="N265">
        <v>0.97839080459770122</v>
      </c>
      <c r="O265" t="s">
        <v>58</v>
      </c>
      <c r="P265" t="s">
        <v>58</v>
      </c>
      <c r="Q265" t="s">
        <v>189</v>
      </c>
      <c r="R265">
        <v>0</v>
      </c>
      <c r="S265">
        <v>0</v>
      </c>
      <c r="T265" t="s">
        <v>31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45291</v>
      </c>
      <c r="G266">
        <v>2023</v>
      </c>
      <c r="H266" t="s">
        <v>44</v>
      </c>
      <c r="I266" t="s">
        <v>49</v>
      </c>
      <c r="J266">
        <v>2</v>
      </c>
      <c r="K266">
        <v>87</v>
      </c>
      <c r="L266">
        <v>85.38</v>
      </c>
      <c r="M266">
        <v>0.9813793103448275</v>
      </c>
      <c r="N266">
        <v>0.9813793103448275</v>
      </c>
      <c r="O266" t="s">
        <v>58</v>
      </c>
      <c r="P266" t="s">
        <v>58</v>
      </c>
      <c r="Q266" t="s">
        <v>190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45291</v>
      </c>
      <c r="G267">
        <v>2023</v>
      </c>
      <c r="H267" t="s">
        <v>44</v>
      </c>
      <c r="I267" t="s">
        <v>49</v>
      </c>
      <c r="K267">
        <v>87</v>
      </c>
      <c r="L267">
        <v>85.38</v>
      </c>
      <c r="M267">
        <v>0.9813793103448275</v>
      </c>
      <c r="N267">
        <v>0.9813793103448275</v>
      </c>
      <c r="O267" t="s">
        <v>58</v>
      </c>
      <c r="P267" t="s">
        <v>58</v>
      </c>
      <c r="Q267" t="s">
        <v>190</v>
      </c>
      <c r="R267">
        <v>0</v>
      </c>
      <c r="S267">
        <v>1</v>
      </c>
      <c r="T267" t="s">
        <v>443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45473</v>
      </c>
      <c r="G268">
        <v>2024</v>
      </c>
      <c r="H268" t="s">
        <v>33</v>
      </c>
      <c r="I268" t="s">
        <v>51</v>
      </c>
      <c r="J268">
        <v>1</v>
      </c>
      <c r="K268">
        <v>85</v>
      </c>
      <c r="L268">
        <v>85.13</v>
      </c>
      <c r="M268">
        <v>1.001529411764706</v>
      </c>
      <c r="N268">
        <v>1.001529411764706</v>
      </c>
      <c r="O268" t="s">
        <v>58</v>
      </c>
      <c r="P268" t="s">
        <v>58</v>
      </c>
      <c r="Q268" t="s">
        <v>191</v>
      </c>
      <c r="R268">
        <v>0</v>
      </c>
      <c r="S268">
        <v>0</v>
      </c>
      <c r="T268" t="s">
        <v>31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45657</v>
      </c>
      <c r="G269">
        <v>2024</v>
      </c>
      <c r="H269" t="s">
        <v>44</v>
      </c>
      <c r="I269" t="s">
        <v>53</v>
      </c>
      <c r="J269">
        <v>2</v>
      </c>
      <c r="K269">
        <v>85</v>
      </c>
      <c r="L269">
        <v>85.19</v>
      </c>
      <c r="M269">
        <v>1.0022352941176469</v>
      </c>
      <c r="N269">
        <v>1.0022352941176469</v>
      </c>
      <c r="Q269" t="s">
        <v>192</v>
      </c>
      <c r="R269">
        <v>0</v>
      </c>
      <c r="S269">
        <v>0</v>
      </c>
      <c r="T269" t="s">
        <v>31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x14ac:dyDescent="0.3">
      <c r="A270">
        <v>245</v>
      </c>
      <c r="B270" t="s">
        <v>185</v>
      </c>
      <c r="C270" t="s">
        <v>186</v>
      </c>
      <c r="D270" t="s">
        <v>31</v>
      </c>
      <c r="E270" t="s">
        <v>32</v>
      </c>
      <c r="F270" s="3">
        <v>45657</v>
      </c>
      <c r="G270">
        <v>2024</v>
      </c>
      <c r="H270" t="s">
        <v>44</v>
      </c>
      <c r="I270" t="s">
        <v>53</v>
      </c>
      <c r="K270">
        <v>85</v>
      </c>
      <c r="L270">
        <v>85.19</v>
      </c>
      <c r="M270">
        <v>1.0022352941176469</v>
      </c>
      <c r="N270">
        <v>1.0022352941176469</v>
      </c>
      <c r="O270" t="s">
        <v>58</v>
      </c>
      <c r="P270" t="s">
        <v>58</v>
      </c>
      <c r="Q270" t="s">
        <v>192</v>
      </c>
      <c r="R270">
        <v>0</v>
      </c>
      <c r="S270">
        <v>1</v>
      </c>
      <c r="T270" t="s">
        <v>443</v>
      </c>
      <c r="U270" t="s">
        <v>37</v>
      </c>
      <c r="V270" t="s">
        <v>186</v>
      </c>
      <c r="W270" t="s">
        <v>112</v>
      </c>
      <c r="X270" t="s">
        <v>113</v>
      </c>
      <c r="Y270" t="s">
        <v>123</v>
      </c>
      <c r="Z270" t="s">
        <v>41</v>
      </c>
      <c r="AA270" t="s">
        <v>42</v>
      </c>
      <c r="AB270" t="s">
        <v>65</v>
      </c>
      <c r="AC270" t="s">
        <v>31</v>
      </c>
    </row>
    <row r="271" spans="1:29" x14ac:dyDescent="0.3">
      <c r="A271">
        <v>245</v>
      </c>
      <c r="B271" t="s">
        <v>185</v>
      </c>
      <c r="C271" t="s">
        <v>186</v>
      </c>
      <c r="D271" t="s">
        <v>31</v>
      </c>
      <c r="E271" t="s">
        <v>32</v>
      </c>
      <c r="F271" s="3">
        <v>45838</v>
      </c>
      <c r="G271">
        <v>2025</v>
      </c>
      <c r="H271" t="s">
        <v>33</v>
      </c>
      <c r="I271" t="s">
        <v>404</v>
      </c>
      <c r="J271">
        <v>1</v>
      </c>
      <c r="K271">
        <v>85.7</v>
      </c>
      <c r="L271">
        <v>86.5</v>
      </c>
      <c r="M271">
        <v>1.009334889148191</v>
      </c>
      <c r="N271">
        <v>1.009334889148191</v>
      </c>
      <c r="O271" t="s">
        <v>58</v>
      </c>
      <c r="P271" t="s">
        <v>58</v>
      </c>
      <c r="Q271" t="s">
        <v>421</v>
      </c>
      <c r="R271">
        <v>1</v>
      </c>
      <c r="S271">
        <v>1</v>
      </c>
      <c r="T271" t="s">
        <v>31</v>
      </c>
      <c r="U271" t="s">
        <v>37</v>
      </c>
      <c r="V271" t="s">
        <v>186</v>
      </c>
      <c r="W271" t="s">
        <v>112</v>
      </c>
      <c r="X271" t="s">
        <v>113</v>
      </c>
      <c r="Y271" t="s">
        <v>123</v>
      </c>
      <c r="Z271" t="s">
        <v>41</v>
      </c>
      <c r="AA271" t="s">
        <v>42</v>
      </c>
      <c r="AB271" t="s">
        <v>65</v>
      </c>
      <c r="AC271" t="s">
        <v>31</v>
      </c>
    </row>
    <row r="272" spans="1:29" x14ac:dyDescent="0.3">
      <c r="A272">
        <v>245</v>
      </c>
      <c r="B272" t="s">
        <v>185</v>
      </c>
      <c r="C272" t="s">
        <v>186</v>
      </c>
      <c r="D272" t="s">
        <v>31</v>
      </c>
      <c r="E272" t="s">
        <v>32</v>
      </c>
      <c r="F272" s="3">
        <v>45838</v>
      </c>
      <c r="G272">
        <v>2025</v>
      </c>
      <c r="H272" t="s">
        <v>33</v>
      </c>
      <c r="I272" t="s">
        <v>404</v>
      </c>
      <c r="K272">
        <v>85.7</v>
      </c>
      <c r="L272">
        <v>86.5</v>
      </c>
      <c r="M272">
        <v>1.009334889148191</v>
      </c>
      <c r="N272">
        <v>1.009334889148191</v>
      </c>
      <c r="O272" t="s">
        <v>58</v>
      </c>
      <c r="P272" t="s">
        <v>58</v>
      </c>
      <c r="Q272" t="s">
        <v>421</v>
      </c>
      <c r="R272">
        <v>1</v>
      </c>
      <c r="S272">
        <v>1</v>
      </c>
      <c r="T272" t="s">
        <v>443</v>
      </c>
      <c r="U272" t="s">
        <v>37</v>
      </c>
      <c r="V272" t="s">
        <v>186</v>
      </c>
      <c r="W272" t="s">
        <v>112</v>
      </c>
      <c r="X272" t="s">
        <v>113</v>
      </c>
      <c r="Y272" t="s">
        <v>123</v>
      </c>
      <c r="Z272" t="s">
        <v>41</v>
      </c>
      <c r="AA272" t="s">
        <v>42</v>
      </c>
      <c r="AB272" t="s">
        <v>65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43281</v>
      </c>
      <c r="G273">
        <f t="shared" ref="G273:G284" si="24">YEAR(F273)</f>
        <v>2018</v>
      </c>
      <c r="H273" t="str">
        <f t="shared" ref="H273:H284" si="25">PROPER(TEXT(F273,"mmmm"))</f>
        <v>Junio</v>
      </c>
      <c r="I273" t="str">
        <f t="shared" ref="I273:I284" si="26">IF(H273="Junio",G273&amp;"-1",G273&amp;"-2")</f>
        <v>2018-1</v>
      </c>
      <c r="J273">
        <v>1</v>
      </c>
      <c r="L273" s="4">
        <v>37269</v>
      </c>
      <c r="O273" t="s">
        <v>35</v>
      </c>
      <c r="P273" t="s">
        <v>35</v>
      </c>
      <c r="Q273" t="str">
        <f t="shared" ref="Q273:Q284" si="27">A273&amp;"-"&amp;TEXT(F273,"yyyy-mm-dd")</f>
        <v>274-2018-06-30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43465</v>
      </c>
      <c r="G274">
        <f t="shared" si="24"/>
        <v>2018</v>
      </c>
      <c r="H274" t="str">
        <f t="shared" si="25"/>
        <v>Diciembre</v>
      </c>
      <c r="I274" t="str">
        <f t="shared" si="26"/>
        <v>2018-2</v>
      </c>
      <c r="J274">
        <v>2</v>
      </c>
      <c r="L274" s="4">
        <v>39789</v>
      </c>
      <c r="O274" t="s">
        <v>35</v>
      </c>
      <c r="P274" t="s">
        <v>35</v>
      </c>
      <c r="Q274" t="str">
        <f t="shared" si="27"/>
        <v>274-2018-12-31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43465</v>
      </c>
      <c r="G275">
        <f t="shared" si="24"/>
        <v>2018</v>
      </c>
      <c r="H275" t="str">
        <f t="shared" si="25"/>
        <v>Diciembre</v>
      </c>
      <c r="I275" t="str">
        <f t="shared" si="26"/>
        <v>2018-2</v>
      </c>
      <c r="L275" s="4">
        <v>39789</v>
      </c>
      <c r="O275" t="s">
        <v>35</v>
      </c>
      <c r="P275" t="s">
        <v>35</v>
      </c>
      <c r="Q275" t="str">
        <f t="shared" si="27"/>
        <v>274-2018-12-31</v>
      </c>
      <c r="R275">
        <v>0</v>
      </c>
      <c r="S275">
        <v>0</v>
      </c>
      <c r="T275" t="s">
        <v>443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43646</v>
      </c>
      <c r="G276">
        <f t="shared" si="24"/>
        <v>2019</v>
      </c>
      <c r="H276" t="str">
        <f t="shared" si="25"/>
        <v>Junio</v>
      </c>
      <c r="I276" t="str">
        <f t="shared" si="26"/>
        <v>2019-1</v>
      </c>
      <c r="J276">
        <v>1</v>
      </c>
      <c r="L276" s="4">
        <v>41502</v>
      </c>
      <c r="O276" t="s">
        <v>35</v>
      </c>
      <c r="P276" t="s">
        <v>35</v>
      </c>
      <c r="Q276" t="str">
        <f t="shared" si="27"/>
        <v>274-2019-06-30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43830</v>
      </c>
      <c r="G277">
        <f t="shared" si="24"/>
        <v>2019</v>
      </c>
      <c r="H277" t="str">
        <f t="shared" si="25"/>
        <v>Diciembre</v>
      </c>
      <c r="I277" t="str">
        <f t="shared" si="26"/>
        <v>2019-2</v>
      </c>
      <c r="J277">
        <v>2</v>
      </c>
      <c r="L277" s="4">
        <v>43581</v>
      </c>
      <c r="O277" t="s">
        <v>35</v>
      </c>
      <c r="P277" t="s">
        <v>35</v>
      </c>
      <c r="Q277" t="str">
        <f t="shared" si="27"/>
        <v>274-2019-12-31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43830</v>
      </c>
      <c r="G278">
        <f t="shared" si="24"/>
        <v>2019</v>
      </c>
      <c r="H278" t="str">
        <f t="shared" si="25"/>
        <v>Diciembre</v>
      </c>
      <c r="I278" t="str">
        <f t="shared" si="26"/>
        <v>2019-2</v>
      </c>
      <c r="L278" s="4">
        <v>43581</v>
      </c>
      <c r="O278" t="s">
        <v>35</v>
      </c>
      <c r="P278" t="s">
        <v>35</v>
      </c>
      <c r="Q278" t="str">
        <f t="shared" si="27"/>
        <v>274-2019-12-31</v>
      </c>
      <c r="R278">
        <v>0</v>
      </c>
      <c r="S278">
        <v>0</v>
      </c>
      <c r="T278" t="s">
        <v>443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44012</v>
      </c>
      <c r="G279">
        <f t="shared" si="24"/>
        <v>2020</v>
      </c>
      <c r="H279" t="str">
        <f t="shared" si="25"/>
        <v>Junio</v>
      </c>
      <c r="I279" t="str">
        <f t="shared" si="26"/>
        <v>2020-1</v>
      </c>
      <c r="J279">
        <v>1</v>
      </c>
      <c r="L279" s="4">
        <v>43711</v>
      </c>
      <c r="O279" t="s">
        <v>35</v>
      </c>
      <c r="P279" t="s">
        <v>35</v>
      </c>
      <c r="Q279" t="str">
        <f t="shared" si="27"/>
        <v>274-2020-06-30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44196</v>
      </c>
      <c r="G280">
        <f t="shared" si="24"/>
        <v>2020</v>
      </c>
      <c r="H280" t="str">
        <f t="shared" si="25"/>
        <v>Diciembre</v>
      </c>
      <c r="I280" t="str">
        <f t="shared" si="26"/>
        <v>2020-2</v>
      </c>
      <c r="J280">
        <v>2</v>
      </c>
      <c r="L280" s="4">
        <v>41013</v>
      </c>
      <c r="O280" t="s">
        <v>35</v>
      </c>
      <c r="P280" t="s">
        <v>35</v>
      </c>
      <c r="Q280" t="str">
        <f t="shared" si="27"/>
        <v>274-2020-12-31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44196</v>
      </c>
      <c r="G281">
        <f t="shared" si="24"/>
        <v>2020</v>
      </c>
      <c r="H281" t="str">
        <f t="shared" si="25"/>
        <v>Diciembre</v>
      </c>
      <c r="I281" t="str">
        <f t="shared" si="26"/>
        <v>2020-2</v>
      </c>
      <c r="L281" s="4">
        <v>41013</v>
      </c>
      <c r="O281" t="s">
        <v>35</v>
      </c>
      <c r="P281" t="s">
        <v>35</v>
      </c>
      <c r="Q281" t="str">
        <f t="shared" si="27"/>
        <v>274-2020-12-31</v>
      </c>
      <c r="R281">
        <v>0</v>
      </c>
      <c r="S281">
        <v>0</v>
      </c>
      <c r="T281" t="s">
        <v>443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44377</v>
      </c>
      <c r="G282">
        <f t="shared" si="24"/>
        <v>2021</v>
      </c>
      <c r="H282" t="str">
        <f t="shared" si="25"/>
        <v>Junio</v>
      </c>
      <c r="I282" t="str">
        <f t="shared" si="26"/>
        <v>2021-1</v>
      </c>
      <c r="J282">
        <v>1</v>
      </c>
      <c r="L282" s="4">
        <v>41394</v>
      </c>
      <c r="O282" t="s">
        <v>35</v>
      </c>
      <c r="P282" t="s">
        <v>35</v>
      </c>
      <c r="Q282" t="str">
        <f t="shared" si="27"/>
        <v>274-2021-06-30</v>
      </c>
      <c r="R282">
        <v>0</v>
      </c>
      <c r="S282">
        <v>0</v>
      </c>
      <c r="T282" t="s">
        <v>31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44561</v>
      </c>
      <c r="G283">
        <f t="shared" si="24"/>
        <v>2021</v>
      </c>
      <c r="H283" t="str">
        <f t="shared" si="25"/>
        <v>Diciembre</v>
      </c>
      <c r="I283" t="str">
        <f t="shared" si="26"/>
        <v>2021-2</v>
      </c>
      <c r="J283">
        <v>2</v>
      </c>
      <c r="L283" s="4">
        <v>40937</v>
      </c>
      <c r="O283" t="s">
        <v>35</v>
      </c>
      <c r="P283" t="s">
        <v>35</v>
      </c>
      <c r="Q283" t="str">
        <f t="shared" si="27"/>
        <v>274-2021-12-31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44561</v>
      </c>
      <c r="G284">
        <f t="shared" si="24"/>
        <v>2021</v>
      </c>
      <c r="H284" t="str">
        <f t="shared" si="25"/>
        <v>Diciembre</v>
      </c>
      <c r="I284" t="str">
        <f t="shared" si="26"/>
        <v>2021-2</v>
      </c>
      <c r="L284" s="4">
        <v>40937</v>
      </c>
      <c r="O284" t="s">
        <v>35</v>
      </c>
      <c r="P284" t="s">
        <v>35</v>
      </c>
      <c r="Q284" t="str">
        <f t="shared" si="27"/>
        <v>274-2021-12-31</v>
      </c>
      <c r="R284">
        <v>0</v>
      </c>
      <c r="S284">
        <v>0</v>
      </c>
      <c r="T284" t="s">
        <v>443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44742</v>
      </c>
      <c r="G285">
        <v>2022</v>
      </c>
      <c r="H285" t="s">
        <v>33</v>
      </c>
      <c r="I285" t="s">
        <v>34</v>
      </c>
      <c r="J285">
        <v>1</v>
      </c>
      <c r="K285">
        <v>39623</v>
      </c>
      <c r="L285">
        <v>40000</v>
      </c>
      <c r="M285">
        <v>1.0095146758196001</v>
      </c>
      <c r="N285">
        <v>1.0095146758196001</v>
      </c>
      <c r="O285" t="s">
        <v>35</v>
      </c>
      <c r="P285" t="s">
        <v>35</v>
      </c>
      <c r="Q285" t="s">
        <v>195</v>
      </c>
      <c r="R285">
        <v>0</v>
      </c>
      <c r="S285">
        <v>0</v>
      </c>
      <c r="T285" t="s">
        <v>31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44926</v>
      </c>
      <c r="G286">
        <v>2022</v>
      </c>
      <c r="H286" t="s">
        <v>44</v>
      </c>
      <c r="I286" t="s">
        <v>45</v>
      </c>
      <c r="J286">
        <v>2</v>
      </c>
      <c r="K286">
        <v>39817</v>
      </c>
      <c r="L286">
        <v>40663</v>
      </c>
      <c r="M286">
        <v>1.0212472059672999</v>
      </c>
      <c r="N286">
        <v>1.0212472059672999</v>
      </c>
      <c r="O286" t="s">
        <v>35</v>
      </c>
      <c r="P286" t="s">
        <v>35</v>
      </c>
      <c r="Q286" t="s">
        <v>196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44926</v>
      </c>
      <c r="G287">
        <v>2022</v>
      </c>
      <c r="H287" t="s">
        <v>44</v>
      </c>
      <c r="I287" t="s">
        <v>45</v>
      </c>
      <c r="K287">
        <v>39817</v>
      </c>
      <c r="L287">
        <v>40663</v>
      </c>
      <c r="M287">
        <v>1.0212472059672999</v>
      </c>
      <c r="N287">
        <v>1.0212472059672999</v>
      </c>
      <c r="O287" t="s">
        <v>35</v>
      </c>
      <c r="P287" t="s">
        <v>35</v>
      </c>
      <c r="Q287" t="s">
        <v>196</v>
      </c>
      <c r="R287">
        <v>0</v>
      </c>
      <c r="S287">
        <v>0</v>
      </c>
      <c r="T287" t="s">
        <v>443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45107</v>
      </c>
      <c r="G288">
        <v>2023</v>
      </c>
      <c r="H288" t="s">
        <v>33</v>
      </c>
      <c r="I288" t="s">
        <v>47</v>
      </c>
      <c r="J288">
        <v>1</v>
      </c>
      <c r="K288">
        <v>40047</v>
      </c>
      <c r="L288">
        <v>39091</v>
      </c>
      <c r="M288">
        <v>0.97612804954178845</v>
      </c>
      <c r="N288">
        <v>0.97612804954178845</v>
      </c>
      <c r="O288" t="s">
        <v>35</v>
      </c>
      <c r="P288" t="s">
        <v>35</v>
      </c>
      <c r="Q288" t="s">
        <v>197</v>
      </c>
      <c r="R288">
        <v>0</v>
      </c>
      <c r="S288">
        <v>0</v>
      </c>
      <c r="T288" t="s">
        <v>31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45291</v>
      </c>
      <c r="G289">
        <v>2023</v>
      </c>
      <c r="H289" t="s">
        <v>44</v>
      </c>
      <c r="I289" t="s">
        <v>49</v>
      </c>
      <c r="J289">
        <v>2</v>
      </c>
      <c r="K289">
        <v>41811</v>
      </c>
      <c r="L289">
        <v>40771</v>
      </c>
      <c r="M289">
        <v>0.97512616297146681</v>
      </c>
      <c r="N289">
        <v>0.97512616297146681</v>
      </c>
      <c r="O289" t="s">
        <v>35</v>
      </c>
      <c r="P289" t="s">
        <v>35</v>
      </c>
      <c r="Q289" t="s">
        <v>198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45291</v>
      </c>
      <c r="G290">
        <v>2023</v>
      </c>
      <c r="H290" t="s">
        <v>44</v>
      </c>
      <c r="I290" t="s">
        <v>49</v>
      </c>
      <c r="K290">
        <v>41811</v>
      </c>
      <c r="L290">
        <v>40770</v>
      </c>
      <c r="M290">
        <v>0.97512616297146681</v>
      </c>
      <c r="N290">
        <v>0.97512616297146681</v>
      </c>
      <c r="O290" t="s">
        <v>35</v>
      </c>
      <c r="P290" t="s">
        <v>35</v>
      </c>
      <c r="Q290" t="s">
        <v>198</v>
      </c>
      <c r="R290">
        <v>0</v>
      </c>
      <c r="S290">
        <v>0</v>
      </c>
      <c r="T290" t="s">
        <v>443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45473</v>
      </c>
      <c r="G291">
        <v>2024</v>
      </c>
      <c r="H291" t="s">
        <v>33</v>
      </c>
      <c r="I291" t="s">
        <v>51</v>
      </c>
      <c r="J291">
        <v>1</v>
      </c>
      <c r="K291">
        <v>38813</v>
      </c>
      <c r="L291">
        <v>39598</v>
      </c>
      <c r="M291">
        <v>1.020225182284286</v>
      </c>
      <c r="N291">
        <v>1.020225182284286</v>
      </c>
      <c r="O291" t="s">
        <v>35</v>
      </c>
      <c r="P291" t="s">
        <v>35</v>
      </c>
      <c r="Q291" t="s">
        <v>199</v>
      </c>
      <c r="R291">
        <v>0</v>
      </c>
      <c r="S291">
        <v>0</v>
      </c>
      <c r="T291" t="s">
        <v>31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45657</v>
      </c>
      <c r="G292">
        <v>2024</v>
      </c>
      <c r="H292" t="s">
        <v>44</v>
      </c>
      <c r="I292" t="s">
        <v>53</v>
      </c>
      <c r="J292">
        <v>2</v>
      </c>
      <c r="K292">
        <v>40441</v>
      </c>
      <c r="L292">
        <v>41436</v>
      </c>
      <c r="M292">
        <v>1.024603743725427</v>
      </c>
      <c r="N292">
        <v>1.024603743725427</v>
      </c>
      <c r="O292" t="s">
        <v>35</v>
      </c>
      <c r="P292" t="s">
        <v>35</v>
      </c>
      <c r="Q292" t="s">
        <v>200</v>
      </c>
      <c r="R292">
        <v>0</v>
      </c>
      <c r="S292">
        <v>0</v>
      </c>
      <c r="T292" t="s">
        <v>31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45657</v>
      </c>
      <c r="G293">
        <v>2024</v>
      </c>
      <c r="H293" t="s">
        <v>44</v>
      </c>
      <c r="I293" t="s">
        <v>53</v>
      </c>
      <c r="K293">
        <v>40441.334115206948</v>
      </c>
      <c r="L293">
        <v>41436</v>
      </c>
      <c r="M293">
        <v>1.024595278730408</v>
      </c>
      <c r="N293">
        <v>1.024595278730408</v>
      </c>
      <c r="O293" t="s">
        <v>35</v>
      </c>
      <c r="P293" t="s">
        <v>35</v>
      </c>
      <c r="Q293" t="s">
        <v>200</v>
      </c>
      <c r="R293">
        <v>0</v>
      </c>
      <c r="S293">
        <v>0</v>
      </c>
      <c r="T293" t="s">
        <v>443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x14ac:dyDescent="0.3">
      <c r="A294">
        <v>274</v>
      </c>
      <c r="B294" t="s">
        <v>480</v>
      </c>
      <c r="C294" t="s">
        <v>194</v>
      </c>
      <c r="D294" t="s">
        <v>31</v>
      </c>
      <c r="E294" t="s">
        <v>32</v>
      </c>
      <c r="F294" s="3">
        <v>45838</v>
      </c>
      <c r="G294">
        <v>2025</v>
      </c>
      <c r="H294" t="s">
        <v>33</v>
      </c>
      <c r="I294" t="s">
        <v>404</v>
      </c>
      <c r="J294">
        <v>1</v>
      </c>
      <c r="K294">
        <v>40026</v>
      </c>
      <c r="L294">
        <v>42364</v>
      </c>
      <c r="M294">
        <v>1.058412032179084</v>
      </c>
      <c r="N294">
        <v>1.058412032179084</v>
      </c>
      <c r="O294" t="s">
        <v>35</v>
      </c>
      <c r="P294" t="s">
        <v>35</v>
      </c>
      <c r="Q294" t="s">
        <v>413</v>
      </c>
      <c r="R294">
        <v>0</v>
      </c>
      <c r="S294">
        <v>0</v>
      </c>
      <c r="T294" t="s">
        <v>31</v>
      </c>
      <c r="U294" t="s">
        <v>37</v>
      </c>
      <c r="V294" t="s">
        <v>194</v>
      </c>
      <c r="W294" t="s">
        <v>38</v>
      </c>
      <c r="X294" t="s">
        <v>39</v>
      </c>
      <c r="Y294" t="s">
        <v>40</v>
      </c>
      <c r="Z294" t="s">
        <v>41</v>
      </c>
      <c r="AA294" t="s">
        <v>42</v>
      </c>
      <c r="AB294" t="s">
        <v>78</v>
      </c>
      <c r="AC294" t="s">
        <v>31</v>
      </c>
    </row>
    <row r="295" spans="1:29" x14ac:dyDescent="0.3">
      <c r="A295">
        <v>274</v>
      </c>
      <c r="B295" t="s">
        <v>480</v>
      </c>
      <c r="C295" t="s">
        <v>194</v>
      </c>
      <c r="D295" t="s">
        <v>31</v>
      </c>
      <c r="E295" t="s">
        <v>32</v>
      </c>
      <c r="F295" s="3">
        <v>46022</v>
      </c>
      <c r="G295">
        <v>2025</v>
      </c>
      <c r="H295" t="str">
        <f>PROPER(TEXT(F295,"mmmm"))</f>
        <v>Diciembre</v>
      </c>
      <c r="I295" t="s">
        <v>465</v>
      </c>
      <c r="K295">
        <v>40026</v>
      </c>
      <c r="L295" s="4">
        <v>45641</v>
      </c>
      <c r="M295">
        <v>1.058412032179084</v>
      </c>
      <c r="N295">
        <v>1.058412032179084</v>
      </c>
      <c r="O295" t="s">
        <v>35</v>
      </c>
      <c r="P295" t="s">
        <v>35</v>
      </c>
      <c r="Q295" t="s">
        <v>413</v>
      </c>
      <c r="R295">
        <v>0</v>
      </c>
      <c r="S295">
        <v>0</v>
      </c>
      <c r="T295" t="s">
        <v>443</v>
      </c>
      <c r="U295" t="s">
        <v>37</v>
      </c>
      <c r="V295" t="s">
        <v>194</v>
      </c>
      <c r="W295" t="s">
        <v>38</v>
      </c>
      <c r="X295" t="s">
        <v>39</v>
      </c>
      <c r="Y295" t="s">
        <v>40</v>
      </c>
      <c r="Z295" t="s">
        <v>41</v>
      </c>
      <c r="AA295" t="s">
        <v>42</v>
      </c>
      <c r="AB295" t="s">
        <v>78</v>
      </c>
      <c r="AC295" t="s">
        <v>31</v>
      </c>
    </row>
    <row r="296" spans="1:29" x14ac:dyDescent="0.3">
      <c r="A296">
        <v>274</v>
      </c>
      <c r="B296" t="s">
        <v>480</v>
      </c>
      <c r="C296" t="s">
        <v>194</v>
      </c>
      <c r="D296" t="s">
        <v>31</v>
      </c>
      <c r="E296" t="s">
        <v>32</v>
      </c>
      <c r="F296" s="3">
        <v>46022</v>
      </c>
      <c r="G296">
        <f>YEAR(F296)</f>
        <v>2025</v>
      </c>
      <c r="H296" t="str">
        <f>PROPER(TEXT(F296,"mmmm"))</f>
        <v>Diciembre</v>
      </c>
      <c r="I296" t="str">
        <f>IF(H296="Junio",G296&amp;"-1",G296&amp;"-2")</f>
        <v>2025-2</v>
      </c>
      <c r="J296">
        <v>2</v>
      </c>
      <c r="L296" s="4">
        <v>45641</v>
      </c>
      <c r="O296" t="s">
        <v>35</v>
      </c>
      <c r="P296" t="s">
        <v>35</v>
      </c>
      <c r="Q296" t="str">
        <f>A296&amp;"-"&amp;TEXT(F296,"yyyy-mm-dd")</f>
        <v>274-2025-12-31</v>
      </c>
      <c r="R296">
        <v>0</v>
      </c>
      <c r="S296">
        <v>0</v>
      </c>
      <c r="T296" t="s">
        <v>31</v>
      </c>
      <c r="U296" t="s">
        <v>37</v>
      </c>
      <c r="V296" t="s">
        <v>194</v>
      </c>
      <c r="W296" t="s">
        <v>38</v>
      </c>
      <c r="X296" t="s">
        <v>39</v>
      </c>
      <c r="Y296" t="s">
        <v>40</v>
      </c>
      <c r="Z296" t="s">
        <v>41</v>
      </c>
      <c r="AA296" t="s">
        <v>42</v>
      </c>
      <c r="AB296" t="s">
        <v>78</v>
      </c>
      <c r="AC296" t="s">
        <v>31</v>
      </c>
    </row>
    <row r="297" spans="1:29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44742</v>
      </c>
      <c r="G297">
        <v>2022</v>
      </c>
      <c r="H297" t="s">
        <v>33</v>
      </c>
      <c r="I297" t="s">
        <v>34</v>
      </c>
      <c r="J297">
        <v>1</v>
      </c>
      <c r="K297">
        <v>93</v>
      </c>
      <c r="L297">
        <v>106</v>
      </c>
      <c r="M297">
        <v>0.87735849056603776</v>
      </c>
      <c r="N297">
        <v>0.87735849056603776</v>
      </c>
      <c r="Q297" t="s">
        <v>203</v>
      </c>
      <c r="R297">
        <v>0</v>
      </c>
      <c r="S297">
        <v>0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44926</v>
      </c>
      <c r="G298">
        <v>2022</v>
      </c>
      <c r="H298" t="s">
        <v>44</v>
      </c>
      <c r="I298" t="s">
        <v>45</v>
      </c>
      <c r="J298">
        <v>2</v>
      </c>
      <c r="K298">
        <v>88</v>
      </c>
      <c r="L298">
        <v>88</v>
      </c>
      <c r="M298">
        <v>1</v>
      </c>
      <c r="N298">
        <v>1</v>
      </c>
      <c r="Q298" t="s">
        <v>205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44926</v>
      </c>
      <c r="G299">
        <v>2022</v>
      </c>
      <c r="H299" t="s">
        <v>44</v>
      </c>
      <c r="I299" t="s">
        <v>45</v>
      </c>
      <c r="K299">
        <v>88</v>
      </c>
      <c r="L299">
        <v>88</v>
      </c>
      <c r="M299">
        <v>1</v>
      </c>
      <c r="N299">
        <v>1</v>
      </c>
      <c r="O299" t="s">
        <v>35</v>
      </c>
      <c r="P299" t="s">
        <v>35</v>
      </c>
      <c r="Q299" t="s">
        <v>205</v>
      </c>
      <c r="R299">
        <v>0</v>
      </c>
      <c r="S299">
        <v>0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45107</v>
      </c>
      <c r="G300">
        <v>2023</v>
      </c>
      <c r="H300" t="s">
        <v>33</v>
      </c>
      <c r="I300" t="s">
        <v>47</v>
      </c>
      <c r="J300">
        <v>1</v>
      </c>
      <c r="K300">
        <v>85</v>
      </c>
      <c r="L300">
        <v>89.99</v>
      </c>
      <c r="M300">
        <v>0.94454939437715302</v>
      </c>
      <c r="N300">
        <v>0.94454939437715302</v>
      </c>
      <c r="Q300" t="s">
        <v>206</v>
      </c>
      <c r="R300">
        <v>0</v>
      </c>
      <c r="S300">
        <v>0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45291</v>
      </c>
      <c r="G301">
        <v>2023</v>
      </c>
      <c r="H301" t="s">
        <v>44</v>
      </c>
      <c r="I301" t="s">
        <v>49</v>
      </c>
      <c r="J301">
        <v>2</v>
      </c>
      <c r="K301">
        <v>85</v>
      </c>
      <c r="L301">
        <v>84.5</v>
      </c>
      <c r="M301">
        <v>1.0059171597633141</v>
      </c>
      <c r="N301">
        <v>1.0059171597633141</v>
      </c>
      <c r="Q301" t="s">
        <v>207</v>
      </c>
      <c r="R301">
        <v>0</v>
      </c>
      <c r="S301">
        <v>0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45291</v>
      </c>
      <c r="G302">
        <v>2023</v>
      </c>
      <c r="H302" t="s">
        <v>44</v>
      </c>
      <c r="I302" t="s">
        <v>49</v>
      </c>
      <c r="K302">
        <v>85</v>
      </c>
      <c r="L302">
        <v>84.5</v>
      </c>
      <c r="M302">
        <v>1</v>
      </c>
      <c r="N302">
        <v>1.0059171597633141</v>
      </c>
      <c r="O302" t="s">
        <v>35</v>
      </c>
      <c r="P302" t="s">
        <v>245</v>
      </c>
      <c r="Q302" t="s">
        <v>207</v>
      </c>
      <c r="R302">
        <v>0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45473</v>
      </c>
      <c r="G303">
        <v>2024</v>
      </c>
      <c r="H303" t="s">
        <v>33</v>
      </c>
      <c r="I303" t="s">
        <v>51</v>
      </c>
      <c r="J303">
        <v>1</v>
      </c>
      <c r="K303">
        <v>75</v>
      </c>
      <c r="L303">
        <v>83.65</v>
      </c>
      <c r="M303">
        <v>0.89659294680215174</v>
      </c>
      <c r="N303">
        <v>0.89659294680215174</v>
      </c>
      <c r="Q303" t="s">
        <v>208</v>
      </c>
      <c r="R303">
        <v>1</v>
      </c>
      <c r="S303">
        <v>1</v>
      </c>
      <c r="T303" t="s">
        <v>31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45657</v>
      </c>
      <c r="G304">
        <v>2024</v>
      </c>
      <c r="H304" t="s">
        <v>44</v>
      </c>
      <c r="I304" t="s">
        <v>53</v>
      </c>
      <c r="J304">
        <v>2</v>
      </c>
      <c r="K304">
        <v>75</v>
      </c>
      <c r="L304">
        <v>82.68</v>
      </c>
      <c r="M304">
        <v>1.1024</v>
      </c>
      <c r="N304">
        <v>1.1024</v>
      </c>
      <c r="Q304" t="s">
        <v>209</v>
      </c>
      <c r="R304">
        <v>0</v>
      </c>
      <c r="S304">
        <v>0</v>
      </c>
      <c r="T304" t="s">
        <v>31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x14ac:dyDescent="0.3">
      <c r="A305">
        <v>276</v>
      </c>
      <c r="B305" t="s">
        <v>201</v>
      </c>
      <c r="C305" t="s">
        <v>202</v>
      </c>
      <c r="D305" t="s">
        <v>31</v>
      </c>
      <c r="E305" t="s">
        <v>171</v>
      </c>
      <c r="F305" s="3">
        <v>45657</v>
      </c>
      <c r="G305">
        <v>2024</v>
      </c>
      <c r="H305" t="s">
        <v>44</v>
      </c>
      <c r="I305" t="s">
        <v>53</v>
      </c>
      <c r="K305">
        <v>75</v>
      </c>
      <c r="L305">
        <v>82.68</v>
      </c>
      <c r="M305">
        <v>0.90711175616835982</v>
      </c>
      <c r="N305">
        <v>0.90711175616835982</v>
      </c>
      <c r="O305" t="s">
        <v>35</v>
      </c>
      <c r="P305" t="s">
        <v>245</v>
      </c>
      <c r="Q305" t="s">
        <v>209</v>
      </c>
      <c r="R305">
        <v>0</v>
      </c>
      <c r="S305">
        <v>1</v>
      </c>
      <c r="T305" t="s">
        <v>443</v>
      </c>
      <c r="U305" t="s">
        <v>37</v>
      </c>
      <c r="V305" t="s">
        <v>202</v>
      </c>
      <c r="W305" t="s">
        <v>73</v>
      </c>
      <c r="X305" t="s">
        <v>74</v>
      </c>
      <c r="Y305" t="s">
        <v>75</v>
      </c>
      <c r="Z305" t="s">
        <v>86</v>
      </c>
      <c r="AA305" t="s">
        <v>204</v>
      </c>
      <c r="AB305" t="s">
        <v>65</v>
      </c>
      <c r="AC305" t="s">
        <v>31</v>
      </c>
    </row>
    <row r="306" spans="1:29" x14ac:dyDescent="0.3">
      <c r="A306">
        <v>276</v>
      </c>
      <c r="B306" t="s">
        <v>201</v>
      </c>
      <c r="C306" t="s">
        <v>202</v>
      </c>
      <c r="D306" t="s">
        <v>31</v>
      </c>
      <c r="E306" t="s">
        <v>171</v>
      </c>
      <c r="F306" s="3">
        <v>45838</v>
      </c>
      <c r="G306">
        <v>2025</v>
      </c>
      <c r="H306" t="s">
        <v>33</v>
      </c>
      <c r="I306" t="s">
        <v>404</v>
      </c>
      <c r="J306">
        <v>1</v>
      </c>
      <c r="K306">
        <v>81</v>
      </c>
      <c r="L306">
        <v>84.18</v>
      </c>
      <c r="M306">
        <v>1.0392592592592591</v>
      </c>
      <c r="N306">
        <v>1.0392592592592591</v>
      </c>
      <c r="O306" t="s">
        <v>35</v>
      </c>
      <c r="P306" t="s">
        <v>245</v>
      </c>
      <c r="Q306" t="s">
        <v>410</v>
      </c>
      <c r="R306">
        <v>0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Y306" t="s">
        <v>75</v>
      </c>
      <c r="Z306" t="s">
        <v>86</v>
      </c>
      <c r="AA306" t="s">
        <v>204</v>
      </c>
      <c r="AB306" t="s">
        <v>65</v>
      </c>
      <c r="AC306" t="s">
        <v>31</v>
      </c>
    </row>
    <row r="307" spans="1:29" x14ac:dyDescent="0.3">
      <c r="A307">
        <v>276</v>
      </c>
      <c r="B307" t="s">
        <v>201</v>
      </c>
      <c r="C307" t="s">
        <v>202</v>
      </c>
      <c r="D307" t="s">
        <v>31</v>
      </c>
      <c r="E307" t="s">
        <v>171</v>
      </c>
      <c r="F307" s="3">
        <v>45838</v>
      </c>
      <c r="G307">
        <v>2025</v>
      </c>
      <c r="H307" t="s">
        <v>33</v>
      </c>
      <c r="I307" t="s">
        <v>404</v>
      </c>
      <c r="K307">
        <v>81</v>
      </c>
      <c r="L307">
        <v>84.18</v>
      </c>
      <c r="M307">
        <v>0.96222380612972191</v>
      </c>
      <c r="N307">
        <v>0.96222380612972191</v>
      </c>
      <c r="O307" t="s">
        <v>35</v>
      </c>
      <c r="P307" t="s">
        <v>245</v>
      </c>
      <c r="Q307" t="s">
        <v>410</v>
      </c>
      <c r="R307">
        <v>0</v>
      </c>
      <c r="S307">
        <v>1</v>
      </c>
      <c r="T307" t="s">
        <v>443</v>
      </c>
      <c r="U307" t="s">
        <v>37</v>
      </c>
      <c r="V307" t="s">
        <v>202</v>
      </c>
      <c r="W307" t="s">
        <v>73</v>
      </c>
      <c r="X307" t="s">
        <v>74</v>
      </c>
      <c r="Y307" t="s">
        <v>75</v>
      </c>
      <c r="Z307" t="s">
        <v>86</v>
      </c>
      <c r="AA307" t="s">
        <v>204</v>
      </c>
      <c r="AB307" t="s">
        <v>65</v>
      </c>
      <c r="AC307" t="s">
        <v>31</v>
      </c>
    </row>
    <row r="308" spans="1:29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45107</v>
      </c>
      <c r="G308">
        <v>2023</v>
      </c>
      <c r="H308" t="s">
        <v>33</v>
      </c>
      <c r="I308" t="s">
        <v>47</v>
      </c>
      <c r="J308">
        <v>1</v>
      </c>
      <c r="K308">
        <v>85</v>
      </c>
      <c r="L308">
        <v>76.48</v>
      </c>
      <c r="M308">
        <v>1.1114016736401671</v>
      </c>
      <c r="N308">
        <v>1.1114016736401671</v>
      </c>
      <c r="Q308" t="s">
        <v>211</v>
      </c>
      <c r="R308">
        <v>1</v>
      </c>
      <c r="S308">
        <v>1</v>
      </c>
      <c r="T308" t="s">
        <v>31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45291</v>
      </c>
      <c r="G309">
        <v>2023</v>
      </c>
      <c r="H309" t="s">
        <v>44</v>
      </c>
      <c r="I309" t="s">
        <v>49</v>
      </c>
      <c r="J309">
        <v>2</v>
      </c>
      <c r="K309">
        <v>85</v>
      </c>
      <c r="L309">
        <v>73.290000000000006</v>
      </c>
      <c r="M309">
        <v>1.1597762314094691</v>
      </c>
      <c r="N309">
        <v>1.1597762314094691</v>
      </c>
      <c r="Q309" t="s">
        <v>212</v>
      </c>
      <c r="R309">
        <v>1</v>
      </c>
      <c r="S309">
        <v>1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45291</v>
      </c>
      <c r="G310">
        <v>2023</v>
      </c>
      <c r="H310" t="s">
        <v>44</v>
      </c>
      <c r="I310" t="s">
        <v>49</v>
      </c>
      <c r="K310">
        <v>85</v>
      </c>
      <c r="L310">
        <v>73.290000000000006</v>
      </c>
      <c r="M310">
        <v>1.1597762314094691</v>
      </c>
      <c r="N310">
        <v>1.1597762314094691</v>
      </c>
      <c r="O310" t="s">
        <v>35</v>
      </c>
      <c r="P310" t="s">
        <v>245</v>
      </c>
      <c r="Q310" t="s">
        <v>212</v>
      </c>
      <c r="R310">
        <v>1</v>
      </c>
      <c r="S310">
        <v>1</v>
      </c>
      <c r="T310" t="s">
        <v>443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45473</v>
      </c>
      <c r="G311">
        <v>2024</v>
      </c>
      <c r="H311" t="s">
        <v>33</v>
      </c>
      <c r="I311" t="s">
        <v>51</v>
      </c>
      <c r="J311">
        <v>1</v>
      </c>
      <c r="K311">
        <v>73</v>
      </c>
      <c r="L311">
        <v>71.180000000000007</v>
      </c>
      <c r="M311">
        <v>1.0255689800505761</v>
      </c>
      <c r="N311">
        <v>1.0255689800505761</v>
      </c>
      <c r="Q311" t="s">
        <v>213</v>
      </c>
      <c r="R311">
        <v>1</v>
      </c>
      <c r="S311">
        <v>1</v>
      </c>
      <c r="T311" t="s">
        <v>31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45657</v>
      </c>
      <c r="G312">
        <v>2024</v>
      </c>
      <c r="H312" t="s">
        <v>44</v>
      </c>
      <c r="I312" t="s">
        <v>53</v>
      </c>
      <c r="J312">
        <v>2</v>
      </c>
      <c r="K312">
        <v>73</v>
      </c>
      <c r="L312">
        <v>71.239999999999995</v>
      </c>
      <c r="M312">
        <v>0.97589041095890405</v>
      </c>
      <c r="N312">
        <v>0.97589041095890405</v>
      </c>
      <c r="Q312" t="s">
        <v>214</v>
      </c>
      <c r="R312">
        <v>0</v>
      </c>
      <c r="S312">
        <v>0</v>
      </c>
      <c r="T312" t="s">
        <v>31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x14ac:dyDescent="0.3">
      <c r="A313">
        <v>277</v>
      </c>
      <c r="B313" t="s">
        <v>210</v>
      </c>
      <c r="C313" t="s">
        <v>202</v>
      </c>
      <c r="D313" t="s">
        <v>31</v>
      </c>
      <c r="E313" t="s">
        <v>171</v>
      </c>
      <c r="F313" s="3">
        <v>45657</v>
      </c>
      <c r="G313">
        <v>2024</v>
      </c>
      <c r="H313" t="s">
        <v>44</v>
      </c>
      <c r="I313" t="s">
        <v>53</v>
      </c>
      <c r="K313">
        <v>73</v>
      </c>
      <c r="L313">
        <v>71.239999999999995</v>
      </c>
      <c r="M313">
        <v>0.97589041095890405</v>
      </c>
      <c r="N313">
        <v>0.97589041095890405</v>
      </c>
      <c r="O313" t="s">
        <v>35</v>
      </c>
      <c r="P313" t="s">
        <v>245</v>
      </c>
      <c r="Q313" t="s">
        <v>214</v>
      </c>
      <c r="R313">
        <v>1</v>
      </c>
      <c r="S313">
        <v>1</v>
      </c>
      <c r="T313" t="s">
        <v>443</v>
      </c>
      <c r="U313" t="s">
        <v>37</v>
      </c>
      <c r="V313" t="s">
        <v>202</v>
      </c>
      <c r="W313" t="s">
        <v>73</v>
      </c>
      <c r="X313" t="s">
        <v>74</v>
      </c>
      <c r="Z313" t="s">
        <v>86</v>
      </c>
      <c r="AA313" t="s">
        <v>204</v>
      </c>
      <c r="AB313" t="s">
        <v>65</v>
      </c>
      <c r="AC313" t="s">
        <v>31</v>
      </c>
    </row>
    <row r="314" spans="1:29" x14ac:dyDescent="0.3">
      <c r="A314">
        <v>277</v>
      </c>
      <c r="B314" t="s">
        <v>210</v>
      </c>
      <c r="C314" t="s">
        <v>202</v>
      </c>
      <c r="D314" t="s">
        <v>31</v>
      </c>
      <c r="E314" t="s">
        <v>171</v>
      </c>
      <c r="F314" s="3">
        <v>45838</v>
      </c>
      <c r="G314">
        <v>2025</v>
      </c>
      <c r="H314" t="s">
        <v>33</v>
      </c>
      <c r="I314" t="s">
        <v>404</v>
      </c>
      <c r="J314">
        <v>1</v>
      </c>
      <c r="K314">
        <v>71</v>
      </c>
      <c r="L314">
        <v>69.39</v>
      </c>
      <c r="M314">
        <v>0.97732394366197184</v>
      </c>
      <c r="N314">
        <v>0.97732394366197184</v>
      </c>
      <c r="O314" t="s">
        <v>35</v>
      </c>
      <c r="P314" t="s">
        <v>245</v>
      </c>
      <c r="Q314" t="s">
        <v>434</v>
      </c>
      <c r="R314">
        <v>1</v>
      </c>
      <c r="S314">
        <v>1</v>
      </c>
      <c r="T314" t="s">
        <v>31</v>
      </c>
      <c r="U314" t="s">
        <v>37</v>
      </c>
      <c r="V314" t="s">
        <v>202</v>
      </c>
      <c r="W314" t="s">
        <v>73</v>
      </c>
      <c r="X314" t="s">
        <v>74</v>
      </c>
      <c r="Z314" t="s">
        <v>86</v>
      </c>
      <c r="AA314" t="s">
        <v>204</v>
      </c>
      <c r="AB314" t="s">
        <v>65</v>
      </c>
      <c r="AC314" t="s">
        <v>31</v>
      </c>
    </row>
    <row r="315" spans="1:29" x14ac:dyDescent="0.3">
      <c r="A315">
        <v>277</v>
      </c>
      <c r="B315" t="s">
        <v>210</v>
      </c>
      <c r="C315" t="s">
        <v>202</v>
      </c>
      <c r="D315" t="s">
        <v>31</v>
      </c>
      <c r="E315" t="s">
        <v>171</v>
      </c>
      <c r="F315" s="3">
        <v>45838</v>
      </c>
      <c r="G315">
        <v>2025</v>
      </c>
      <c r="H315" t="s">
        <v>33</v>
      </c>
      <c r="I315" t="s">
        <v>404</v>
      </c>
      <c r="K315">
        <v>71</v>
      </c>
      <c r="L315">
        <v>69.39</v>
      </c>
      <c r="M315">
        <v>1.0232021905173661</v>
      </c>
      <c r="N315">
        <v>1.0232021905173661</v>
      </c>
      <c r="O315" t="s">
        <v>35</v>
      </c>
      <c r="P315" t="s">
        <v>245</v>
      </c>
      <c r="Q315" t="s">
        <v>434</v>
      </c>
      <c r="R315">
        <v>1</v>
      </c>
      <c r="S315">
        <v>1</v>
      </c>
      <c r="T315" t="s">
        <v>443</v>
      </c>
      <c r="U315" t="s">
        <v>37</v>
      </c>
      <c r="V315" t="s">
        <v>202</v>
      </c>
      <c r="W315" t="s">
        <v>73</v>
      </c>
      <c r="X315" t="s">
        <v>74</v>
      </c>
      <c r="Z315" t="s">
        <v>86</v>
      </c>
      <c r="AA315" t="s">
        <v>204</v>
      </c>
      <c r="AB315" t="s">
        <v>65</v>
      </c>
      <c r="AC315" t="s">
        <v>31</v>
      </c>
    </row>
    <row r="316" spans="1:29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44926</v>
      </c>
      <c r="G316">
        <v>2022</v>
      </c>
      <c r="H316" t="s">
        <v>44</v>
      </c>
      <c r="I316" t="s">
        <v>45</v>
      </c>
      <c r="J316">
        <v>2</v>
      </c>
      <c r="K316">
        <v>3</v>
      </c>
      <c r="L316">
        <v>3</v>
      </c>
      <c r="M316">
        <v>1</v>
      </c>
      <c r="N316">
        <v>1</v>
      </c>
      <c r="Q316" t="s">
        <v>217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44926</v>
      </c>
      <c r="G317">
        <v>2022</v>
      </c>
      <c r="H317" t="s">
        <v>44</v>
      </c>
      <c r="I317" t="s">
        <v>45</v>
      </c>
      <c r="K317">
        <v>3</v>
      </c>
      <c r="L317">
        <v>3</v>
      </c>
      <c r="M317">
        <v>1</v>
      </c>
      <c r="N317">
        <v>1</v>
      </c>
      <c r="O317" t="s">
        <v>35</v>
      </c>
      <c r="P317" t="s">
        <v>35</v>
      </c>
      <c r="Q317" t="s">
        <v>217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45107</v>
      </c>
      <c r="G318">
        <v>2023</v>
      </c>
      <c r="H318" t="s">
        <v>33</v>
      </c>
      <c r="I318" t="s">
        <v>47</v>
      </c>
      <c r="J318">
        <v>1</v>
      </c>
      <c r="K318">
        <v>2</v>
      </c>
      <c r="L318">
        <v>2</v>
      </c>
      <c r="M318">
        <v>1</v>
      </c>
      <c r="N318">
        <v>1</v>
      </c>
      <c r="Q318" t="s">
        <v>220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45291</v>
      </c>
      <c r="G319">
        <v>2023</v>
      </c>
      <c r="H319" t="s">
        <v>44</v>
      </c>
      <c r="I319" t="s">
        <v>49</v>
      </c>
      <c r="J319">
        <v>2</v>
      </c>
      <c r="K319">
        <v>6</v>
      </c>
      <c r="L319">
        <v>6</v>
      </c>
      <c r="M319">
        <v>1</v>
      </c>
      <c r="N319">
        <v>1</v>
      </c>
      <c r="Q319" t="s">
        <v>221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45291</v>
      </c>
      <c r="G320">
        <v>2023</v>
      </c>
      <c r="H320" t="s">
        <v>44</v>
      </c>
      <c r="I320" t="s">
        <v>49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221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45473</v>
      </c>
      <c r="G321">
        <v>2024</v>
      </c>
      <c r="H321" t="s">
        <v>33</v>
      </c>
      <c r="I321" t="s">
        <v>51</v>
      </c>
      <c r="J321">
        <v>1</v>
      </c>
      <c r="K321">
        <v>3</v>
      </c>
      <c r="L321">
        <v>3</v>
      </c>
      <c r="M321">
        <v>1</v>
      </c>
      <c r="N321">
        <v>1</v>
      </c>
      <c r="Q321" t="s">
        <v>222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45657</v>
      </c>
      <c r="G322">
        <v>2024</v>
      </c>
      <c r="H322" t="s">
        <v>44</v>
      </c>
      <c r="I322" t="s">
        <v>53</v>
      </c>
      <c r="J322">
        <v>2</v>
      </c>
      <c r="K322">
        <v>0</v>
      </c>
      <c r="L322">
        <v>0</v>
      </c>
      <c r="Q322" t="s">
        <v>223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323</v>
      </c>
      <c r="B323" t="s">
        <v>215</v>
      </c>
      <c r="C323" t="s">
        <v>216</v>
      </c>
      <c r="D323" t="s">
        <v>31</v>
      </c>
      <c r="E323" t="s">
        <v>32</v>
      </c>
      <c r="F323" s="3">
        <v>45657</v>
      </c>
      <c r="G323">
        <v>2024</v>
      </c>
      <c r="H323" t="s">
        <v>44</v>
      </c>
      <c r="I323" t="s">
        <v>53</v>
      </c>
      <c r="K323">
        <v>3</v>
      </c>
      <c r="L323">
        <v>3</v>
      </c>
      <c r="M323">
        <v>1</v>
      </c>
      <c r="N323">
        <v>1</v>
      </c>
      <c r="O323" t="s">
        <v>35</v>
      </c>
      <c r="P323" t="s">
        <v>35</v>
      </c>
      <c r="Q323" t="s">
        <v>223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323</v>
      </c>
      <c r="B324" t="s">
        <v>215</v>
      </c>
      <c r="C324" t="s">
        <v>216</v>
      </c>
      <c r="D324" t="s">
        <v>31</v>
      </c>
      <c r="E324" t="s">
        <v>32</v>
      </c>
      <c r="F324" s="3">
        <v>45838</v>
      </c>
      <c r="G324">
        <v>2025</v>
      </c>
      <c r="H324" t="s">
        <v>33</v>
      </c>
      <c r="I324" t="s">
        <v>404</v>
      </c>
      <c r="J324">
        <v>1</v>
      </c>
      <c r="K324">
        <v>1</v>
      </c>
      <c r="L324">
        <v>1</v>
      </c>
      <c r="M324">
        <v>1</v>
      </c>
      <c r="N324">
        <v>1</v>
      </c>
      <c r="O324" t="s">
        <v>35</v>
      </c>
      <c r="P324" t="s">
        <v>35</v>
      </c>
      <c r="Q324" t="s">
        <v>409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x14ac:dyDescent="0.3">
      <c r="A325">
        <v>323</v>
      </c>
      <c r="B325" t="s">
        <v>215</v>
      </c>
      <c r="C325" t="s">
        <v>216</v>
      </c>
      <c r="D325" t="s">
        <v>31</v>
      </c>
      <c r="E325" t="s">
        <v>32</v>
      </c>
      <c r="F325" s="3">
        <v>45838</v>
      </c>
      <c r="G325">
        <v>2025</v>
      </c>
      <c r="H325" t="s">
        <v>33</v>
      </c>
      <c r="I325" t="s">
        <v>404</v>
      </c>
      <c r="K325">
        <v>1</v>
      </c>
      <c r="L325">
        <v>1</v>
      </c>
      <c r="M325">
        <v>1</v>
      </c>
      <c r="N325">
        <v>1</v>
      </c>
      <c r="O325" t="s">
        <v>35</v>
      </c>
      <c r="P325" t="s">
        <v>35</v>
      </c>
      <c r="Q325" t="s">
        <v>409</v>
      </c>
      <c r="R325">
        <v>0</v>
      </c>
      <c r="S325">
        <v>0</v>
      </c>
      <c r="T325" t="s">
        <v>443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44742</v>
      </c>
      <c r="G326">
        <v>2022</v>
      </c>
      <c r="H326" t="s">
        <v>33</v>
      </c>
      <c r="I326" t="s">
        <v>34</v>
      </c>
      <c r="J326">
        <v>1</v>
      </c>
      <c r="K326">
        <v>3</v>
      </c>
      <c r="L326">
        <v>3</v>
      </c>
      <c r="M326">
        <v>1</v>
      </c>
      <c r="N326">
        <v>1</v>
      </c>
      <c r="O326" t="s">
        <v>35</v>
      </c>
      <c r="P326" t="s">
        <v>35</v>
      </c>
      <c r="Q326" t="s">
        <v>225</v>
      </c>
      <c r="R326">
        <v>0</v>
      </c>
      <c r="S326">
        <v>0</v>
      </c>
      <c r="T326" t="s">
        <v>31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44926</v>
      </c>
      <c r="G327">
        <v>2022</v>
      </c>
      <c r="H327" t="s">
        <v>44</v>
      </c>
      <c r="I327" t="s">
        <v>45</v>
      </c>
      <c r="J327">
        <v>2</v>
      </c>
      <c r="K327">
        <v>3</v>
      </c>
      <c r="L327">
        <v>3</v>
      </c>
      <c r="M327">
        <v>1</v>
      </c>
      <c r="N327">
        <v>1</v>
      </c>
      <c r="O327" t="s">
        <v>35</v>
      </c>
      <c r="P327" t="s">
        <v>35</v>
      </c>
      <c r="Q327" t="s">
        <v>226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44926</v>
      </c>
      <c r="G328">
        <v>2022</v>
      </c>
      <c r="H328" t="s">
        <v>44</v>
      </c>
      <c r="I328" t="s">
        <v>45</v>
      </c>
      <c r="K328">
        <v>6</v>
      </c>
      <c r="L328">
        <v>6</v>
      </c>
      <c r="M328">
        <v>1</v>
      </c>
      <c r="N328">
        <v>1</v>
      </c>
      <c r="O328" t="s">
        <v>35</v>
      </c>
      <c r="P328" t="s">
        <v>35</v>
      </c>
      <c r="Q328" t="s">
        <v>226</v>
      </c>
      <c r="R328">
        <v>0</v>
      </c>
      <c r="S328">
        <v>0</v>
      </c>
      <c r="T328" t="s">
        <v>443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45107</v>
      </c>
      <c r="G329">
        <v>2023</v>
      </c>
      <c r="H329" t="s">
        <v>33</v>
      </c>
      <c r="I329" t="s">
        <v>47</v>
      </c>
      <c r="J329">
        <v>1</v>
      </c>
      <c r="K329">
        <v>1</v>
      </c>
      <c r="L329">
        <v>1</v>
      </c>
      <c r="M329">
        <v>1</v>
      </c>
      <c r="N329">
        <v>1</v>
      </c>
      <c r="O329" t="s">
        <v>35</v>
      </c>
      <c r="P329" t="s">
        <v>35</v>
      </c>
      <c r="Q329" t="s">
        <v>227</v>
      </c>
      <c r="R329">
        <v>0</v>
      </c>
      <c r="S329">
        <v>0</v>
      </c>
      <c r="T329" t="s">
        <v>31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45291</v>
      </c>
      <c r="G330">
        <v>2023</v>
      </c>
      <c r="H330" t="s">
        <v>44</v>
      </c>
      <c r="I330" t="s">
        <v>49</v>
      </c>
      <c r="J330">
        <v>2</v>
      </c>
      <c r="K330">
        <v>0</v>
      </c>
      <c r="L330">
        <v>0</v>
      </c>
      <c r="Q330" t="s">
        <v>228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45291</v>
      </c>
      <c r="G331">
        <v>2023</v>
      </c>
      <c r="H331" t="s">
        <v>44</v>
      </c>
      <c r="I331" t="s">
        <v>49</v>
      </c>
      <c r="K331">
        <v>1</v>
      </c>
      <c r="L331">
        <v>1</v>
      </c>
      <c r="M331">
        <v>1</v>
      </c>
      <c r="N331">
        <v>1</v>
      </c>
      <c r="O331" t="s">
        <v>35</v>
      </c>
      <c r="P331" t="s">
        <v>35</v>
      </c>
      <c r="Q331" t="s">
        <v>228</v>
      </c>
      <c r="R331">
        <v>0</v>
      </c>
      <c r="S331">
        <v>0</v>
      </c>
      <c r="T331" t="s">
        <v>443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45473</v>
      </c>
      <c r="G332">
        <v>2024</v>
      </c>
      <c r="H332" t="s">
        <v>33</v>
      </c>
      <c r="I332" t="s">
        <v>51</v>
      </c>
      <c r="J332">
        <v>1</v>
      </c>
      <c r="K332">
        <v>5</v>
      </c>
      <c r="L332">
        <v>5</v>
      </c>
      <c r="M332">
        <v>1</v>
      </c>
      <c r="N332">
        <v>1</v>
      </c>
      <c r="O332" t="s">
        <v>35</v>
      </c>
      <c r="P332" t="s">
        <v>35</v>
      </c>
      <c r="Q332" t="s">
        <v>229</v>
      </c>
      <c r="R332">
        <v>0</v>
      </c>
      <c r="S332">
        <v>0</v>
      </c>
      <c r="T332" t="s">
        <v>31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45657</v>
      </c>
      <c r="G333">
        <v>2024</v>
      </c>
      <c r="H333" t="s">
        <v>44</v>
      </c>
      <c r="I333" t="s">
        <v>53</v>
      </c>
      <c r="J333">
        <v>2</v>
      </c>
      <c r="K333">
        <v>3</v>
      </c>
      <c r="L333">
        <v>3</v>
      </c>
      <c r="M333">
        <v>1</v>
      </c>
      <c r="N333">
        <v>1</v>
      </c>
      <c r="O333" t="s">
        <v>35</v>
      </c>
      <c r="P333" t="s">
        <v>35</v>
      </c>
      <c r="Q333" t="s">
        <v>230</v>
      </c>
      <c r="R333">
        <v>0</v>
      </c>
      <c r="S333">
        <v>0</v>
      </c>
      <c r="T333" t="s">
        <v>31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x14ac:dyDescent="0.3">
      <c r="A334">
        <v>325</v>
      </c>
      <c r="B334" t="s">
        <v>224</v>
      </c>
      <c r="C334" t="s">
        <v>216</v>
      </c>
      <c r="D334" t="s">
        <v>31</v>
      </c>
      <c r="E334" t="s">
        <v>32</v>
      </c>
      <c r="F334" s="3">
        <v>45657</v>
      </c>
      <c r="G334">
        <v>2024</v>
      </c>
      <c r="H334" t="s">
        <v>44</v>
      </c>
      <c r="I334" t="s">
        <v>53</v>
      </c>
      <c r="K334">
        <v>8</v>
      </c>
      <c r="L334">
        <v>8</v>
      </c>
      <c r="M334">
        <v>1</v>
      </c>
      <c r="N334">
        <v>1</v>
      </c>
      <c r="O334" t="s">
        <v>35</v>
      </c>
      <c r="P334" t="s">
        <v>35</v>
      </c>
      <c r="Q334" t="s">
        <v>230</v>
      </c>
      <c r="R334">
        <v>0</v>
      </c>
      <c r="S334">
        <v>0</v>
      </c>
      <c r="T334" t="s">
        <v>443</v>
      </c>
      <c r="U334" t="s">
        <v>37</v>
      </c>
      <c r="V334" t="s">
        <v>216</v>
      </c>
      <c r="W334" t="s">
        <v>73</v>
      </c>
      <c r="X334" t="s">
        <v>218</v>
      </c>
      <c r="Y334" t="s">
        <v>219</v>
      </c>
      <c r="Z334" t="s">
        <v>86</v>
      </c>
      <c r="AA334" t="s">
        <v>87</v>
      </c>
      <c r="AB334" t="s">
        <v>78</v>
      </c>
      <c r="AC334" t="s">
        <v>66</v>
      </c>
    </row>
    <row r="335" spans="1:29" x14ac:dyDescent="0.3">
      <c r="A335">
        <v>325</v>
      </c>
      <c r="B335" t="s">
        <v>224</v>
      </c>
      <c r="C335" t="s">
        <v>216</v>
      </c>
      <c r="D335" t="s">
        <v>31</v>
      </c>
      <c r="E335" t="s">
        <v>32</v>
      </c>
      <c r="F335" s="3">
        <v>45838</v>
      </c>
      <c r="G335">
        <v>2025</v>
      </c>
      <c r="H335" t="s">
        <v>33</v>
      </c>
      <c r="I335" t="s">
        <v>404</v>
      </c>
      <c r="J335">
        <v>1</v>
      </c>
      <c r="K335">
        <v>8</v>
      </c>
      <c r="L335">
        <v>8</v>
      </c>
      <c r="M335">
        <v>1</v>
      </c>
      <c r="N335">
        <v>1</v>
      </c>
      <c r="O335" t="s">
        <v>35</v>
      </c>
      <c r="P335" t="s">
        <v>35</v>
      </c>
      <c r="Q335" t="s">
        <v>408</v>
      </c>
      <c r="R335">
        <v>0</v>
      </c>
      <c r="S335">
        <v>0</v>
      </c>
      <c r="T335" t="s">
        <v>31</v>
      </c>
      <c r="U335" t="s">
        <v>37</v>
      </c>
      <c r="V335" t="s">
        <v>216</v>
      </c>
      <c r="W335" t="s">
        <v>73</v>
      </c>
      <c r="X335" t="s">
        <v>218</v>
      </c>
      <c r="Y335" t="s">
        <v>219</v>
      </c>
      <c r="Z335" t="s">
        <v>86</v>
      </c>
      <c r="AA335" t="s">
        <v>87</v>
      </c>
      <c r="AB335" t="s">
        <v>78</v>
      </c>
      <c r="AC335" t="s">
        <v>66</v>
      </c>
    </row>
    <row r="336" spans="1:29" x14ac:dyDescent="0.3">
      <c r="A336">
        <v>325</v>
      </c>
      <c r="B336" t="s">
        <v>224</v>
      </c>
      <c r="C336" t="s">
        <v>216</v>
      </c>
      <c r="D336" t="s">
        <v>31</v>
      </c>
      <c r="E336" t="s">
        <v>32</v>
      </c>
      <c r="F336" s="3">
        <v>45838</v>
      </c>
      <c r="G336">
        <v>2025</v>
      </c>
      <c r="H336" t="s">
        <v>33</v>
      </c>
      <c r="I336" t="s">
        <v>404</v>
      </c>
      <c r="K336">
        <v>8</v>
      </c>
      <c r="L336">
        <v>8</v>
      </c>
      <c r="M336">
        <v>1</v>
      </c>
      <c r="N336">
        <v>1</v>
      </c>
      <c r="O336" t="s">
        <v>35</v>
      </c>
      <c r="P336" t="s">
        <v>35</v>
      </c>
      <c r="Q336" t="s">
        <v>408</v>
      </c>
      <c r="R336">
        <v>0</v>
      </c>
      <c r="S336">
        <v>0</v>
      </c>
      <c r="T336" t="s">
        <v>443</v>
      </c>
      <c r="U336" t="s">
        <v>37</v>
      </c>
      <c r="V336" t="s">
        <v>216</v>
      </c>
      <c r="W336" t="s">
        <v>73</v>
      </c>
      <c r="X336" t="s">
        <v>218</v>
      </c>
      <c r="Y336" t="s">
        <v>219</v>
      </c>
      <c r="Z336" t="s">
        <v>86</v>
      </c>
      <c r="AA336" t="s">
        <v>87</v>
      </c>
      <c r="AB336" t="s">
        <v>78</v>
      </c>
      <c r="AC336" t="s">
        <v>66</v>
      </c>
    </row>
    <row r="337" spans="1:29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45291</v>
      </c>
      <c r="G337">
        <v>2023</v>
      </c>
      <c r="H337" t="s">
        <v>44</v>
      </c>
      <c r="I337" t="s">
        <v>49</v>
      </c>
      <c r="J337">
        <v>2</v>
      </c>
      <c r="K337">
        <v>0</v>
      </c>
      <c r="L337">
        <v>81</v>
      </c>
      <c r="O337" t="s">
        <v>233</v>
      </c>
      <c r="P337" t="s">
        <v>58</v>
      </c>
      <c r="Q337" t="s">
        <v>234</v>
      </c>
      <c r="R337">
        <v>0</v>
      </c>
      <c r="S337">
        <v>0</v>
      </c>
      <c r="T337" t="s">
        <v>31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45291</v>
      </c>
      <c r="G338">
        <v>2023</v>
      </c>
      <c r="H338" t="s">
        <v>44</v>
      </c>
      <c r="I338" t="s">
        <v>49</v>
      </c>
      <c r="L338">
        <v>81</v>
      </c>
      <c r="O338" t="s">
        <v>429</v>
      </c>
      <c r="P338" t="s">
        <v>58</v>
      </c>
      <c r="Q338" t="s">
        <v>234</v>
      </c>
      <c r="R338">
        <v>0</v>
      </c>
      <c r="S338">
        <v>0</v>
      </c>
      <c r="T338" t="s">
        <v>443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45657</v>
      </c>
      <c r="G339">
        <v>2024</v>
      </c>
      <c r="H339" t="s">
        <v>44</v>
      </c>
      <c r="I339" t="s">
        <v>53</v>
      </c>
      <c r="J339">
        <v>2</v>
      </c>
      <c r="K339">
        <v>0</v>
      </c>
      <c r="L339">
        <v>82</v>
      </c>
      <c r="O339" t="s">
        <v>233</v>
      </c>
      <c r="P339" t="s">
        <v>58</v>
      </c>
      <c r="Q339" t="s">
        <v>238</v>
      </c>
      <c r="R339">
        <v>0</v>
      </c>
      <c r="S339">
        <v>0</v>
      </c>
      <c r="T339" t="s">
        <v>31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x14ac:dyDescent="0.3">
      <c r="A340">
        <v>331</v>
      </c>
      <c r="B340" t="s">
        <v>231</v>
      </c>
      <c r="C340" t="s">
        <v>232</v>
      </c>
      <c r="D340" t="s">
        <v>66</v>
      </c>
      <c r="E340" t="s">
        <v>32</v>
      </c>
      <c r="F340" s="3">
        <v>45657</v>
      </c>
      <c r="G340">
        <v>2024</v>
      </c>
      <c r="H340" t="s">
        <v>44</v>
      </c>
      <c r="I340" t="s">
        <v>53</v>
      </c>
      <c r="L340">
        <v>82</v>
      </c>
      <c r="O340" t="s">
        <v>429</v>
      </c>
      <c r="P340" t="s">
        <v>58</v>
      </c>
      <c r="Q340" t="s">
        <v>238</v>
      </c>
      <c r="R340">
        <v>0</v>
      </c>
      <c r="S340">
        <v>0</v>
      </c>
      <c r="T340" t="s">
        <v>443</v>
      </c>
      <c r="U340" t="s">
        <v>37</v>
      </c>
      <c r="V340" t="s">
        <v>232</v>
      </c>
      <c r="W340" t="s">
        <v>145</v>
      </c>
      <c r="X340" t="s">
        <v>179</v>
      </c>
      <c r="Y340" t="s">
        <v>235</v>
      </c>
      <c r="Z340" t="s">
        <v>236</v>
      </c>
      <c r="AA340" t="s">
        <v>237</v>
      </c>
      <c r="AB340" t="s">
        <v>43</v>
      </c>
      <c r="AC340" t="s">
        <v>66</v>
      </c>
    </row>
    <row r="341" spans="1:29" x14ac:dyDescent="0.3">
      <c r="A341">
        <v>331</v>
      </c>
      <c r="B341" t="s">
        <v>231</v>
      </c>
      <c r="C341" t="s">
        <v>232</v>
      </c>
      <c r="D341" t="s">
        <v>66</v>
      </c>
      <c r="E341" t="s">
        <v>32</v>
      </c>
      <c r="F341" s="3">
        <v>45838</v>
      </c>
      <c r="G341">
        <v>2025</v>
      </c>
      <c r="H341" t="s">
        <v>33</v>
      </c>
      <c r="I341" t="s">
        <v>404</v>
      </c>
      <c r="J341">
        <v>1</v>
      </c>
      <c r="L341">
        <v>82</v>
      </c>
      <c r="O341" t="s">
        <v>429</v>
      </c>
      <c r="P341" t="s">
        <v>58</v>
      </c>
      <c r="Q341" t="s">
        <v>430</v>
      </c>
      <c r="R341">
        <v>0</v>
      </c>
      <c r="S341">
        <v>0</v>
      </c>
      <c r="T341" t="s">
        <v>31</v>
      </c>
      <c r="U341" t="s">
        <v>37</v>
      </c>
      <c r="V341" t="s">
        <v>232</v>
      </c>
      <c r="W341" t="s">
        <v>145</v>
      </c>
      <c r="X341" t="s">
        <v>179</v>
      </c>
      <c r="Y341" t="s">
        <v>235</v>
      </c>
      <c r="Z341" t="s">
        <v>236</v>
      </c>
      <c r="AA341" t="s">
        <v>237</v>
      </c>
      <c r="AB341" t="s">
        <v>43</v>
      </c>
      <c r="AC341" t="s">
        <v>66</v>
      </c>
    </row>
    <row r="342" spans="1:29" x14ac:dyDescent="0.3">
      <c r="A342">
        <v>331</v>
      </c>
      <c r="B342" t="s">
        <v>231</v>
      </c>
      <c r="C342" t="s">
        <v>232</v>
      </c>
      <c r="D342" t="s">
        <v>66</v>
      </c>
      <c r="E342" t="s">
        <v>32</v>
      </c>
      <c r="F342" s="3">
        <v>45838</v>
      </c>
      <c r="G342">
        <v>2025</v>
      </c>
      <c r="H342" t="s">
        <v>33</v>
      </c>
      <c r="I342" t="s">
        <v>404</v>
      </c>
      <c r="L342">
        <v>82</v>
      </c>
      <c r="O342" t="s">
        <v>429</v>
      </c>
      <c r="P342" t="s">
        <v>58</v>
      </c>
      <c r="Q342" t="s">
        <v>430</v>
      </c>
      <c r="R342">
        <v>0</v>
      </c>
      <c r="S342">
        <v>0</v>
      </c>
      <c r="T342" t="s">
        <v>443</v>
      </c>
      <c r="U342" t="s">
        <v>37</v>
      </c>
      <c r="V342" t="s">
        <v>232</v>
      </c>
      <c r="W342" t="s">
        <v>145</v>
      </c>
      <c r="X342" t="s">
        <v>179</v>
      </c>
      <c r="Y342" t="s">
        <v>235</v>
      </c>
      <c r="Z342" t="s">
        <v>236</v>
      </c>
      <c r="AA342" t="s">
        <v>237</v>
      </c>
      <c r="AB342" t="s">
        <v>43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44742</v>
      </c>
      <c r="G343">
        <v>2022</v>
      </c>
      <c r="H343" t="s">
        <v>33</v>
      </c>
      <c r="I343" t="s">
        <v>34</v>
      </c>
      <c r="J343">
        <v>1</v>
      </c>
      <c r="K343">
        <v>1.6</v>
      </c>
      <c r="L343">
        <v>1.8</v>
      </c>
      <c r="M343">
        <v>0.88888888888888895</v>
      </c>
      <c r="N343">
        <v>0.88888888888888895</v>
      </c>
      <c r="Q343" t="s">
        <v>240</v>
      </c>
      <c r="R343">
        <v>1</v>
      </c>
      <c r="S343">
        <v>1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44926</v>
      </c>
      <c r="G344">
        <v>2022</v>
      </c>
      <c r="H344" t="s">
        <v>44</v>
      </c>
      <c r="I344" t="s">
        <v>45</v>
      </c>
      <c r="J344">
        <v>2</v>
      </c>
      <c r="K344">
        <v>1.6</v>
      </c>
      <c r="L344">
        <v>1.75</v>
      </c>
      <c r="M344">
        <v>0.91428571428571437</v>
      </c>
      <c r="N344">
        <v>0.91428571428571437</v>
      </c>
      <c r="Q344" t="s">
        <v>242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44926</v>
      </c>
      <c r="G345">
        <v>2022</v>
      </c>
      <c r="H345" t="s">
        <v>44</v>
      </c>
      <c r="I345" t="s">
        <v>45</v>
      </c>
      <c r="K345">
        <v>1.6</v>
      </c>
      <c r="L345">
        <v>1.75</v>
      </c>
      <c r="M345">
        <v>0.91428571428571437</v>
      </c>
      <c r="N345">
        <v>0.91428571428571437</v>
      </c>
      <c r="O345" t="s">
        <v>245</v>
      </c>
      <c r="P345" t="s">
        <v>245</v>
      </c>
      <c r="Q345" t="s">
        <v>242</v>
      </c>
      <c r="R345">
        <v>1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45107</v>
      </c>
      <c r="G346">
        <v>2023</v>
      </c>
      <c r="H346" t="s">
        <v>33</v>
      </c>
      <c r="I346" t="s">
        <v>47</v>
      </c>
      <c r="J346">
        <v>1</v>
      </c>
      <c r="K346">
        <v>1.8</v>
      </c>
      <c r="L346">
        <v>1.57</v>
      </c>
      <c r="M346">
        <v>1.1464968152866239</v>
      </c>
      <c r="N346">
        <v>1.1464968152866239</v>
      </c>
      <c r="Q346" t="s">
        <v>243</v>
      </c>
      <c r="R346">
        <v>1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1.8</v>
      </c>
      <c r="L347">
        <v>1.3</v>
      </c>
      <c r="M347">
        <v>1.3</v>
      </c>
      <c r="N347">
        <v>1.384615384615385</v>
      </c>
      <c r="Q347" t="s">
        <v>244</v>
      </c>
      <c r="R347">
        <v>1</v>
      </c>
      <c r="S347">
        <v>1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45291</v>
      </c>
      <c r="G348">
        <v>2023</v>
      </c>
      <c r="H348" t="s">
        <v>44</v>
      </c>
      <c r="I348" t="s">
        <v>49</v>
      </c>
      <c r="K348">
        <v>1.8</v>
      </c>
      <c r="L348">
        <v>1.4</v>
      </c>
      <c r="M348">
        <v>1.285714285714286</v>
      </c>
      <c r="N348">
        <v>1.285714285714286</v>
      </c>
      <c r="O348" t="s">
        <v>245</v>
      </c>
      <c r="P348" t="s">
        <v>245</v>
      </c>
      <c r="Q348" t="s">
        <v>244</v>
      </c>
      <c r="R348">
        <v>1</v>
      </c>
      <c r="S348">
        <v>1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45473</v>
      </c>
      <c r="G349">
        <v>2024</v>
      </c>
      <c r="H349" t="s">
        <v>33</v>
      </c>
      <c r="I349" t="s">
        <v>51</v>
      </c>
      <c r="J349">
        <v>1</v>
      </c>
      <c r="K349">
        <v>1.5</v>
      </c>
      <c r="L349">
        <v>1.48</v>
      </c>
      <c r="M349">
        <v>1.013513513513514</v>
      </c>
      <c r="N349">
        <v>1.013513513513514</v>
      </c>
      <c r="O349" t="s">
        <v>245</v>
      </c>
      <c r="P349" t="s">
        <v>245</v>
      </c>
      <c r="Q349" t="s">
        <v>246</v>
      </c>
      <c r="R349">
        <v>1</v>
      </c>
      <c r="S349">
        <v>1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45657</v>
      </c>
      <c r="G350">
        <v>2024</v>
      </c>
      <c r="H350" t="s">
        <v>44</v>
      </c>
      <c r="I350" t="s">
        <v>53</v>
      </c>
      <c r="J350">
        <v>2</v>
      </c>
      <c r="K350">
        <v>1.8</v>
      </c>
      <c r="L350">
        <v>0.82</v>
      </c>
      <c r="M350">
        <v>0.45555555555555549</v>
      </c>
      <c r="N350">
        <v>0.45555555555555549</v>
      </c>
      <c r="Q350" t="s">
        <v>247</v>
      </c>
      <c r="R350">
        <v>0</v>
      </c>
      <c r="S350">
        <v>0</v>
      </c>
      <c r="T350" t="s">
        <v>31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332</v>
      </c>
      <c r="B351" t="s">
        <v>239</v>
      </c>
      <c r="C351" t="s">
        <v>130</v>
      </c>
      <c r="D351" t="s">
        <v>31</v>
      </c>
      <c r="E351" t="s">
        <v>171</v>
      </c>
      <c r="F351" s="3">
        <v>45657</v>
      </c>
      <c r="G351">
        <v>2024</v>
      </c>
      <c r="H351" t="s">
        <v>44</v>
      </c>
      <c r="I351" t="s">
        <v>53</v>
      </c>
      <c r="K351">
        <v>1.5</v>
      </c>
      <c r="L351">
        <v>1.1499999999999999</v>
      </c>
      <c r="M351">
        <v>1.3</v>
      </c>
      <c r="N351">
        <v>1.304347826086957</v>
      </c>
      <c r="O351" t="s">
        <v>245</v>
      </c>
      <c r="P351" t="s">
        <v>245</v>
      </c>
      <c r="Q351" t="s">
        <v>247</v>
      </c>
      <c r="R351">
        <v>1</v>
      </c>
      <c r="S351">
        <v>2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135</v>
      </c>
      <c r="AB351" t="s">
        <v>65</v>
      </c>
      <c r="AC351" t="s">
        <v>66</v>
      </c>
    </row>
    <row r="352" spans="1:29" x14ac:dyDescent="0.3">
      <c r="A352">
        <v>332</v>
      </c>
      <c r="B352" t="s">
        <v>239</v>
      </c>
      <c r="C352" t="s">
        <v>130</v>
      </c>
      <c r="D352" t="s">
        <v>31</v>
      </c>
      <c r="E352" t="s">
        <v>171</v>
      </c>
      <c r="F352" s="3">
        <v>45838</v>
      </c>
      <c r="G352">
        <v>2025</v>
      </c>
      <c r="H352" t="s">
        <v>33</v>
      </c>
      <c r="I352" t="s">
        <v>404</v>
      </c>
      <c r="J352">
        <v>1</v>
      </c>
      <c r="K352">
        <v>1.4</v>
      </c>
      <c r="L352">
        <v>0.85</v>
      </c>
      <c r="M352">
        <v>1.3</v>
      </c>
      <c r="N352">
        <v>1.6470588235294119</v>
      </c>
      <c r="O352" t="s">
        <v>245</v>
      </c>
      <c r="P352" t="s">
        <v>245</v>
      </c>
      <c r="Q352" t="s">
        <v>431</v>
      </c>
      <c r="R352">
        <v>2</v>
      </c>
      <c r="S352">
        <v>2</v>
      </c>
      <c r="T352" t="s">
        <v>31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135</v>
      </c>
      <c r="AB352" t="s">
        <v>65</v>
      </c>
      <c r="AC352" t="s">
        <v>66</v>
      </c>
    </row>
    <row r="353" spans="1:29" x14ac:dyDescent="0.3">
      <c r="A353">
        <v>332</v>
      </c>
      <c r="B353" t="s">
        <v>239</v>
      </c>
      <c r="C353" t="s">
        <v>130</v>
      </c>
      <c r="D353" t="s">
        <v>31</v>
      </c>
      <c r="E353" t="s">
        <v>171</v>
      </c>
      <c r="F353" s="3">
        <v>45838</v>
      </c>
      <c r="G353">
        <v>2025</v>
      </c>
      <c r="H353" t="s">
        <v>33</v>
      </c>
      <c r="I353" t="s">
        <v>404</v>
      </c>
      <c r="K353">
        <v>1.5</v>
      </c>
      <c r="L353">
        <v>1.1499999999999999</v>
      </c>
      <c r="M353">
        <v>1.3</v>
      </c>
      <c r="N353">
        <v>1.304347826086957</v>
      </c>
      <c r="O353" t="s">
        <v>245</v>
      </c>
      <c r="P353" t="s">
        <v>245</v>
      </c>
      <c r="Q353" t="s">
        <v>431</v>
      </c>
      <c r="R353">
        <v>2</v>
      </c>
      <c r="S353">
        <v>2</v>
      </c>
      <c r="T353" t="s">
        <v>443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135</v>
      </c>
      <c r="AB353" t="s">
        <v>65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44926</v>
      </c>
      <c r="G354">
        <v>2022</v>
      </c>
      <c r="H354" t="s">
        <v>44</v>
      </c>
      <c r="I354" t="s">
        <v>45</v>
      </c>
      <c r="K354">
        <v>86</v>
      </c>
      <c r="L354">
        <v>86</v>
      </c>
      <c r="M354">
        <v>1</v>
      </c>
      <c r="N354">
        <v>1</v>
      </c>
      <c r="O354" t="s">
        <v>35</v>
      </c>
      <c r="P354" t="s">
        <v>35</v>
      </c>
      <c r="Q354" t="s">
        <v>448</v>
      </c>
      <c r="R354">
        <v>0</v>
      </c>
      <c r="S354">
        <v>0</v>
      </c>
      <c r="T354" t="s">
        <v>443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J355">
        <v>2</v>
      </c>
      <c r="K355">
        <v>88</v>
      </c>
      <c r="L355">
        <v>88.39</v>
      </c>
      <c r="M355">
        <v>1.0044318181818179</v>
      </c>
      <c r="N355">
        <v>1.0044318181818179</v>
      </c>
      <c r="Q355" t="s">
        <v>249</v>
      </c>
      <c r="R355">
        <v>0</v>
      </c>
      <c r="S355">
        <v>0</v>
      </c>
      <c r="T355" t="s">
        <v>31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45291</v>
      </c>
      <c r="G356">
        <v>2023</v>
      </c>
      <c r="H356" t="s">
        <v>44</v>
      </c>
      <c r="I356" t="s">
        <v>49</v>
      </c>
      <c r="K356">
        <v>88</v>
      </c>
      <c r="L356">
        <v>88.39</v>
      </c>
      <c r="M356">
        <v>1.0044318181818179</v>
      </c>
      <c r="N356">
        <v>1.0044318181818179</v>
      </c>
      <c r="O356" t="s">
        <v>35</v>
      </c>
      <c r="P356" t="s">
        <v>245</v>
      </c>
      <c r="Q356" t="s">
        <v>249</v>
      </c>
      <c r="R356">
        <v>0</v>
      </c>
      <c r="S356">
        <v>1</v>
      </c>
      <c r="T356" t="s">
        <v>443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334</v>
      </c>
      <c r="B357" t="s">
        <v>248</v>
      </c>
      <c r="C357" t="s">
        <v>130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J357">
        <v>2</v>
      </c>
      <c r="K357">
        <v>88</v>
      </c>
      <c r="L357">
        <v>88.84</v>
      </c>
      <c r="M357">
        <v>1.009545454545455</v>
      </c>
      <c r="N357">
        <v>1.009545454545455</v>
      </c>
      <c r="Q357" t="s">
        <v>251</v>
      </c>
      <c r="R357">
        <v>0</v>
      </c>
      <c r="S357">
        <v>0</v>
      </c>
      <c r="T357" t="s">
        <v>31</v>
      </c>
      <c r="U357" t="s">
        <v>37</v>
      </c>
      <c r="V357" t="s">
        <v>130</v>
      </c>
      <c r="W357" t="s">
        <v>60</v>
      </c>
      <c r="X357" t="s">
        <v>100</v>
      </c>
      <c r="Y357" t="s">
        <v>241</v>
      </c>
      <c r="Z357" t="s">
        <v>134</v>
      </c>
      <c r="AA357" t="s">
        <v>250</v>
      </c>
      <c r="AB357" t="s">
        <v>43</v>
      </c>
      <c r="AC357" t="s">
        <v>66</v>
      </c>
    </row>
    <row r="358" spans="1:29" x14ac:dyDescent="0.3">
      <c r="A358">
        <v>334</v>
      </c>
      <c r="B358" t="s">
        <v>248</v>
      </c>
      <c r="C358" t="s">
        <v>130</v>
      </c>
      <c r="D358" t="s">
        <v>66</v>
      </c>
      <c r="E358" t="s">
        <v>32</v>
      </c>
      <c r="F358" s="3">
        <v>45657</v>
      </c>
      <c r="G358">
        <v>2024</v>
      </c>
      <c r="H358" t="s">
        <v>44</v>
      </c>
      <c r="I358" t="s">
        <v>53</v>
      </c>
      <c r="K358">
        <v>88</v>
      </c>
      <c r="L358">
        <v>88.84</v>
      </c>
      <c r="M358">
        <v>1.009545454545455</v>
      </c>
      <c r="N358">
        <v>1.009545454545455</v>
      </c>
      <c r="O358" t="s">
        <v>35</v>
      </c>
      <c r="P358" t="s">
        <v>245</v>
      </c>
      <c r="Q358" t="s">
        <v>251</v>
      </c>
      <c r="R358">
        <v>0</v>
      </c>
      <c r="S358">
        <v>1</v>
      </c>
      <c r="T358" t="s">
        <v>443</v>
      </c>
      <c r="U358" t="s">
        <v>37</v>
      </c>
      <c r="V358" t="s">
        <v>130</v>
      </c>
      <c r="W358" t="s">
        <v>60</v>
      </c>
      <c r="X358" t="s">
        <v>100</v>
      </c>
      <c r="Y358" t="s">
        <v>241</v>
      </c>
      <c r="Z358" t="s">
        <v>134</v>
      </c>
      <c r="AA358" t="s">
        <v>250</v>
      </c>
      <c r="AB358" t="s">
        <v>43</v>
      </c>
      <c r="AC358" t="s">
        <v>66</v>
      </c>
    </row>
    <row r="359" spans="1:29" x14ac:dyDescent="0.3">
      <c r="A359">
        <v>334</v>
      </c>
      <c r="B359" t="s">
        <v>248</v>
      </c>
      <c r="C359" t="s">
        <v>130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88</v>
      </c>
      <c r="L359">
        <v>88.84</v>
      </c>
      <c r="M359">
        <v>1.009545454545455</v>
      </c>
      <c r="N359">
        <v>1.009545454545455</v>
      </c>
      <c r="O359" t="s">
        <v>35</v>
      </c>
      <c r="P359" t="s">
        <v>245</v>
      </c>
      <c r="Q359" t="s">
        <v>467</v>
      </c>
      <c r="R359">
        <v>0</v>
      </c>
      <c r="S359">
        <v>1</v>
      </c>
      <c r="T359" t="s">
        <v>443</v>
      </c>
      <c r="U359" t="s">
        <v>37</v>
      </c>
      <c r="V359" t="s">
        <v>130</v>
      </c>
      <c r="W359" t="s">
        <v>60</v>
      </c>
      <c r="X359" t="s">
        <v>100</v>
      </c>
      <c r="Y359" t="s">
        <v>241</v>
      </c>
      <c r="Z359" t="s">
        <v>134</v>
      </c>
      <c r="AA359" t="s">
        <v>250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80</v>
      </c>
      <c r="L360">
        <v>93.85</v>
      </c>
      <c r="M360">
        <v>1.173125</v>
      </c>
      <c r="N360">
        <v>1.173125</v>
      </c>
      <c r="O360" t="s">
        <v>58</v>
      </c>
      <c r="P360" t="s">
        <v>58</v>
      </c>
      <c r="Q360" t="s">
        <v>253</v>
      </c>
      <c r="R360">
        <v>0</v>
      </c>
      <c r="S360">
        <v>0</v>
      </c>
      <c r="T360" t="s">
        <v>31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80</v>
      </c>
      <c r="L361">
        <v>93.85</v>
      </c>
      <c r="M361">
        <v>1.173125</v>
      </c>
      <c r="N361">
        <v>1.173125</v>
      </c>
      <c r="O361" t="s">
        <v>58</v>
      </c>
      <c r="P361" t="s">
        <v>58</v>
      </c>
      <c r="Q361" t="s">
        <v>253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335</v>
      </c>
      <c r="B362" t="s">
        <v>252</v>
      </c>
      <c r="C362" t="s">
        <v>130</v>
      </c>
      <c r="D362" t="s">
        <v>66</v>
      </c>
      <c r="E362" t="s">
        <v>32</v>
      </c>
      <c r="F362" s="3">
        <v>45657</v>
      </c>
      <c r="G362">
        <v>2024</v>
      </c>
      <c r="H362" t="s">
        <v>44</v>
      </c>
      <c r="I362" t="s">
        <v>53</v>
      </c>
      <c r="J362">
        <v>2</v>
      </c>
      <c r="K362">
        <v>82</v>
      </c>
      <c r="L362">
        <v>80.95</v>
      </c>
      <c r="M362">
        <v>0.9871951219512195</v>
      </c>
      <c r="N362">
        <v>0.9871951219512195</v>
      </c>
      <c r="O362" t="s">
        <v>58</v>
      </c>
      <c r="P362" t="s">
        <v>58</v>
      </c>
      <c r="Q362" t="s">
        <v>254</v>
      </c>
      <c r="R362">
        <v>0</v>
      </c>
      <c r="S362">
        <v>0</v>
      </c>
      <c r="T362" t="s">
        <v>31</v>
      </c>
      <c r="U362" t="s">
        <v>37</v>
      </c>
      <c r="V362" t="s">
        <v>130</v>
      </c>
      <c r="W362" t="s">
        <v>60</v>
      </c>
      <c r="X362" t="s">
        <v>100</v>
      </c>
      <c r="Z362" t="s">
        <v>134</v>
      </c>
      <c r="AA362" t="s">
        <v>135</v>
      </c>
      <c r="AB362" t="s">
        <v>43</v>
      </c>
      <c r="AC362" t="s">
        <v>66</v>
      </c>
    </row>
    <row r="363" spans="1:29" x14ac:dyDescent="0.3">
      <c r="A363">
        <v>335</v>
      </c>
      <c r="B363" t="s">
        <v>252</v>
      </c>
      <c r="C363" t="s">
        <v>130</v>
      </c>
      <c r="D363" t="s">
        <v>66</v>
      </c>
      <c r="E363" t="s">
        <v>32</v>
      </c>
      <c r="F363" s="3">
        <v>45657</v>
      </c>
      <c r="G363">
        <v>2024</v>
      </c>
      <c r="H363" t="s">
        <v>44</v>
      </c>
      <c r="I363" t="s">
        <v>53</v>
      </c>
      <c r="K363">
        <v>82</v>
      </c>
      <c r="L363">
        <v>80.95</v>
      </c>
      <c r="M363">
        <v>0.9871951219512195</v>
      </c>
      <c r="N363">
        <v>0.9871951219512195</v>
      </c>
      <c r="O363" t="s">
        <v>58</v>
      </c>
      <c r="P363" t="s">
        <v>58</v>
      </c>
      <c r="Q363" t="s">
        <v>254</v>
      </c>
      <c r="R363">
        <v>0</v>
      </c>
      <c r="S363">
        <v>0</v>
      </c>
      <c r="T363" t="s">
        <v>443</v>
      </c>
      <c r="U363" t="s">
        <v>37</v>
      </c>
      <c r="V363" t="s">
        <v>130</v>
      </c>
      <c r="W363" t="s">
        <v>60</v>
      </c>
      <c r="X363" t="s">
        <v>100</v>
      </c>
      <c r="Z363" t="s">
        <v>134</v>
      </c>
      <c r="AA363" t="s">
        <v>135</v>
      </c>
      <c r="AB363" t="s">
        <v>43</v>
      </c>
      <c r="AC363" t="s">
        <v>66</v>
      </c>
    </row>
    <row r="364" spans="1:29" x14ac:dyDescent="0.3">
      <c r="A364">
        <v>335</v>
      </c>
      <c r="B364" t="s">
        <v>252</v>
      </c>
      <c r="C364" t="s">
        <v>130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82</v>
      </c>
      <c r="L364">
        <v>80.95</v>
      </c>
      <c r="M364">
        <v>0.9871951219512195</v>
      </c>
      <c r="N364">
        <v>0.9871951219512195</v>
      </c>
      <c r="O364" t="s">
        <v>58</v>
      </c>
      <c r="P364" t="s">
        <v>58</v>
      </c>
      <c r="Q364" t="s">
        <v>466</v>
      </c>
      <c r="R364">
        <v>0</v>
      </c>
      <c r="S364">
        <v>0</v>
      </c>
      <c r="T364" t="s">
        <v>443</v>
      </c>
      <c r="U364" t="s">
        <v>37</v>
      </c>
      <c r="V364" t="s">
        <v>130</v>
      </c>
      <c r="W364" t="s">
        <v>60</v>
      </c>
      <c r="X364" t="s">
        <v>100</v>
      </c>
      <c r="Z364" t="s">
        <v>134</v>
      </c>
      <c r="AA364" t="s">
        <v>135</v>
      </c>
      <c r="AB364" t="s">
        <v>43</v>
      </c>
      <c r="AC364" t="s">
        <v>66</v>
      </c>
    </row>
    <row r="365" spans="1:29" x14ac:dyDescent="0.3">
      <c r="A365">
        <v>339</v>
      </c>
      <c r="B365" t="s">
        <v>255</v>
      </c>
      <c r="C365" t="s">
        <v>256</v>
      </c>
      <c r="D365" t="s">
        <v>66</v>
      </c>
      <c r="E365" t="s">
        <v>32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K365">
        <v>30</v>
      </c>
      <c r="L365">
        <v>28.57</v>
      </c>
      <c r="M365">
        <v>0.95233333333333337</v>
      </c>
      <c r="N365">
        <v>0.95233333333333337</v>
      </c>
      <c r="O365" t="s">
        <v>58</v>
      </c>
      <c r="P365" t="s">
        <v>58</v>
      </c>
      <c r="Q365" t="s">
        <v>257</v>
      </c>
      <c r="R365">
        <v>0</v>
      </c>
      <c r="S365">
        <v>1</v>
      </c>
      <c r="T365" t="s">
        <v>31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x14ac:dyDescent="0.3">
      <c r="A366">
        <v>339</v>
      </c>
      <c r="B366" t="s">
        <v>255</v>
      </c>
      <c r="C366" t="s">
        <v>256</v>
      </c>
      <c r="D366" t="s">
        <v>66</v>
      </c>
      <c r="E366" t="s">
        <v>32</v>
      </c>
      <c r="F366" s="3">
        <v>45291</v>
      </c>
      <c r="G366">
        <v>2023</v>
      </c>
      <c r="H366" t="s">
        <v>44</v>
      </c>
      <c r="I366" t="s">
        <v>49</v>
      </c>
      <c r="K366">
        <v>30</v>
      </c>
      <c r="L366">
        <v>28.57</v>
      </c>
      <c r="M366">
        <v>0.95233333333333337</v>
      </c>
      <c r="N366">
        <v>0.95233333333333337</v>
      </c>
      <c r="O366" t="s">
        <v>58</v>
      </c>
      <c r="P366" t="s">
        <v>58</v>
      </c>
      <c r="Q366" t="s">
        <v>257</v>
      </c>
      <c r="R366">
        <v>0</v>
      </c>
      <c r="S366">
        <v>1</v>
      </c>
      <c r="T366" t="s">
        <v>443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x14ac:dyDescent="0.3">
      <c r="A367">
        <v>339</v>
      </c>
      <c r="B367" t="s">
        <v>255</v>
      </c>
      <c r="C367" t="s">
        <v>256</v>
      </c>
      <c r="D367" t="s">
        <v>66</v>
      </c>
      <c r="E367" t="s">
        <v>32</v>
      </c>
      <c r="F367" s="3">
        <v>45657</v>
      </c>
      <c r="G367">
        <v>2024</v>
      </c>
      <c r="H367" t="s">
        <v>44</v>
      </c>
      <c r="I367" t="s">
        <v>53</v>
      </c>
      <c r="J367">
        <v>2</v>
      </c>
      <c r="K367">
        <v>30</v>
      </c>
      <c r="L367">
        <v>30.3</v>
      </c>
      <c r="M367">
        <v>1.01</v>
      </c>
      <c r="N367">
        <v>1.01</v>
      </c>
      <c r="O367" t="s">
        <v>58</v>
      </c>
      <c r="P367" t="s">
        <v>58</v>
      </c>
      <c r="Q367" t="s">
        <v>258</v>
      </c>
      <c r="R367">
        <v>0</v>
      </c>
      <c r="S367">
        <v>1</v>
      </c>
      <c r="T367" t="s">
        <v>31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x14ac:dyDescent="0.3">
      <c r="A368">
        <v>339</v>
      </c>
      <c r="B368" t="s">
        <v>255</v>
      </c>
      <c r="C368" t="s">
        <v>256</v>
      </c>
      <c r="D368" t="s">
        <v>66</v>
      </c>
      <c r="E368" t="s">
        <v>32</v>
      </c>
      <c r="F368" s="3">
        <v>45657</v>
      </c>
      <c r="G368">
        <v>2024</v>
      </c>
      <c r="H368" t="s">
        <v>44</v>
      </c>
      <c r="I368" t="s">
        <v>53</v>
      </c>
      <c r="K368">
        <v>30</v>
      </c>
      <c r="L368">
        <v>30.3</v>
      </c>
      <c r="M368">
        <v>1.01</v>
      </c>
      <c r="N368">
        <v>1.01</v>
      </c>
      <c r="O368" t="s">
        <v>58</v>
      </c>
      <c r="P368" t="s">
        <v>58</v>
      </c>
      <c r="Q368" t="s">
        <v>258</v>
      </c>
      <c r="R368">
        <v>0</v>
      </c>
      <c r="S368">
        <v>1</v>
      </c>
      <c r="T368" t="s">
        <v>443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x14ac:dyDescent="0.3">
      <c r="A369">
        <v>339</v>
      </c>
      <c r="B369" t="s">
        <v>255</v>
      </c>
      <c r="C369" t="s">
        <v>256</v>
      </c>
      <c r="D369" t="s">
        <v>66</v>
      </c>
      <c r="E369" t="s">
        <v>32</v>
      </c>
      <c r="F369" s="3">
        <v>45838</v>
      </c>
      <c r="G369">
        <v>2025</v>
      </c>
      <c r="H369" t="s">
        <v>33</v>
      </c>
      <c r="I369" t="s">
        <v>404</v>
      </c>
      <c r="J369">
        <v>1</v>
      </c>
      <c r="K369">
        <v>30</v>
      </c>
      <c r="L369">
        <v>33.299999999999997</v>
      </c>
      <c r="M369">
        <v>1.1100000000000001</v>
      </c>
      <c r="N369">
        <v>1.1100000000000001</v>
      </c>
      <c r="O369" t="s">
        <v>58</v>
      </c>
      <c r="P369" t="s">
        <v>58</v>
      </c>
      <c r="Q369" t="s">
        <v>407</v>
      </c>
      <c r="R369">
        <v>0</v>
      </c>
      <c r="S369">
        <v>1</v>
      </c>
      <c r="T369" t="s">
        <v>31</v>
      </c>
      <c r="U369" t="s">
        <v>37</v>
      </c>
      <c r="V369" t="s">
        <v>256</v>
      </c>
      <c r="W369" t="s">
        <v>73</v>
      </c>
      <c r="X369" t="s">
        <v>74</v>
      </c>
      <c r="Y369" t="s">
        <v>75</v>
      </c>
      <c r="Z369" t="s">
        <v>86</v>
      </c>
      <c r="AA369" t="s">
        <v>87</v>
      </c>
      <c r="AB369" t="s">
        <v>43</v>
      </c>
      <c r="AC369" t="s">
        <v>66</v>
      </c>
    </row>
    <row r="370" spans="1:29" x14ac:dyDescent="0.3">
      <c r="A370">
        <v>339</v>
      </c>
      <c r="B370" t="s">
        <v>255</v>
      </c>
      <c r="C370" t="s">
        <v>256</v>
      </c>
      <c r="D370" t="s">
        <v>66</v>
      </c>
      <c r="E370" t="s">
        <v>32</v>
      </c>
      <c r="F370" s="3">
        <v>45838</v>
      </c>
      <c r="G370">
        <v>2025</v>
      </c>
      <c r="H370" t="s">
        <v>33</v>
      </c>
      <c r="I370" t="s">
        <v>404</v>
      </c>
      <c r="K370">
        <v>30</v>
      </c>
      <c r="L370">
        <v>33.299999999999997</v>
      </c>
      <c r="M370">
        <v>1.1100000000000001</v>
      </c>
      <c r="N370">
        <v>1.1100000000000001</v>
      </c>
      <c r="O370" t="s">
        <v>58</v>
      </c>
      <c r="P370" t="s">
        <v>58</v>
      </c>
      <c r="Q370" t="s">
        <v>407</v>
      </c>
      <c r="R370">
        <v>0</v>
      </c>
      <c r="S370">
        <v>1</v>
      </c>
      <c r="T370" t="s">
        <v>443</v>
      </c>
      <c r="U370" t="s">
        <v>37</v>
      </c>
      <c r="V370" t="s">
        <v>256</v>
      </c>
      <c r="W370" t="s">
        <v>73</v>
      </c>
      <c r="X370" t="s">
        <v>74</v>
      </c>
      <c r="Y370" t="s">
        <v>75</v>
      </c>
      <c r="Z370" t="s">
        <v>86</v>
      </c>
      <c r="AA370" t="s">
        <v>87</v>
      </c>
      <c r="AB370" t="s">
        <v>43</v>
      </c>
      <c r="AC370" t="s">
        <v>66</v>
      </c>
    </row>
    <row r="371" spans="1:29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44561</v>
      </c>
      <c r="G371">
        <f>YEAR(F371)</f>
        <v>2021</v>
      </c>
      <c r="H371" t="str">
        <f>PROPER(TEXT(F371,"mmmm"))</f>
        <v>Diciembre</v>
      </c>
      <c r="I371" t="str">
        <f>IF(H371="Junio",G371&amp;"-1",G371&amp;"-2")</f>
        <v>2021-2</v>
      </c>
      <c r="L371">
        <v>4.4000000000000004</v>
      </c>
      <c r="O371" t="s">
        <v>245</v>
      </c>
      <c r="P371" t="s">
        <v>245</v>
      </c>
      <c r="Q371" t="str">
        <f>A371&amp;"-"&amp;TEXT(F371,"yyyy-mm-dd")</f>
        <v>361-2021-12-31</v>
      </c>
      <c r="R371">
        <v>1</v>
      </c>
      <c r="S371">
        <v>2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45291</v>
      </c>
      <c r="G372">
        <v>2023</v>
      </c>
      <c r="H372" t="s">
        <v>44</v>
      </c>
      <c r="I372" t="s">
        <v>49</v>
      </c>
      <c r="J372">
        <v>2</v>
      </c>
      <c r="K372">
        <v>4.5</v>
      </c>
      <c r="L372">
        <v>4.5599999999999996</v>
      </c>
      <c r="M372">
        <v>1.013333333333333</v>
      </c>
      <c r="N372">
        <v>1.013333333333333</v>
      </c>
      <c r="O372" t="s">
        <v>245</v>
      </c>
      <c r="P372" t="s">
        <v>245</v>
      </c>
      <c r="Q372" t="s">
        <v>268</v>
      </c>
      <c r="R372">
        <v>2</v>
      </c>
      <c r="S372">
        <v>2</v>
      </c>
      <c r="T372" t="s">
        <v>31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K373">
        <v>4.5</v>
      </c>
      <c r="L373">
        <v>4.5599999999999996</v>
      </c>
      <c r="M373">
        <v>1.013333333333333</v>
      </c>
      <c r="N373">
        <v>1.013333333333333</v>
      </c>
      <c r="O373" t="s">
        <v>245</v>
      </c>
      <c r="P373" t="s">
        <v>245</v>
      </c>
      <c r="Q373" t="s">
        <v>268</v>
      </c>
      <c r="R373">
        <v>2</v>
      </c>
      <c r="S373">
        <v>2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x14ac:dyDescent="0.3">
      <c r="A374">
        <v>361</v>
      </c>
      <c r="B374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J374">
        <v>2</v>
      </c>
      <c r="K374">
        <v>4.5999999999999996</v>
      </c>
      <c r="L374">
        <v>4.78</v>
      </c>
      <c r="M374">
        <f>L374/K374</f>
        <v>1.0391304347826089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x14ac:dyDescent="0.3">
      <c r="A375">
        <v>361</v>
      </c>
      <c r="B375" s="6" t="s">
        <v>479</v>
      </c>
      <c r="C375" t="s">
        <v>267</v>
      </c>
      <c r="D375" t="s">
        <v>66</v>
      </c>
      <c r="E375" t="s">
        <v>32</v>
      </c>
      <c r="F375" s="3">
        <v>46022</v>
      </c>
      <c r="G375">
        <v>2025</v>
      </c>
      <c r="H375" t="s">
        <v>44</v>
      </c>
      <c r="I375" t="s">
        <v>465</v>
      </c>
      <c r="K375">
        <v>4.5</v>
      </c>
      <c r="L375">
        <v>4.78</v>
      </c>
      <c r="M375">
        <f>L375/K375</f>
        <v>1.0622222222222222</v>
      </c>
      <c r="N375">
        <v>1.013333333333333</v>
      </c>
      <c r="O375" t="s">
        <v>245</v>
      </c>
      <c r="P375" t="s">
        <v>245</v>
      </c>
      <c r="Q375" t="s">
        <v>461</v>
      </c>
      <c r="R375">
        <v>1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269</v>
      </c>
      <c r="Z375" t="s">
        <v>41</v>
      </c>
      <c r="AA375" t="s">
        <v>124</v>
      </c>
      <c r="AB375" t="s">
        <v>43</v>
      </c>
      <c r="AC375" t="s">
        <v>66</v>
      </c>
    </row>
    <row r="376" spans="1:29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45107</v>
      </c>
      <c r="G376">
        <v>2023</v>
      </c>
      <c r="H376" t="s">
        <v>33</v>
      </c>
      <c r="I376" t="s">
        <v>47</v>
      </c>
      <c r="J376">
        <v>1</v>
      </c>
      <c r="K376">
        <v>0</v>
      </c>
      <c r="L376">
        <v>30173</v>
      </c>
      <c r="M376">
        <v>0</v>
      </c>
      <c r="N376">
        <v>0</v>
      </c>
      <c r="O376" t="s">
        <v>131</v>
      </c>
      <c r="P376" t="s">
        <v>35</v>
      </c>
      <c r="Q376" t="s">
        <v>272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J377">
        <v>2</v>
      </c>
      <c r="K377">
        <v>0</v>
      </c>
      <c r="L377">
        <v>48277</v>
      </c>
      <c r="M377">
        <v>0</v>
      </c>
      <c r="N377">
        <v>0</v>
      </c>
      <c r="O377" t="s">
        <v>131</v>
      </c>
      <c r="P377" t="s">
        <v>35</v>
      </c>
      <c r="Q377" t="s">
        <v>276</v>
      </c>
      <c r="R377">
        <v>0</v>
      </c>
      <c r="S377">
        <v>0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45291</v>
      </c>
      <c r="G378">
        <v>2023</v>
      </c>
      <c r="H378" t="s">
        <v>44</v>
      </c>
      <c r="I378" t="s">
        <v>49</v>
      </c>
      <c r="L378">
        <v>78450</v>
      </c>
      <c r="O378" t="s">
        <v>284</v>
      </c>
      <c r="P378" t="s">
        <v>35</v>
      </c>
      <c r="Q378" t="s">
        <v>276</v>
      </c>
      <c r="R378">
        <v>0</v>
      </c>
      <c r="S378">
        <v>0</v>
      </c>
      <c r="T378" t="s">
        <v>443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45473</v>
      </c>
      <c r="G379">
        <v>2024</v>
      </c>
      <c r="H379" t="s">
        <v>33</v>
      </c>
      <c r="I379" t="s">
        <v>51</v>
      </c>
      <c r="J379">
        <v>1</v>
      </c>
      <c r="K379">
        <v>31694</v>
      </c>
      <c r="L379">
        <v>42069</v>
      </c>
      <c r="M379">
        <v>1.013513513513514</v>
      </c>
      <c r="N379">
        <v>1.013513513513514</v>
      </c>
      <c r="O379" t="s">
        <v>35</v>
      </c>
      <c r="P379" t="s">
        <v>35</v>
      </c>
      <c r="Q379" t="s">
        <v>277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J380">
        <v>2</v>
      </c>
      <c r="K380">
        <v>47541</v>
      </c>
      <c r="L380">
        <v>46635</v>
      </c>
      <c r="M380">
        <v>0.98094276519214996</v>
      </c>
      <c r="N380">
        <v>0.98094276519214996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45657</v>
      </c>
      <c r="G381">
        <v>2024</v>
      </c>
      <c r="H381" t="s">
        <v>44</v>
      </c>
      <c r="I381" t="s">
        <v>53</v>
      </c>
      <c r="K381">
        <v>79235</v>
      </c>
      <c r="L381">
        <v>88704</v>
      </c>
      <c r="M381">
        <v>1.119505269136114</v>
      </c>
      <c r="N381">
        <v>1.119505269136114</v>
      </c>
      <c r="O381" t="s">
        <v>35</v>
      </c>
      <c r="P381" t="s">
        <v>35</v>
      </c>
      <c r="Q381" t="s">
        <v>278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J382">
        <v>1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x14ac:dyDescent="0.3">
      <c r="A383">
        <v>364</v>
      </c>
      <c r="B383" t="s">
        <v>271</v>
      </c>
      <c r="C383" t="s">
        <v>267</v>
      </c>
      <c r="D383" t="s">
        <v>31</v>
      </c>
      <c r="E383" t="s">
        <v>171</v>
      </c>
      <c r="F383" s="3">
        <v>45838</v>
      </c>
      <c r="G383">
        <v>2025</v>
      </c>
      <c r="H383" t="s">
        <v>33</v>
      </c>
      <c r="I383" t="s">
        <v>404</v>
      </c>
      <c r="K383">
        <v>33279</v>
      </c>
      <c r="L383">
        <v>131244</v>
      </c>
      <c r="M383">
        <v>1.3</v>
      </c>
      <c r="N383">
        <v>3.9437483097448842</v>
      </c>
      <c r="O383" t="s">
        <v>35</v>
      </c>
      <c r="P383" t="s">
        <v>35</v>
      </c>
      <c r="Q383" t="s">
        <v>424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274</v>
      </c>
      <c r="AA383" t="s">
        <v>275</v>
      </c>
      <c r="AB383" t="s">
        <v>78</v>
      </c>
      <c r="AC383" t="s">
        <v>66</v>
      </c>
    </row>
    <row r="384" spans="1:29" x14ac:dyDescent="0.3">
      <c r="A384">
        <v>367</v>
      </c>
      <c r="B384" t="s">
        <v>279</v>
      </c>
      <c r="C384" t="s">
        <v>267</v>
      </c>
      <c r="D384" t="s">
        <v>66</v>
      </c>
      <c r="E384" t="s">
        <v>32</v>
      </c>
      <c r="F384" s="3">
        <v>44926</v>
      </c>
      <c r="G384">
        <v>2022</v>
      </c>
      <c r="H384" t="s">
        <v>44</v>
      </c>
      <c r="I384" t="s">
        <v>45</v>
      </c>
      <c r="K384">
        <v>5.7</v>
      </c>
      <c r="L384">
        <v>6.7</v>
      </c>
      <c r="M384">
        <v>1.1754385964912279</v>
      </c>
      <c r="N384">
        <v>1.1754385964912279</v>
      </c>
      <c r="O384" t="s">
        <v>58</v>
      </c>
      <c r="P384" t="s">
        <v>58</v>
      </c>
      <c r="Q384" t="s">
        <v>450</v>
      </c>
      <c r="R384">
        <v>1</v>
      </c>
      <c r="S384">
        <v>1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x14ac:dyDescent="0.3">
      <c r="A385">
        <v>367</v>
      </c>
      <c r="B385" t="s">
        <v>279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J385">
        <v>2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2</v>
      </c>
      <c r="S385">
        <v>2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x14ac:dyDescent="0.3">
      <c r="A386">
        <v>367</v>
      </c>
      <c r="B386" t="s">
        <v>279</v>
      </c>
      <c r="C386" t="s">
        <v>267</v>
      </c>
      <c r="D386" t="s">
        <v>66</v>
      </c>
      <c r="E386" t="s">
        <v>32</v>
      </c>
      <c r="F386" s="3">
        <v>45291</v>
      </c>
      <c r="G386">
        <v>2023</v>
      </c>
      <c r="H386" t="s">
        <v>44</v>
      </c>
      <c r="I386" t="s">
        <v>49</v>
      </c>
      <c r="K386">
        <v>5</v>
      </c>
      <c r="L386">
        <v>6.25</v>
      </c>
      <c r="M386">
        <v>1.25</v>
      </c>
      <c r="N386">
        <v>1.25</v>
      </c>
      <c r="O386" t="s">
        <v>58</v>
      </c>
      <c r="P386" t="s">
        <v>58</v>
      </c>
      <c r="Q386" t="s">
        <v>280</v>
      </c>
      <c r="R386">
        <v>0</v>
      </c>
      <c r="S386">
        <v>2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x14ac:dyDescent="0.3">
      <c r="A387">
        <v>367</v>
      </c>
      <c r="B387" t="s">
        <v>279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J387">
        <v>2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2</v>
      </c>
      <c r="S387">
        <v>2</v>
      </c>
      <c r="T387" t="s">
        <v>31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x14ac:dyDescent="0.3">
      <c r="A388">
        <v>367</v>
      </c>
      <c r="B388" t="s">
        <v>279</v>
      </c>
      <c r="C388" t="s">
        <v>267</v>
      </c>
      <c r="D388" t="s">
        <v>66</v>
      </c>
      <c r="E388" t="s">
        <v>32</v>
      </c>
      <c r="F388" s="3">
        <v>45657</v>
      </c>
      <c r="G388">
        <v>2024</v>
      </c>
      <c r="H388" t="s">
        <v>44</v>
      </c>
      <c r="I388" t="s">
        <v>53</v>
      </c>
      <c r="K388">
        <v>5</v>
      </c>
      <c r="L388">
        <v>4.96</v>
      </c>
      <c r="M388">
        <v>0.99199999999999999</v>
      </c>
      <c r="N388">
        <v>0.99199999999999999</v>
      </c>
      <c r="O388" t="s">
        <v>58</v>
      </c>
      <c r="P388" t="s">
        <v>58</v>
      </c>
      <c r="Q388" t="s">
        <v>282</v>
      </c>
      <c r="R388">
        <v>0</v>
      </c>
      <c r="S388">
        <v>2</v>
      </c>
      <c r="T388" t="s">
        <v>443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x14ac:dyDescent="0.3">
      <c r="A389">
        <v>367</v>
      </c>
      <c r="B389" t="s">
        <v>279</v>
      </c>
      <c r="C389" t="s">
        <v>267</v>
      </c>
      <c r="D389" t="s">
        <v>66</v>
      </c>
      <c r="E389" t="s">
        <v>32</v>
      </c>
      <c r="F389" s="3">
        <v>45838</v>
      </c>
      <c r="G389">
        <v>2025</v>
      </c>
      <c r="H389" t="s">
        <v>33</v>
      </c>
      <c r="I389" t="s">
        <v>404</v>
      </c>
      <c r="K389">
        <v>5</v>
      </c>
      <c r="L389">
        <v>4.96</v>
      </c>
      <c r="M389">
        <v>0.99199999999999999</v>
      </c>
      <c r="N389">
        <v>0.99199999999999999</v>
      </c>
      <c r="O389" t="s">
        <v>58</v>
      </c>
      <c r="P389" t="s">
        <v>58</v>
      </c>
      <c r="Q389" t="s">
        <v>459</v>
      </c>
      <c r="R389">
        <v>1</v>
      </c>
      <c r="S389">
        <v>2</v>
      </c>
      <c r="T389" t="s">
        <v>443</v>
      </c>
      <c r="U389" t="s">
        <v>37</v>
      </c>
      <c r="V389" t="s">
        <v>267</v>
      </c>
      <c r="W389" t="s">
        <v>145</v>
      </c>
      <c r="X389" t="s">
        <v>179</v>
      </c>
      <c r="Y389" t="s">
        <v>281</v>
      </c>
      <c r="Z389" t="s">
        <v>41</v>
      </c>
      <c r="AA389" t="s">
        <v>42</v>
      </c>
      <c r="AB389" t="s">
        <v>43</v>
      </c>
      <c r="AC389" t="s">
        <v>66</v>
      </c>
    </row>
    <row r="390" spans="1:29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45107</v>
      </c>
      <c r="G390">
        <v>2023</v>
      </c>
      <c r="H390" t="s">
        <v>33</v>
      </c>
      <c r="I390" t="s">
        <v>47</v>
      </c>
      <c r="J390">
        <v>1</v>
      </c>
      <c r="K390">
        <v>0</v>
      </c>
      <c r="L390">
        <v>78</v>
      </c>
      <c r="O390" t="s">
        <v>284</v>
      </c>
      <c r="P390" t="s">
        <v>35</v>
      </c>
      <c r="Q390" t="s">
        <v>285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J391">
        <v>2</v>
      </c>
      <c r="K391">
        <v>0</v>
      </c>
      <c r="L391">
        <v>96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31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45291</v>
      </c>
      <c r="G392">
        <v>2023</v>
      </c>
      <c r="H392" t="s">
        <v>44</v>
      </c>
      <c r="I392" t="s">
        <v>49</v>
      </c>
      <c r="L392">
        <v>174</v>
      </c>
      <c r="O392" t="s">
        <v>284</v>
      </c>
      <c r="P392" t="s">
        <v>35</v>
      </c>
      <c r="Q392" t="s">
        <v>286</v>
      </c>
      <c r="R392">
        <v>0</v>
      </c>
      <c r="S392">
        <v>0</v>
      </c>
      <c r="T392" t="s">
        <v>443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45473</v>
      </c>
      <c r="G393">
        <v>2024</v>
      </c>
      <c r="H393" t="s">
        <v>33</v>
      </c>
      <c r="I393" t="s">
        <v>51</v>
      </c>
      <c r="J393">
        <v>1</v>
      </c>
      <c r="K393">
        <v>80</v>
      </c>
      <c r="L393">
        <v>61</v>
      </c>
      <c r="M393">
        <v>0.76249999999999996</v>
      </c>
      <c r="N393">
        <v>0.76249999999999996</v>
      </c>
      <c r="O393" t="s">
        <v>35</v>
      </c>
      <c r="P393" t="s">
        <v>35</v>
      </c>
      <c r="Q393" t="s">
        <v>287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J394">
        <v>2</v>
      </c>
      <c r="K394">
        <v>108</v>
      </c>
      <c r="L394">
        <v>77</v>
      </c>
      <c r="M394">
        <v>0.71296296296296291</v>
      </c>
      <c r="N394">
        <v>0.71296296296296291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31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45657</v>
      </c>
      <c r="G395">
        <v>2024</v>
      </c>
      <c r="H395" t="s">
        <v>44</v>
      </c>
      <c r="I395" t="s">
        <v>53</v>
      </c>
      <c r="K395">
        <v>188</v>
      </c>
      <c r="L395">
        <v>138</v>
      </c>
      <c r="M395">
        <v>0.73404255319148937</v>
      </c>
      <c r="N395">
        <v>0.73404255319148937</v>
      </c>
      <c r="O395" t="s">
        <v>35</v>
      </c>
      <c r="P395" t="s">
        <v>35</v>
      </c>
      <c r="Q395" t="s">
        <v>288</v>
      </c>
      <c r="R395">
        <v>0</v>
      </c>
      <c r="S395">
        <v>0</v>
      </c>
      <c r="T395" t="s">
        <v>443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J396">
        <v>1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31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x14ac:dyDescent="0.3">
      <c r="A397">
        <v>369</v>
      </c>
      <c r="B397" t="s">
        <v>283</v>
      </c>
      <c r="C397" t="s">
        <v>267</v>
      </c>
      <c r="D397" t="s">
        <v>31</v>
      </c>
      <c r="E397" t="s">
        <v>32</v>
      </c>
      <c r="F397" s="3">
        <v>45838</v>
      </c>
      <c r="G397">
        <v>2025</v>
      </c>
      <c r="H397" t="s">
        <v>33</v>
      </c>
      <c r="I397" t="s">
        <v>404</v>
      </c>
      <c r="K397">
        <v>81</v>
      </c>
      <c r="L397">
        <v>72</v>
      </c>
      <c r="M397">
        <v>0.88888888888888884</v>
      </c>
      <c r="N397">
        <v>0.88888888888888884</v>
      </c>
      <c r="O397" t="s">
        <v>35</v>
      </c>
      <c r="P397" t="s">
        <v>35</v>
      </c>
      <c r="Q397" t="s">
        <v>428</v>
      </c>
      <c r="R397">
        <v>0</v>
      </c>
      <c r="S397">
        <v>0</v>
      </c>
      <c r="T397" t="s">
        <v>443</v>
      </c>
      <c r="U397" t="s">
        <v>37</v>
      </c>
      <c r="V397" t="s">
        <v>267</v>
      </c>
      <c r="W397" t="s">
        <v>145</v>
      </c>
      <c r="X397" t="s">
        <v>179</v>
      </c>
      <c r="Y397" t="s">
        <v>273</v>
      </c>
      <c r="Z397" t="s">
        <v>41</v>
      </c>
      <c r="AA397" t="s">
        <v>42</v>
      </c>
      <c r="AB397" t="s">
        <v>78</v>
      </c>
      <c r="AC397" t="s">
        <v>66</v>
      </c>
    </row>
    <row r="398" spans="1:29" x14ac:dyDescent="0.3">
      <c r="A398">
        <v>376</v>
      </c>
      <c r="B398" t="s">
        <v>289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J398">
        <v>2</v>
      </c>
      <c r="K398">
        <v>16064</v>
      </c>
      <c r="L398">
        <v>24140</v>
      </c>
      <c r="M398">
        <v>1.3</v>
      </c>
      <c r="N398">
        <f>L398/K398</f>
        <v>1.5027390438247012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376</v>
      </c>
      <c r="B399" t="s">
        <v>289</v>
      </c>
      <c r="C399" t="s">
        <v>142</v>
      </c>
      <c r="D399" t="s">
        <v>31</v>
      </c>
      <c r="E399" t="s">
        <v>32</v>
      </c>
      <c r="F399" s="3">
        <v>44925</v>
      </c>
      <c r="G399">
        <v>2022</v>
      </c>
      <c r="H399" t="s">
        <v>44</v>
      </c>
      <c r="I399" t="s">
        <v>45</v>
      </c>
      <c r="K399">
        <v>16064</v>
      </c>
      <c r="L399">
        <v>24140</v>
      </c>
      <c r="M399">
        <v>1.3</v>
      </c>
      <c r="N399">
        <v>1.502739043824701</v>
      </c>
      <c r="O399" t="s">
        <v>143</v>
      </c>
      <c r="P399" t="s">
        <v>143</v>
      </c>
      <c r="Q399" t="s">
        <v>291</v>
      </c>
      <c r="R399">
        <v>0</v>
      </c>
      <c r="S399">
        <v>0</v>
      </c>
      <c r="T399" t="s">
        <v>443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376</v>
      </c>
      <c r="B400" t="s">
        <v>289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J400">
        <v>2</v>
      </c>
      <c r="K400">
        <v>26073.47270271854</v>
      </c>
      <c r="L400">
        <v>26403.087925999898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31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x14ac:dyDescent="0.3">
      <c r="A401">
        <v>376</v>
      </c>
      <c r="B401" t="s">
        <v>289</v>
      </c>
      <c r="C401" t="s">
        <v>142</v>
      </c>
      <c r="D401" t="s">
        <v>31</v>
      </c>
      <c r="E401" t="s">
        <v>32</v>
      </c>
      <c r="F401" s="3">
        <v>45291</v>
      </c>
      <c r="G401">
        <v>2023</v>
      </c>
      <c r="H401" t="s">
        <v>44</v>
      </c>
      <c r="I401" t="s">
        <v>49</v>
      </c>
      <c r="K401">
        <v>26073.47270271854</v>
      </c>
      <c r="L401">
        <v>26403.087925999949</v>
      </c>
      <c r="M401">
        <v>1.012641784507939</v>
      </c>
      <c r="N401">
        <v>1.012641784507939</v>
      </c>
      <c r="O401" t="s">
        <v>143</v>
      </c>
      <c r="P401" t="s">
        <v>143</v>
      </c>
      <c r="Q401" t="s">
        <v>293</v>
      </c>
      <c r="R401">
        <v>0</v>
      </c>
      <c r="S401">
        <v>0</v>
      </c>
      <c r="T401" t="s">
        <v>443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x14ac:dyDescent="0.3">
      <c r="A402">
        <v>376</v>
      </c>
      <c r="B402" t="s">
        <v>289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J402">
        <v>2</v>
      </c>
      <c r="K402">
        <v>27010.108280834509</v>
      </c>
      <c r="L402">
        <v>29467.922112</v>
      </c>
      <c r="M402">
        <v>1.0909960747143497</v>
      </c>
      <c r="N402">
        <v>1.0909960747143497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31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x14ac:dyDescent="0.3">
      <c r="A403">
        <v>376</v>
      </c>
      <c r="B403" t="s">
        <v>289</v>
      </c>
      <c r="C403" t="s">
        <v>142</v>
      </c>
      <c r="D403" t="s">
        <v>31</v>
      </c>
      <c r="E403" t="s">
        <v>32</v>
      </c>
      <c r="F403" s="3">
        <v>45657</v>
      </c>
      <c r="G403">
        <v>2024</v>
      </c>
      <c r="H403" t="s">
        <v>44</v>
      </c>
      <c r="I403" t="s">
        <v>53</v>
      </c>
      <c r="K403">
        <v>27010.108280834509</v>
      </c>
      <c r="L403">
        <v>29467.922112</v>
      </c>
      <c r="M403">
        <v>1.0909960747143499</v>
      </c>
      <c r="N403">
        <v>1.0909960747143499</v>
      </c>
      <c r="O403" t="s">
        <v>143</v>
      </c>
      <c r="P403" t="s">
        <v>143</v>
      </c>
      <c r="Q403" t="s">
        <v>295</v>
      </c>
      <c r="R403">
        <v>0</v>
      </c>
      <c r="S403">
        <v>0</v>
      </c>
      <c r="T403" t="s">
        <v>443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x14ac:dyDescent="0.3">
      <c r="A404">
        <v>376</v>
      </c>
      <c r="B404" t="s">
        <v>289</v>
      </c>
      <c r="C404" t="s">
        <v>142</v>
      </c>
      <c r="D404" t="s">
        <v>31</v>
      </c>
      <c r="E404" t="s">
        <v>32</v>
      </c>
      <c r="F404" s="3">
        <v>45838</v>
      </c>
      <c r="G404">
        <v>2025</v>
      </c>
      <c r="H404" t="s">
        <v>33</v>
      </c>
      <c r="I404" t="s">
        <v>404</v>
      </c>
      <c r="J404">
        <v>1</v>
      </c>
      <c r="K404">
        <v>18705.796225999999</v>
      </c>
      <c r="L404">
        <v>22048.226769000001</v>
      </c>
      <c r="M404">
        <v>1.178684216518632</v>
      </c>
      <c r="N404">
        <v>1.178684216518632</v>
      </c>
      <c r="O404" t="s">
        <v>143</v>
      </c>
      <c r="P404" t="s">
        <v>143</v>
      </c>
      <c r="Q404" t="s">
        <v>425</v>
      </c>
      <c r="R404">
        <v>0</v>
      </c>
      <c r="S404">
        <v>0</v>
      </c>
      <c r="T404" t="s">
        <v>31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376</v>
      </c>
      <c r="B405" t="s">
        <v>289</v>
      </c>
      <c r="C405" t="s">
        <v>142</v>
      </c>
      <c r="D405" t="s">
        <v>31</v>
      </c>
      <c r="E405" t="s">
        <v>32</v>
      </c>
      <c r="F405" s="3">
        <v>45838</v>
      </c>
      <c r="G405">
        <v>2025</v>
      </c>
      <c r="H405" t="s">
        <v>33</v>
      </c>
      <c r="I405" t="s">
        <v>404</v>
      </c>
      <c r="K405">
        <v>32126.483745582696</v>
      </c>
      <c r="L405">
        <v>32126.483745582696</v>
      </c>
      <c r="M405">
        <v>1</v>
      </c>
      <c r="N405">
        <v>1</v>
      </c>
      <c r="O405" t="s">
        <v>143</v>
      </c>
      <c r="P405" t="s">
        <v>143</v>
      </c>
      <c r="Q405" t="s">
        <v>425</v>
      </c>
      <c r="R405">
        <v>0</v>
      </c>
      <c r="S405">
        <v>0</v>
      </c>
      <c r="T405" t="s">
        <v>443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45107</v>
      </c>
      <c r="G406">
        <v>2023</v>
      </c>
      <c r="H406" t="s">
        <v>33</v>
      </c>
      <c r="I406" t="s">
        <v>47</v>
      </c>
      <c r="J406">
        <v>1</v>
      </c>
      <c r="K406">
        <v>7200.908222</v>
      </c>
      <c r="L406">
        <v>1606.8681489999999</v>
      </c>
      <c r="M406">
        <v>1.3</v>
      </c>
      <c r="N406">
        <v>4.4813311076464686</v>
      </c>
      <c r="O406" t="s">
        <v>143</v>
      </c>
      <c r="P406" t="s">
        <v>143</v>
      </c>
      <c r="Q406" t="s">
        <v>297</v>
      </c>
      <c r="R406">
        <v>0</v>
      </c>
      <c r="S406">
        <v>0</v>
      </c>
      <c r="T406" t="s">
        <v>31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45291</v>
      </c>
      <c r="G407">
        <v>2023</v>
      </c>
      <c r="H407" t="s">
        <v>44</v>
      </c>
      <c r="I407" t="s">
        <v>49</v>
      </c>
      <c r="J407">
        <v>2</v>
      </c>
      <c r="K407">
        <v>12518.005306706251</v>
      </c>
      <c r="L407">
        <v>7607.1384189999999</v>
      </c>
      <c r="M407">
        <v>1.3</v>
      </c>
      <c r="N407">
        <v>1.6455603430904591</v>
      </c>
      <c r="O407" t="s">
        <v>143</v>
      </c>
      <c r="P407" t="s">
        <v>143</v>
      </c>
      <c r="Q407" t="s">
        <v>298</v>
      </c>
      <c r="R407">
        <v>0</v>
      </c>
      <c r="S407">
        <v>0</v>
      </c>
      <c r="T407" t="s">
        <v>31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45291</v>
      </c>
      <c r="G408">
        <v>2023</v>
      </c>
      <c r="H408" t="s">
        <v>44</v>
      </c>
      <c r="I408" t="s">
        <v>49</v>
      </c>
      <c r="K408">
        <v>12518.005306706251</v>
      </c>
      <c r="L408">
        <v>7607.138418999999</v>
      </c>
      <c r="M408">
        <v>1.3</v>
      </c>
      <c r="N408">
        <v>1.64556034309046</v>
      </c>
      <c r="O408" t="s">
        <v>143</v>
      </c>
      <c r="P408" t="s">
        <v>143</v>
      </c>
      <c r="Q408" t="s">
        <v>298</v>
      </c>
      <c r="R408">
        <v>0</v>
      </c>
      <c r="S408">
        <v>0</v>
      </c>
      <c r="T408" t="s">
        <v>443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45473</v>
      </c>
      <c r="G409">
        <v>2024</v>
      </c>
      <c r="H409" t="s">
        <v>33</v>
      </c>
      <c r="I409" t="s">
        <v>51</v>
      </c>
      <c r="J409">
        <v>1</v>
      </c>
      <c r="K409">
        <v>4468.4024010000003</v>
      </c>
      <c r="L409">
        <v>2155.4775049999998</v>
      </c>
      <c r="M409">
        <v>1.3</v>
      </c>
      <c r="N409">
        <v>2.0730452489690911</v>
      </c>
      <c r="O409" t="s">
        <v>143</v>
      </c>
      <c r="P409" t="s">
        <v>143</v>
      </c>
      <c r="Q409" t="s">
        <v>299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377</v>
      </c>
      <c r="B410" t="s">
        <v>296</v>
      </c>
      <c r="C410" t="s">
        <v>142</v>
      </c>
      <c r="D410" t="s">
        <v>31</v>
      </c>
      <c r="E410" t="s">
        <v>32</v>
      </c>
      <c r="F410" s="3">
        <v>45657</v>
      </c>
      <c r="G410">
        <v>2024</v>
      </c>
      <c r="H410" t="s">
        <v>44</v>
      </c>
      <c r="I410" t="s">
        <v>53</v>
      </c>
      <c r="J410">
        <v>2</v>
      </c>
      <c r="K410">
        <v>9557.1950106811255</v>
      </c>
      <c r="L410">
        <v>11947.626618</v>
      </c>
      <c r="M410">
        <v>1.2501185342192269</v>
      </c>
      <c r="N410">
        <v>1.2501185342192269</v>
      </c>
      <c r="O410" t="s">
        <v>143</v>
      </c>
      <c r="P410" t="s">
        <v>143</v>
      </c>
      <c r="Q410" t="s">
        <v>300</v>
      </c>
      <c r="R410">
        <v>0</v>
      </c>
      <c r="S410">
        <v>0</v>
      </c>
      <c r="T410" t="s">
        <v>31</v>
      </c>
      <c r="U410" t="s">
        <v>37</v>
      </c>
      <c r="V410" t="s">
        <v>142</v>
      </c>
      <c r="W410" t="s">
        <v>145</v>
      </c>
      <c r="X410" t="s">
        <v>146</v>
      </c>
      <c r="Y410" t="s">
        <v>147</v>
      </c>
      <c r="Z410" t="s">
        <v>63</v>
      </c>
      <c r="AA410" t="s">
        <v>148</v>
      </c>
      <c r="AB410" t="s">
        <v>78</v>
      </c>
      <c r="AC410" t="s">
        <v>66</v>
      </c>
    </row>
    <row r="411" spans="1:29" x14ac:dyDescent="0.3">
      <c r="A411">
        <v>377</v>
      </c>
      <c r="B411" t="s">
        <v>296</v>
      </c>
      <c r="C411" t="s">
        <v>142</v>
      </c>
      <c r="D411" t="s">
        <v>31</v>
      </c>
      <c r="E411" t="s">
        <v>32</v>
      </c>
      <c r="F411" s="3">
        <v>45657</v>
      </c>
      <c r="G411">
        <v>2024</v>
      </c>
      <c r="H411" t="s">
        <v>44</v>
      </c>
      <c r="I411" t="s">
        <v>53</v>
      </c>
      <c r="K411">
        <v>9557.1950106811255</v>
      </c>
      <c r="L411">
        <v>11947.626618</v>
      </c>
      <c r="M411">
        <v>1.2501185342192269</v>
      </c>
      <c r="N411">
        <v>1.2501185342192269</v>
      </c>
      <c r="O411" t="s">
        <v>143</v>
      </c>
      <c r="P411" t="s">
        <v>143</v>
      </c>
      <c r="Q411" t="s">
        <v>300</v>
      </c>
      <c r="R411">
        <v>0</v>
      </c>
      <c r="S411">
        <v>0</v>
      </c>
      <c r="T411" t="s">
        <v>443</v>
      </c>
      <c r="U411" t="s">
        <v>37</v>
      </c>
      <c r="V411" t="s">
        <v>142</v>
      </c>
      <c r="W411" t="s">
        <v>145</v>
      </c>
      <c r="X411" t="s">
        <v>146</v>
      </c>
      <c r="Y411" t="s">
        <v>147</v>
      </c>
      <c r="Z411" t="s">
        <v>63</v>
      </c>
      <c r="AA411" t="s">
        <v>148</v>
      </c>
      <c r="AB411" t="s">
        <v>78</v>
      </c>
      <c r="AC411" t="s">
        <v>66</v>
      </c>
    </row>
    <row r="412" spans="1:29" x14ac:dyDescent="0.3">
      <c r="A412">
        <v>377</v>
      </c>
      <c r="B412" t="s">
        <v>296</v>
      </c>
      <c r="C412" t="s">
        <v>142</v>
      </c>
      <c r="D412" t="s">
        <v>31</v>
      </c>
      <c r="E412" t="s">
        <v>32</v>
      </c>
      <c r="F412" s="3">
        <v>45838</v>
      </c>
      <c r="G412">
        <v>2025</v>
      </c>
      <c r="H412" t="s">
        <v>33</v>
      </c>
      <c r="I412" t="s">
        <v>404</v>
      </c>
      <c r="K412">
        <v>9557.1950106811255</v>
      </c>
      <c r="L412">
        <v>11947.626618</v>
      </c>
      <c r="M412">
        <v>1.2501185342192269</v>
      </c>
      <c r="N412">
        <v>1.2501185342192269</v>
      </c>
      <c r="O412" t="s">
        <v>143</v>
      </c>
      <c r="P412" t="s">
        <v>143</v>
      </c>
      <c r="Q412" t="s">
        <v>458</v>
      </c>
      <c r="R412">
        <v>0</v>
      </c>
      <c r="S412">
        <v>0</v>
      </c>
      <c r="T412" t="s">
        <v>443</v>
      </c>
      <c r="U412" t="s">
        <v>37</v>
      </c>
      <c r="V412" t="s">
        <v>142</v>
      </c>
      <c r="W412" t="s">
        <v>145</v>
      </c>
      <c r="X412" t="s">
        <v>146</v>
      </c>
      <c r="Y412" t="s">
        <v>147</v>
      </c>
      <c r="Z412" t="s">
        <v>63</v>
      </c>
      <c r="AA412" t="s">
        <v>148</v>
      </c>
      <c r="AB412" t="s">
        <v>78</v>
      </c>
      <c r="AC412" t="s">
        <v>66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43281</v>
      </c>
      <c r="G413">
        <f t="shared" ref="G413:G424" si="28">YEAR(F413)</f>
        <v>2018</v>
      </c>
      <c r="H413" t="str">
        <f t="shared" ref="H413:H424" si="29">PROPER(TEXT(F413,"mmmm"))</f>
        <v>Junio</v>
      </c>
      <c r="I413" t="str">
        <f t="shared" ref="I413:I424" si="30">IF(H413="Junio",G413&amp;"-1",G413&amp;"-2")</f>
        <v>2018-1</v>
      </c>
      <c r="J413">
        <v>1</v>
      </c>
      <c r="L413" s="4">
        <v>11960</v>
      </c>
      <c r="O413" t="s">
        <v>35</v>
      </c>
      <c r="P413" t="s">
        <v>35</v>
      </c>
      <c r="Q413" t="str">
        <f t="shared" ref="Q413:Q424" si="31">A413&amp;"-"&amp;TEXT(F413,"yyyy-mm-dd")</f>
        <v>379-2018-06-30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43465</v>
      </c>
      <c r="G414">
        <f t="shared" si="28"/>
        <v>2018</v>
      </c>
      <c r="H414" t="str">
        <f t="shared" si="29"/>
        <v>Diciembre</v>
      </c>
      <c r="I414" t="str">
        <f t="shared" si="30"/>
        <v>2018-2</v>
      </c>
      <c r="L414">
        <v>22872</v>
      </c>
      <c r="O414" t="s">
        <v>35</v>
      </c>
      <c r="P414" t="s">
        <v>35</v>
      </c>
      <c r="Q414" t="str">
        <f t="shared" si="31"/>
        <v>379-2018-12-31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43465</v>
      </c>
      <c r="G415">
        <f t="shared" si="28"/>
        <v>2018</v>
      </c>
      <c r="H415" t="str">
        <f t="shared" si="29"/>
        <v>Diciembre</v>
      </c>
      <c r="I415" t="str">
        <f t="shared" si="30"/>
        <v>2018-2</v>
      </c>
      <c r="J415">
        <v>2</v>
      </c>
      <c r="L415" s="4">
        <v>10912</v>
      </c>
      <c r="O415" t="s">
        <v>35</v>
      </c>
      <c r="P415" t="s">
        <v>35</v>
      </c>
      <c r="Q415" t="str">
        <f t="shared" si="31"/>
        <v>379-2018-12-31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43646</v>
      </c>
      <c r="G416">
        <f t="shared" si="28"/>
        <v>2019</v>
      </c>
      <c r="H416" t="str">
        <f t="shared" si="29"/>
        <v>Junio</v>
      </c>
      <c r="I416" t="str">
        <f t="shared" si="30"/>
        <v>2019-1</v>
      </c>
      <c r="J416">
        <v>1</v>
      </c>
      <c r="L416" s="4">
        <v>12993</v>
      </c>
      <c r="O416" t="s">
        <v>35</v>
      </c>
      <c r="P416" t="s">
        <v>35</v>
      </c>
      <c r="Q416" t="str">
        <f t="shared" si="31"/>
        <v>379-2019-06-30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43830</v>
      </c>
      <c r="G417">
        <f t="shared" si="28"/>
        <v>2019</v>
      </c>
      <c r="H417" t="str">
        <f t="shared" si="29"/>
        <v>Diciembre</v>
      </c>
      <c r="I417" t="str">
        <f t="shared" si="30"/>
        <v>2019-2</v>
      </c>
      <c r="J417">
        <v>2</v>
      </c>
      <c r="L417" s="4">
        <v>9616</v>
      </c>
      <c r="O417" t="s">
        <v>35</v>
      </c>
      <c r="P417" t="s">
        <v>35</v>
      </c>
      <c r="Q417" t="str">
        <f t="shared" si="31"/>
        <v>379-2019-12-31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43830</v>
      </c>
      <c r="G418">
        <f t="shared" si="28"/>
        <v>2019</v>
      </c>
      <c r="H418" t="str">
        <f t="shared" si="29"/>
        <v>Diciembre</v>
      </c>
      <c r="I418" t="str">
        <f t="shared" si="30"/>
        <v>2019-2</v>
      </c>
      <c r="L418">
        <v>22609</v>
      </c>
      <c r="O418" t="s">
        <v>35</v>
      </c>
      <c r="P418" t="s">
        <v>35</v>
      </c>
      <c r="Q418" t="str">
        <f t="shared" si="31"/>
        <v>379-2019-12-31</v>
      </c>
      <c r="R418">
        <v>0</v>
      </c>
      <c r="S418">
        <v>0</v>
      </c>
      <c r="T418" t="s">
        <v>443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44012</v>
      </c>
      <c r="G419">
        <f t="shared" si="28"/>
        <v>2020</v>
      </c>
      <c r="H419" t="str">
        <f t="shared" si="29"/>
        <v>Junio</v>
      </c>
      <c r="I419" t="str">
        <f t="shared" si="30"/>
        <v>2020-1</v>
      </c>
      <c r="J419">
        <v>1</v>
      </c>
      <c r="L419" s="4">
        <v>11830</v>
      </c>
      <c r="O419" t="s">
        <v>35</v>
      </c>
      <c r="P419" t="s">
        <v>35</v>
      </c>
      <c r="Q419" t="str">
        <f t="shared" si="31"/>
        <v>379-2020-06-30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44196</v>
      </c>
      <c r="G420">
        <f t="shared" si="28"/>
        <v>2020</v>
      </c>
      <c r="H420" t="str">
        <f t="shared" si="29"/>
        <v>Diciembre</v>
      </c>
      <c r="I420" t="str">
        <f t="shared" si="30"/>
        <v>2020-2</v>
      </c>
      <c r="J420">
        <v>2</v>
      </c>
      <c r="L420" s="4">
        <v>10182</v>
      </c>
      <c r="O420" t="s">
        <v>35</v>
      </c>
      <c r="P420" t="s">
        <v>35</v>
      </c>
      <c r="Q420" t="str">
        <f t="shared" si="31"/>
        <v>379-2020-12-31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44196</v>
      </c>
      <c r="G421">
        <f t="shared" si="28"/>
        <v>2020</v>
      </c>
      <c r="H421" t="str">
        <f t="shared" si="29"/>
        <v>Diciembre</v>
      </c>
      <c r="I421" t="str">
        <f t="shared" si="30"/>
        <v>2020-2</v>
      </c>
      <c r="L421">
        <v>22012</v>
      </c>
      <c r="O421" t="s">
        <v>35</v>
      </c>
      <c r="P421" t="s">
        <v>35</v>
      </c>
      <c r="Q421" t="str">
        <f t="shared" si="31"/>
        <v>379-2020-12-31</v>
      </c>
      <c r="R421">
        <v>0</v>
      </c>
      <c r="S421">
        <v>0</v>
      </c>
      <c r="T421" t="s">
        <v>443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44377</v>
      </c>
      <c r="G422">
        <f t="shared" si="28"/>
        <v>2021</v>
      </c>
      <c r="H422" t="str">
        <f t="shared" si="29"/>
        <v>Junio</v>
      </c>
      <c r="I422" t="str">
        <f t="shared" si="30"/>
        <v>2021-1</v>
      </c>
      <c r="J422">
        <v>1</v>
      </c>
      <c r="L422" s="4">
        <v>10300</v>
      </c>
      <c r="O422" t="s">
        <v>35</v>
      </c>
      <c r="P422" t="s">
        <v>35</v>
      </c>
      <c r="Q422" t="str">
        <f t="shared" si="31"/>
        <v>379-2021-06-30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44561</v>
      </c>
      <c r="G423">
        <f t="shared" si="28"/>
        <v>2021</v>
      </c>
      <c r="H423" t="str">
        <f t="shared" si="29"/>
        <v>Diciembre</v>
      </c>
      <c r="I423" t="str">
        <f t="shared" si="30"/>
        <v>2021-2</v>
      </c>
      <c r="J423">
        <v>2</v>
      </c>
      <c r="L423" s="4">
        <v>8229</v>
      </c>
      <c r="O423" t="s">
        <v>35</v>
      </c>
      <c r="P423" t="s">
        <v>35</v>
      </c>
      <c r="Q423" t="str">
        <f t="shared" si="31"/>
        <v>379-2021-12-31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44561</v>
      </c>
      <c r="G424">
        <f t="shared" si="28"/>
        <v>2021</v>
      </c>
      <c r="H424" t="str">
        <f t="shared" si="29"/>
        <v>Diciembre</v>
      </c>
      <c r="I424" t="str">
        <f t="shared" si="30"/>
        <v>2021-2</v>
      </c>
      <c r="L424">
        <v>18529</v>
      </c>
      <c r="O424" t="s">
        <v>35</v>
      </c>
      <c r="P424" t="s">
        <v>35</v>
      </c>
      <c r="Q424" t="str">
        <f t="shared" si="31"/>
        <v>379-2021-12-31</v>
      </c>
      <c r="R424">
        <v>0</v>
      </c>
      <c r="S424">
        <v>0</v>
      </c>
      <c r="T424" t="s">
        <v>443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44742</v>
      </c>
      <c r="G425">
        <v>2022</v>
      </c>
      <c r="H425" t="s">
        <v>33</v>
      </c>
      <c r="I425" t="s">
        <v>34</v>
      </c>
      <c r="J425">
        <v>1</v>
      </c>
      <c r="K425">
        <v>10808</v>
      </c>
      <c r="L425">
        <v>11012</v>
      </c>
      <c r="M425">
        <v>1.0189674315321979</v>
      </c>
      <c r="N425">
        <v>1.0189674315321979</v>
      </c>
      <c r="O425" t="s">
        <v>35</v>
      </c>
      <c r="P425" t="s">
        <v>35</v>
      </c>
      <c r="Q425" t="s">
        <v>303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44926</v>
      </c>
      <c r="G426">
        <v>2022</v>
      </c>
      <c r="H426" t="s">
        <v>44</v>
      </c>
      <c r="I426" t="s">
        <v>45</v>
      </c>
      <c r="J426">
        <v>2</v>
      </c>
      <c r="K426">
        <v>9192</v>
      </c>
      <c r="L426">
        <v>9578</v>
      </c>
      <c r="M426">
        <v>1.0528720626631849</v>
      </c>
      <c r="N426">
        <v>1.0528720626631849</v>
      </c>
      <c r="O426" t="s">
        <v>35</v>
      </c>
      <c r="P426" t="s">
        <v>35</v>
      </c>
      <c r="Q426" t="s">
        <v>304</v>
      </c>
      <c r="R426">
        <v>0</v>
      </c>
      <c r="S426">
        <v>0</v>
      </c>
      <c r="T426" t="s">
        <v>31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44926</v>
      </c>
      <c r="G427">
        <v>2022</v>
      </c>
      <c r="H427" t="s">
        <v>44</v>
      </c>
      <c r="I427" t="s">
        <v>45</v>
      </c>
      <c r="K427">
        <v>20000</v>
      </c>
      <c r="L427">
        <v>20590</v>
      </c>
      <c r="M427">
        <v>1.02955</v>
      </c>
      <c r="N427">
        <v>1.02955</v>
      </c>
      <c r="O427" t="s">
        <v>35</v>
      </c>
      <c r="P427" t="s">
        <v>35</v>
      </c>
      <c r="Q427" t="s">
        <v>304</v>
      </c>
      <c r="R427">
        <v>0</v>
      </c>
      <c r="S427">
        <v>0</v>
      </c>
      <c r="T427" t="s">
        <v>443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45107</v>
      </c>
      <c r="G428">
        <v>2023</v>
      </c>
      <c r="H428" t="s">
        <v>33</v>
      </c>
      <c r="I428" t="s">
        <v>47</v>
      </c>
      <c r="J428">
        <v>1</v>
      </c>
      <c r="K428">
        <v>12130</v>
      </c>
      <c r="L428">
        <v>12382</v>
      </c>
      <c r="M428">
        <v>1.020774938169827</v>
      </c>
      <c r="N428">
        <v>1.020774938169827</v>
      </c>
      <c r="O428" t="s">
        <v>35</v>
      </c>
      <c r="P428" t="s">
        <v>35</v>
      </c>
      <c r="Q428" t="s">
        <v>305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45291</v>
      </c>
      <c r="G429">
        <v>2023</v>
      </c>
      <c r="H429" t="s">
        <v>44</v>
      </c>
      <c r="I429" t="s">
        <v>49</v>
      </c>
      <c r="J429">
        <v>2</v>
      </c>
      <c r="K429">
        <v>9876</v>
      </c>
      <c r="L429">
        <v>10605</v>
      </c>
      <c r="M429">
        <v>1.0737140542729851</v>
      </c>
      <c r="N429">
        <v>1.0737140542729851</v>
      </c>
      <c r="O429" t="s">
        <v>35</v>
      </c>
      <c r="P429" t="s">
        <v>35</v>
      </c>
      <c r="Q429" t="s">
        <v>306</v>
      </c>
      <c r="R429">
        <v>0</v>
      </c>
      <c r="S429">
        <v>0</v>
      </c>
      <c r="T429" t="s">
        <v>31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45291</v>
      </c>
      <c r="G430">
        <v>2023</v>
      </c>
      <c r="H430" t="s">
        <v>44</v>
      </c>
      <c r="I430" t="s">
        <v>49</v>
      </c>
      <c r="K430">
        <v>22006</v>
      </c>
      <c r="L430">
        <v>22987</v>
      </c>
      <c r="M430">
        <v>1.0445333090975191</v>
      </c>
      <c r="N430">
        <v>1.0445333090975191</v>
      </c>
      <c r="O430" t="s">
        <v>35</v>
      </c>
      <c r="P430" t="s">
        <v>35</v>
      </c>
      <c r="Q430" t="s">
        <v>306</v>
      </c>
      <c r="R430">
        <v>0</v>
      </c>
      <c r="S430">
        <v>0</v>
      </c>
      <c r="T430" t="s">
        <v>443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45473</v>
      </c>
      <c r="G431">
        <v>2024</v>
      </c>
      <c r="H431" t="s">
        <v>33</v>
      </c>
      <c r="I431" t="s">
        <v>51</v>
      </c>
      <c r="J431">
        <v>1</v>
      </c>
      <c r="K431">
        <v>13590</v>
      </c>
      <c r="L431">
        <v>12987</v>
      </c>
      <c r="M431">
        <v>0.95562913907284763</v>
      </c>
      <c r="N431">
        <v>0.95562913907284763</v>
      </c>
      <c r="O431" t="s">
        <v>35</v>
      </c>
      <c r="P431" t="s">
        <v>35</v>
      </c>
      <c r="Q431" t="s">
        <v>307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45657</v>
      </c>
      <c r="G432">
        <v>2024</v>
      </c>
      <c r="H432" t="s">
        <v>44</v>
      </c>
      <c r="I432" t="s">
        <v>53</v>
      </c>
      <c r="J432">
        <v>2</v>
      </c>
      <c r="K432">
        <v>10675</v>
      </c>
      <c r="L432">
        <v>10569</v>
      </c>
      <c r="M432">
        <v>0.99007025761124123</v>
      </c>
      <c r="N432">
        <v>0.99007025761124123</v>
      </c>
      <c r="O432" t="s">
        <v>35</v>
      </c>
      <c r="P432" t="s">
        <v>35</v>
      </c>
      <c r="Q432" t="s">
        <v>308</v>
      </c>
      <c r="R432">
        <v>0</v>
      </c>
      <c r="S432">
        <v>0</v>
      </c>
      <c r="T432" t="s">
        <v>31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K433">
        <v>24265</v>
      </c>
      <c r="L433">
        <v>23556</v>
      </c>
      <c r="M433">
        <v>0.97078096023078508</v>
      </c>
      <c r="N433">
        <v>0.97078096023078508</v>
      </c>
      <c r="O433" t="s">
        <v>35</v>
      </c>
      <c r="P433" t="s">
        <v>35</v>
      </c>
      <c r="Q433" t="s">
        <v>308</v>
      </c>
      <c r="R433">
        <v>0</v>
      </c>
      <c r="S433">
        <v>0</v>
      </c>
      <c r="T433" t="s">
        <v>443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x14ac:dyDescent="0.3">
      <c r="A434">
        <v>379</v>
      </c>
      <c r="B434" t="s">
        <v>301</v>
      </c>
      <c r="C434" t="s">
        <v>302</v>
      </c>
      <c r="D434" t="s">
        <v>31</v>
      </c>
      <c r="E434" t="s">
        <v>32</v>
      </c>
      <c r="F434" s="3">
        <v>45838</v>
      </c>
      <c r="G434">
        <v>2025</v>
      </c>
      <c r="H434" t="s">
        <v>33</v>
      </c>
      <c r="I434" t="s">
        <v>404</v>
      </c>
      <c r="J434">
        <v>1</v>
      </c>
      <c r="K434">
        <v>13609</v>
      </c>
      <c r="L434">
        <v>14141</v>
      </c>
      <c r="M434">
        <v>1.039091777500184</v>
      </c>
      <c r="N434">
        <v>1.039091777500184</v>
      </c>
      <c r="O434" t="s">
        <v>35</v>
      </c>
      <c r="P434" t="s">
        <v>35</v>
      </c>
      <c r="Q434" t="s">
        <v>412</v>
      </c>
      <c r="R434">
        <v>0</v>
      </c>
      <c r="S434">
        <v>0</v>
      </c>
      <c r="T434" t="s">
        <v>31</v>
      </c>
      <c r="U434" t="s">
        <v>37</v>
      </c>
      <c r="V434" t="s">
        <v>302</v>
      </c>
      <c r="W434" t="s">
        <v>38</v>
      </c>
      <c r="X434" t="s">
        <v>39</v>
      </c>
      <c r="Y434" t="s">
        <v>40</v>
      </c>
      <c r="Z434" t="s">
        <v>41</v>
      </c>
      <c r="AA434" t="s">
        <v>42</v>
      </c>
      <c r="AB434" t="s">
        <v>78</v>
      </c>
      <c r="AC434" t="s">
        <v>31</v>
      </c>
    </row>
    <row r="435" spans="1:29" x14ac:dyDescent="0.3">
      <c r="A435">
        <v>379</v>
      </c>
      <c r="B435" t="s">
        <v>301</v>
      </c>
      <c r="C435" t="s">
        <v>302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L435">
        <v>25435</v>
      </c>
      <c r="O435" t="s">
        <v>35</v>
      </c>
      <c r="P435" t="s">
        <v>35</v>
      </c>
      <c r="Q435" t="str">
        <f>A435&amp;"-"&amp;TEXT(F435,"yyyy-mm-dd")</f>
        <v>379-2025-12-31</v>
      </c>
      <c r="R435">
        <v>0</v>
      </c>
      <c r="S435">
        <v>0</v>
      </c>
      <c r="T435" t="s">
        <v>443</v>
      </c>
      <c r="U435" t="s">
        <v>37</v>
      </c>
      <c r="V435" t="s">
        <v>302</v>
      </c>
      <c r="W435" t="s">
        <v>38</v>
      </c>
      <c r="X435" t="s">
        <v>39</v>
      </c>
      <c r="Y435" t="s">
        <v>40</v>
      </c>
      <c r="Z435" t="s">
        <v>41</v>
      </c>
      <c r="AA435" t="s">
        <v>42</v>
      </c>
      <c r="AB435" t="s">
        <v>78</v>
      </c>
      <c r="AC435" t="s">
        <v>31</v>
      </c>
    </row>
    <row r="436" spans="1:29" x14ac:dyDescent="0.3">
      <c r="A436">
        <v>379</v>
      </c>
      <c r="B436" t="s">
        <v>301</v>
      </c>
      <c r="C436" t="s">
        <v>302</v>
      </c>
      <c r="D436" t="s">
        <v>31</v>
      </c>
      <c r="E436" t="s">
        <v>32</v>
      </c>
      <c r="F436" s="3">
        <v>46022</v>
      </c>
      <c r="G436">
        <f>YEAR(F436)</f>
        <v>2025</v>
      </c>
      <c r="H436" t="str">
        <f>PROPER(TEXT(F436,"mmmm"))</f>
        <v>Diciembre</v>
      </c>
      <c r="I436" t="str">
        <f>IF(H436="Junio",G436&amp;"-1",G436&amp;"-2")</f>
        <v>2025-2</v>
      </c>
      <c r="J436">
        <v>2</v>
      </c>
      <c r="L436">
        <v>11294</v>
      </c>
      <c r="O436" t="s">
        <v>35</v>
      </c>
      <c r="P436" t="s">
        <v>35</v>
      </c>
      <c r="Q436" t="str">
        <f>A436&amp;"-"&amp;TEXT(F436,"yyyy-mm-dd")</f>
        <v>379-2025-12-31</v>
      </c>
      <c r="R436">
        <v>0</v>
      </c>
      <c r="S436">
        <v>0</v>
      </c>
      <c r="T436" t="s">
        <v>31</v>
      </c>
      <c r="U436" t="s">
        <v>37</v>
      </c>
      <c r="V436" t="s">
        <v>302</v>
      </c>
      <c r="W436" t="s">
        <v>38</v>
      </c>
      <c r="X436" t="s">
        <v>39</v>
      </c>
      <c r="Y436" t="s">
        <v>40</v>
      </c>
      <c r="Z436" t="s">
        <v>41</v>
      </c>
      <c r="AA436" t="s">
        <v>42</v>
      </c>
      <c r="AB436" t="s">
        <v>78</v>
      </c>
      <c r="AC436" t="s">
        <v>31</v>
      </c>
    </row>
    <row r="437" spans="1:29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44926</v>
      </c>
      <c r="G437">
        <v>2022</v>
      </c>
      <c r="H437" t="s">
        <v>44</v>
      </c>
      <c r="I437" t="s">
        <v>45</v>
      </c>
      <c r="J437">
        <v>2</v>
      </c>
      <c r="K437">
        <v>13361</v>
      </c>
      <c r="L437">
        <v>10035.311890999999</v>
      </c>
      <c r="O437" t="s">
        <v>143</v>
      </c>
      <c r="P437" t="s">
        <v>143</v>
      </c>
      <c r="Q437" t="s">
        <v>315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43</v>
      </c>
      <c r="AC437" t="s">
        <v>66</v>
      </c>
    </row>
    <row r="438" spans="1:29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44926</v>
      </c>
      <c r="G438">
        <v>2022</v>
      </c>
      <c r="H438" t="s">
        <v>44</v>
      </c>
      <c r="I438" t="s">
        <v>45</v>
      </c>
      <c r="K438">
        <v>13361</v>
      </c>
      <c r="L438">
        <v>10035.311890999999</v>
      </c>
      <c r="O438" t="s">
        <v>143</v>
      </c>
      <c r="P438" t="s">
        <v>143</v>
      </c>
      <c r="Q438" t="s">
        <v>315</v>
      </c>
      <c r="R438">
        <v>0</v>
      </c>
      <c r="S438">
        <v>0</v>
      </c>
      <c r="T438" t="s">
        <v>443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43</v>
      </c>
      <c r="AC438" t="s">
        <v>66</v>
      </c>
    </row>
    <row r="439" spans="1:29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J439">
        <v>2</v>
      </c>
      <c r="K439">
        <v>14097.721</v>
      </c>
      <c r="L439">
        <v>17697.080526999998</v>
      </c>
      <c r="O439" t="s">
        <v>143</v>
      </c>
      <c r="P439" t="s">
        <v>143</v>
      </c>
      <c r="Q439" t="s">
        <v>317</v>
      </c>
      <c r="R439">
        <v>0</v>
      </c>
      <c r="S439">
        <v>0</v>
      </c>
      <c r="T439" t="s">
        <v>31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43</v>
      </c>
      <c r="AC439" t="s">
        <v>66</v>
      </c>
    </row>
    <row r="440" spans="1:29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K440">
        <v>14097.721</v>
      </c>
      <c r="L440">
        <v>17697.080526999998</v>
      </c>
      <c r="O440" t="s">
        <v>143</v>
      </c>
      <c r="P440" t="s">
        <v>143</v>
      </c>
      <c r="Q440" t="s">
        <v>317</v>
      </c>
      <c r="R440">
        <v>0</v>
      </c>
      <c r="S440">
        <v>0</v>
      </c>
      <c r="T440" t="s">
        <v>443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43</v>
      </c>
      <c r="AC440" t="s">
        <v>66</v>
      </c>
    </row>
    <row r="441" spans="1:29" x14ac:dyDescent="0.3">
      <c r="A441">
        <v>385</v>
      </c>
      <c r="B441" t="s">
        <v>309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J441">
        <v>2</v>
      </c>
      <c r="K441">
        <v>15507.493100000003</v>
      </c>
      <c r="L441">
        <v>13243.138849000001</v>
      </c>
      <c r="O441" t="s">
        <v>143</v>
      </c>
      <c r="P441" t="s">
        <v>143</v>
      </c>
      <c r="Q441" t="s">
        <v>319</v>
      </c>
      <c r="R441">
        <v>0</v>
      </c>
      <c r="S441">
        <v>0</v>
      </c>
      <c r="T441" t="s">
        <v>31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43</v>
      </c>
      <c r="AC441" t="s">
        <v>66</v>
      </c>
    </row>
    <row r="442" spans="1:29" x14ac:dyDescent="0.3">
      <c r="A442">
        <v>385</v>
      </c>
      <c r="B442" t="s">
        <v>309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K442">
        <v>15507.493100000003</v>
      </c>
      <c r="L442">
        <v>13243.138849000001</v>
      </c>
      <c r="O442" t="s">
        <v>143</v>
      </c>
      <c r="P442" t="s">
        <v>143</v>
      </c>
      <c r="Q442" t="s">
        <v>319</v>
      </c>
      <c r="R442">
        <v>0</v>
      </c>
      <c r="S442">
        <v>0</v>
      </c>
      <c r="T442" t="s">
        <v>443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43</v>
      </c>
      <c r="AC442" t="s">
        <v>66</v>
      </c>
    </row>
    <row r="443" spans="1:29" x14ac:dyDescent="0.3">
      <c r="A443">
        <v>385</v>
      </c>
      <c r="B443" t="s">
        <v>309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J443">
        <v>2</v>
      </c>
      <c r="L443">
        <f>17058242411/1000000</f>
        <v>17058.242410999999</v>
      </c>
      <c r="O443" t="s">
        <v>143</v>
      </c>
      <c r="P443" t="s">
        <v>143</v>
      </c>
      <c r="Q443" t="s">
        <v>486</v>
      </c>
      <c r="R443">
        <v>0</v>
      </c>
      <c r="S443">
        <v>0</v>
      </c>
      <c r="T443" t="s">
        <v>31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43</v>
      </c>
      <c r="AC443" t="s">
        <v>66</v>
      </c>
    </row>
    <row r="444" spans="1:29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L444">
        <f>894406923/1000000</f>
        <v>894.40692300000001</v>
      </c>
      <c r="O444" t="s">
        <v>143</v>
      </c>
      <c r="P444" t="s">
        <v>143</v>
      </c>
      <c r="Q444" t="s">
        <v>491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L445">
        <f>894406923/1000000</f>
        <v>894.40692300000001</v>
      </c>
      <c r="O445" t="s">
        <v>143</v>
      </c>
      <c r="P445" t="s">
        <v>143</v>
      </c>
      <c r="Q445" t="s">
        <v>491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L446">
        <v>3779.9283479999999</v>
      </c>
      <c r="O446" t="s">
        <v>143</v>
      </c>
      <c r="P446" t="s">
        <v>143</v>
      </c>
      <c r="Q446" t="s">
        <v>379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L447">
        <v>3779.9283479999999</v>
      </c>
      <c r="O447" t="s">
        <v>143</v>
      </c>
      <c r="P447" t="s">
        <v>143</v>
      </c>
      <c r="Q447" t="s">
        <v>379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386.1</v>
      </c>
      <c r="B448" t="s">
        <v>377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L448">
        <v>4694.2130900000002</v>
      </c>
      <c r="O448" t="s">
        <v>143</v>
      </c>
      <c r="P448" t="s">
        <v>143</v>
      </c>
      <c r="Q448" t="s">
        <v>381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386.1</v>
      </c>
      <c r="B449" t="s">
        <v>377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L449">
        <v>4694.2130900000002</v>
      </c>
      <c r="O449" t="s">
        <v>143</v>
      </c>
      <c r="P449" t="s">
        <v>143</v>
      </c>
      <c r="Q449" t="s">
        <v>381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386.1</v>
      </c>
      <c r="B450" t="s">
        <v>377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L450">
        <f>4042632396/1000000</f>
        <v>4042.632396</v>
      </c>
      <c r="O450" t="s">
        <v>143</v>
      </c>
      <c r="P450" t="s">
        <v>143</v>
      </c>
      <c r="Q450" t="s">
        <v>490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386.2</v>
      </c>
      <c r="B451" t="s">
        <v>382</v>
      </c>
      <c r="C451" t="s">
        <v>310</v>
      </c>
      <c r="D451" t="s">
        <v>31</v>
      </c>
      <c r="E451" t="s">
        <v>32</v>
      </c>
      <c r="F451" s="3">
        <v>44926</v>
      </c>
      <c r="G451">
        <f>YEAR(F451)</f>
        <v>2022</v>
      </c>
      <c r="H451" t="s">
        <v>44</v>
      </c>
      <c r="I451" t="s">
        <v>45</v>
      </c>
      <c r="J451">
        <v>2</v>
      </c>
      <c r="L451">
        <f>5335242827/1000000</f>
        <v>5335.242827</v>
      </c>
      <c r="O451" t="s">
        <v>143</v>
      </c>
      <c r="P451" t="s">
        <v>143</v>
      </c>
      <c r="Q451" t="s">
        <v>384</v>
      </c>
      <c r="R451">
        <v>0</v>
      </c>
      <c r="S451">
        <v>0</v>
      </c>
      <c r="T451" t="s">
        <v>31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44926</v>
      </c>
      <c r="G452">
        <f>YEAR(F452)</f>
        <v>2022</v>
      </c>
      <c r="H452" t="s">
        <v>44</v>
      </c>
      <c r="I452" t="s">
        <v>45</v>
      </c>
      <c r="L452">
        <f>5335242827/1000000</f>
        <v>5335.242827</v>
      </c>
      <c r="O452" t="s">
        <v>143</v>
      </c>
      <c r="P452" t="s">
        <v>143</v>
      </c>
      <c r="Q452" t="s">
        <v>384</v>
      </c>
      <c r="R452">
        <v>0</v>
      </c>
      <c r="S452">
        <v>0</v>
      </c>
      <c r="T452" t="s">
        <v>443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45291</v>
      </c>
      <c r="G453">
        <v>2023</v>
      </c>
      <c r="H453" t="s">
        <v>44</v>
      </c>
      <c r="I453" t="s">
        <v>49</v>
      </c>
      <c r="J453">
        <v>2</v>
      </c>
      <c r="L453">
        <v>9868.4183169999997</v>
      </c>
      <c r="O453" t="s">
        <v>143</v>
      </c>
      <c r="P453" t="s">
        <v>143</v>
      </c>
      <c r="Q453" t="s">
        <v>384</v>
      </c>
      <c r="R453">
        <v>0</v>
      </c>
      <c r="S453">
        <v>0</v>
      </c>
      <c r="T453" t="s">
        <v>31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L454">
        <v>9868.4183169999997</v>
      </c>
      <c r="O454" t="s">
        <v>143</v>
      </c>
      <c r="P454" t="s">
        <v>143</v>
      </c>
      <c r="Q454" t="s">
        <v>384</v>
      </c>
      <c r="R454">
        <v>0</v>
      </c>
      <c r="S454">
        <v>0</v>
      </c>
      <c r="T454" t="s">
        <v>443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Z454" t="s">
        <v>63</v>
      </c>
      <c r="AA454" t="s">
        <v>148</v>
      </c>
      <c r="AB454" t="s">
        <v>78</v>
      </c>
      <c r="AC454" t="s">
        <v>66</v>
      </c>
    </row>
    <row r="455" spans="1:29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45657</v>
      </c>
      <c r="G455">
        <v>2024</v>
      </c>
      <c r="H455" t="s">
        <v>44</v>
      </c>
      <c r="I455" t="s">
        <v>53</v>
      </c>
      <c r="J455">
        <v>2</v>
      </c>
      <c r="L455">
        <v>4170.686009</v>
      </c>
      <c r="O455" t="s">
        <v>143</v>
      </c>
      <c r="P455" t="s">
        <v>143</v>
      </c>
      <c r="Q455" t="s">
        <v>386</v>
      </c>
      <c r="R455">
        <v>0</v>
      </c>
      <c r="S455">
        <v>0</v>
      </c>
      <c r="T455" t="s">
        <v>31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Z455" t="s">
        <v>63</v>
      </c>
      <c r="AA455" t="s">
        <v>148</v>
      </c>
      <c r="AB455" t="s">
        <v>78</v>
      </c>
      <c r="AC455" t="s">
        <v>66</v>
      </c>
    </row>
    <row r="456" spans="1:29" x14ac:dyDescent="0.3">
      <c r="A456">
        <v>386.2</v>
      </c>
      <c r="B456" t="s">
        <v>382</v>
      </c>
      <c r="C456" t="s">
        <v>310</v>
      </c>
      <c r="D456" t="s">
        <v>31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L456">
        <v>4170.686009</v>
      </c>
      <c r="O456" t="s">
        <v>143</v>
      </c>
      <c r="P456" t="s">
        <v>143</v>
      </c>
      <c r="Q456" t="s">
        <v>386</v>
      </c>
      <c r="R456">
        <v>0</v>
      </c>
      <c r="S456">
        <v>0</v>
      </c>
      <c r="T456" t="s">
        <v>443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x14ac:dyDescent="0.3">
      <c r="A457">
        <v>386.2</v>
      </c>
      <c r="B457" t="s">
        <v>382</v>
      </c>
      <c r="C457" t="s">
        <v>310</v>
      </c>
      <c r="D457" t="s">
        <v>31</v>
      </c>
      <c r="E457" t="s">
        <v>32</v>
      </c>
      <c r="F457" s="3">
        <v>46022</v>
      </c>
      <c r="G457">
        <v>2025</v>
      </c>
      <c r="H457" t="s">
        <v>44</v>
      </c>
      <c r="I457" t="s">
        <v>465</v>
      </c>
      <c r="J457">
        <v>2</v>
      </c>
      <c r="L457">
        <f>7446830696/1000000</f>
        <v>7446.830696</v>
      </c>
      <c r="O457" t="s">
        <v>143</v>
      </c>
      <c r="P457" t="s">
        <v>143</v>
      </c>
      <c r="Q457" t="s">
        <v>489</v>
      </c>
      <c r="R457">
        <v>0</v>
      </c>
      <c r="S457">
        <v>0</v>
      </c>
      <c r="T457" t="s">
        <v>31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AB457" t="s">
        <v>78</v>
      </c>
      <c r="AC457" t="s">
        <v>66</v>
      </c>
    </row>
    <row r="458" spans="1:29" x14ac:dyDescent="0.3">
      <c r="A458">
        <v>386.2</v>
      </c>
      <c r="B458" t="s">
        <v>382</v>
      </c>
      <c r="C458" t="s">
        <v>310</v>
      </c>
      <c r="D458" t="s">
        <v>31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L458">
        <f>7446830696/1000000</f>
        <v>7446.830696</v>
      </c>
      <c r="O458" t="s">
        <v>143</v>
      </c>
      <c r="P458" t="s">
        <v>143</v>
      </c>
      <c r="Q458" t="s">
        <v>489</v>
      </c>
      <c r="R458">
        <v>0</v>
      </c>
      <c r="S458">
        <v>0</v>
      </c>
      <c r="T458" t="s">
        <v>443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AB458" t="s">
        <v>78</v>
      </c>
      <c r="AC458" t="s">
        <v>66</v>
      </c>
    </row>
    <row r="459" spans="1:29" x14ac:dyDescent="0.3">
      <c r="A459">
        <v>386.3</v>
      </c>
      <c r="B459" t="s">
        <v>387</v>
      </c>
      <c r="C459" t="s">
        <v>310</v>
      </c>
      <c r="D459" t="s">
        <v>31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L459">
        <f>3805662141/1000000</f>
        <v>3805.6621409999998</v>
      </c>
      <c r="O459" t="s">
        <v>143</v>
      </c>
      <c r="P459" t="s">
        <v>143</v>
      </c>
      <c r="Q459" t="s">
        <v>493</v>
      </c>
      <c r="R459">
        <v>0</v>
      </c>
      <c r="S459">
        <v>0</v>
      </c>
      <c r="T459" t="s">
        <v>31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Z459" t="s">
        <v>63</v>
      </c>
      <c r="AA459" t="s">
        <v>148</v>
      </c>
      <c r="AB459" t="s">
        <v>78</v>
      </c>
      <c r="AC459" t="s">
        <v>66</v>
      </c>
    </row>
    <row r="460" spans="1:29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L460">
        <f>3805662141/1000000</f>
        <v>3805.6621409999998</v>
      </c>
      <c r="O460" t="s">
        <v>143</v>
      </c>
      <c r="P460" t="s">
        <v>143</v>
      </c>
      <c r="Q460" t="s">
        <v>493</v>
      </c>
      <c r="R460">
        <v>0</v>
      </c>
      <c r="S460">
        <v>0</v>
      </c>
      <c r="T460" t="s">
        <v>443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L461">
        <f>4048733862/1000000</f>
        <v>4048.733862</v>
      </c>
      <c r="O461" t="s">
        <v>143</v>
      </c>
      <c r="P461" t="s">
        <v>143</v>
      </c>
      <c r="Q461" t="s">
        <v>389</v>
      </c>
      <c r="R461">
        <v>0</v>
      </c>
      <c r="S461">
        <v>0</v>
      </c>
      <c r="T461" t="s">
        <v>31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L462">
        <f>4048733862/1000000</f>
        <v>4048.733862</v>
      </c>
      <c r="O462" t="s">
        <v>143</v>
      </c>
      <c r="P462" t="s">
        <v>143</v>
      </c>
      <c r="Q462" t="s">
        <v>389</v>
      </c>
      <c r="R462">
        <v>0</v>
      </c>
      <c r="S462">
        <v>0</v>
      </c>
      <c r="T462" t="s">
        <v>443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Z462" t="s">
        <v>63</v>
      </c>
      <c r="AA462" t="s">
        <v>148</v>
      </c>
      <c r="AB462" t="s">
        <v>78</v>
      </c>
      <c r="AC462" t="s">
        <v>66</v>
      </c>
    </row>
    <row r="463" spans="1:29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L463">
        <v>4378.2397499999997</v>
      </c>
      <c r="O463" t="s">
        <v>143</v>
      </c>
      <c r="P463" t="s">
        <v>143</v>
      </c>
      <c r="Q463" t="s">
        <v>391</v>
      </c>
      <c r="R463">
        <v>0</v>
      </c>
      <c r="S463">
        <v>0</v>
      </c>
      <c r="T463" t="s">
        <v>31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Z463" t="s">
        <v>63</v>
      </c>
      <c r="AA463" t="s">
        <v>148</v>
      </c>
      <c r="AB463" t="s">
        <v>78</v>
      </c>
      <c r="AC463" t="s">
        <v>66</v>
      </c>
    </row>
    <row r="464" spans="1:29" x14ac:dyDescent="0.3">
      <c r="A464">
        <v>386.3</v>
      </c>
      <c r="B464" t="s">
        <v>387</v>
      </c>
      <c r="C464" t="s">
        <v>310</v>
      </c>
      <c r="D464" t="s">
        <v>31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L464">
        <v>4378.2397499999997</v>
      </c>
      <c r="O464" t="s">
        <v>143</v>
      </c>
      <c r="P464" t="s">
        <v>143</v>
      </c>
      <c r="Q464" t="s">
        <v>391</v>
      </c>
      <c r="R464">
        <v>0</v>
      </c>
      <c r="S464">
        <v>0</v>
      </c>
      <c r="T464" t="s">
        <v>443</v>
      </c>
      <c r="U464" t="s">
        <v>37</v>
      </c>
      <c r="V464" t="s">
        <v>310</v>
      </c>
      <c r="W464" t="s">
        <v>312</v>
      </c>
      <c r="X464" t="s">
        <v>313</v>
      </c>
      <c r="Y464" t="s">
        <v>314</v>
      </c>
      <c r="Z464" t="s">
        <v>63</v>
      </c>
      <c r="AA464" t="s">
        <v>148</v>
      </c>
      <c r="AB464" t="s">
        <v>78</v>
      </c>
      <c r="AC464" t="s">
        <v>66</v>
      </c>
    </row>
    <row r="465" spans="1:29" x14ac:dyDescent="0.3">
      <c r="A465">
        <v>386.3</v>
      </c>
      <c r="B465" t="s">
        <v>387</v>
      </c>
      <c r="C465" t="s">
        <v>310</v>
      </c>
      <c r="D465" t="s">
        <v>31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L465">
        <f>(5278611105+290168214)/1000000</f>
        <v>5568.7793190000002</v>
      </c>
      <c r="O465" t="s">
        <v>143</v>
      </c>
      <c r="P465" t="s">
        <v>143</v>
      </c>
      <c r="Q465" t="s">
        <v>492</v>
      </c>
      <c r="R465">
        <v>0</v>
      </c>
      <c r="S465">
        <v>0</v>
      </c>
      <c r="T465" t="s">
        <v>31</v>
      </c>
      <c r="U465" t="s">
        <v>37</v>
      </c>
      <c r="V465" t="s">
        <v>310</v>
      </c>
      <c r="W465" t="s">
        <v>312</v>
      </c>
      <c r="X465" t="s">
        <v>313</v>
      </c>
      <c r="Y465" t="s">
        <v>314</v>
      </c>
      <c r="AB465" t="s">
        <v>78</v>
      </c>
      <c r="AC465" t="s">
        <v>66</v>
      </c>
    </row>
    <row r="466" spans="1:29" x14ac:dyDescent="0.3">
      <c r="A466">
        <v>386.3</v>
      </c>
      <c r="B466" t="s">
        <v>387</v>
      </c>
      <c r="C466" t="s">
        <v>310</v>
      </c>
      <c r="D466" t="s">
        <v>31</v>
      </c>
      <c r="E466" t="s">
        <v>32</v>
      </c>
      <c r="F466" s="3">
        <v>46022</v>
      </c>
      <c r="G466">
        <v>2025</v>
      </c>
      <c r="H466" t="s">
        <v>44</v>
      </c>
      <c r="I466" t="s">
        <v>465</v>
      </c>
      <c r="L466">
        <f>(5278611105+290168214)/1000000</f>
        <v>5568.7793190000002</v>
      </c>
      <c r="O466" t="s">
        <v>143</v>
      </c>
      <c r="P466" t="s">
        <v>143</v>
      </c>
      <c r="Q466" t="s">
        <v>492</v>
      </c>
      <c r="R466">
        <v>0</v>
      </c>
      <c r="S466">
        <v>0</v>
      </c>
      <c r="T466" t="s">
        <v>443</v>
      </c>
      <c r="U466" t="s">
        <v>37</v>
      </c>
      <c r="V466" t="s">
        <v>310</v>
      </c>
      <c r="W466" t="s">
        <v>312</v>
      </c>
      <c r="X466" t="s">
        <v>313</v>
      </c>
      <c r="Y466" t="s">
        <v>314</v>
      </c>
      <c r="AB466" t="s">
        <v>78</v>
      </c>
      <c r="AC466" t="s">
        <v>66</v>
      </c>
    </row>
    <row r="467" spans="1:29" x14ac:dyDescent="0.3">
      <c r="A467">
        <v>423</v>
      </c>
      <c r="B467" t="s">
        <v>320</v>
      </c>
      <c r="C467" t="s">
        <v>83</v>
      </c>
      <c r="D467" t="s">
        <v>66</v>
      </c>
      <c r="E467" t="s">
        <v>32</v>
      </c>
      <c r="F467" s="3">
        <v>44926</v>
      </c>
      <c r="G467">
        <v>2022</v>
      </c>
      <c r="H467" t="s">
        <v>44</v>
      </c>
      <c r="I467" t="s">
        <v>45</v>
      </c>
      <c r="J467">
        <v>2</v>
      </c>
      <c r="K467">
        <v>8.8000000000000007</v>
      </c>
      <c r="L467">
        <v>7.8</v>
      </c>
      <c r="M467">
        <v>0.88636363636363624</v>
      </c>
      <c r="N467">
        <v>0.88636363636363624</v>
      </c>
      <c r="Q467" t="s">
        <v>321</v>
      </c>
      <c r="R467">
        <v>1</v>
      </c>
      <c r="S467">
        <v>1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44926</v>
      </c>
      <c r="G468">
        <v>2022</v>
      </c>
      <c r="H468" t="s">
        <v>44</v>
      </c>
      <c r="I468" t="s">
        <v>45</v>
      </c>
      <c r="K468">
        <v>8.8000000000000007</v>
      </c>
      <c r="L468">
        <v>7.8</v>
      </c>
      <c r="M468">
        <v>0.88636363636363624</v>
      </c>
      <c r="N468">
        <v>0.88636363636363624</v>
      </c>
      <c r="O468" t="s">
        <v>245</v>
      </c>
      <c r="P468" t="s">
        <v>245</v>
      </c>
      <c r="Q468" t="s">
        <v>321</v>
      </c>
      <c r="R468">
        <v>1</v>
      </c>
      <c r="S468">
        <v>1</v>
      </c>
      <c r="T468" t="s">
        <v>443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45291</v>
      </c>
      <c r="G469">
        <v>2023</v>
      </c>
      <c r="H469" t="s">
        <v>44</v>
      </c>
      <c r="I469" t="s">
        <v>49</v>
      </c>
      <c r="J469">
        <v>2</v>
      </c>
      <c r="K469">
        <v>8.4</v>
      </c>
      <c r="L469">
        <v>7.9</v>
      </c>
      <c r="M469">
        <v>0.94047619047619047</v>
      </c>
      <c r="N469">
        <v>0.94047619047619047</v>
      </c>
      <c r="Q469" t="s">
        <v>323</v>
      </c>
      <c r="R469">
        <v>1</v>
      </c>
      <c r="S469">
        <v>1</v>
      </c>
      <c r="T469" t="s">
        <v>31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45291</v>
      </c>
      <c r="G470">
        <v>2023</v>
      </c>
      <c r="H470" t="s">
        <v>44</v>
      </c>
      <c r="I470" t="s">
        <v>49</v>
      </c>
      <c r="K470">
        <v>8.4</v>
      </c>
      <c r="L470">
        <v>7.9</v>
      </c>
      <c r="M470">
        <v>0.94047619047619047</v>
      </c>
      <c r="N470">
        <v>0.94047619047619047</v>
      </c>
      <c r="O470" t="s">
        <v>245</v>
      </c>
      <c r="P470" t="s">
        <v>245</v>
      </c>
      <c r="Q470" t="s">
        <v>323</v>
      </c>
      <c r="R470">
        <v>1</v>
      </c>
      <c r="S470">
        <v>1</v>
      </c>
      <c r="T470" t="s">
        <v>443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x14ac:dyDescent="0.3">
      <c r="A471">
        <v>423</v>
      </c>
      <c r="B471" t="s">
        <v>320</v>
      </c>
      <c r="C471" t="s">
        <v>83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J471">
        <v>2</v>
      </c>
      <c r="K471">
        <v>8.3000000000000007</v>
      </c>
      <c r="L471">
        <v>12.4</v>
      </c>
      <c r="M471">
        <v>1.3</v>
      </c>
      <c r="N471">
        <v>1.481927710843373</v>
      </c>
      <c r="Q471" t="s">
        <v>324</v>
      </c>
      <c r="R471">
        <v>1</v>
      </c>
      <c r="S471">
        <v>1</v>
      </c>
      <c r="T471" t="s">
        <v>31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x14ac:dyDescent="0.3">
      <c r="A472">
        <v>423</v>
      </c>
      <c r="B472" t="s">
        <v>320</v>
      </c>
      <c r="C472" t="s">
        <v>83</v>
      </c>
      <c r="D472" t="s">
        <v>66</v>
      </c>
      <c r="E472" t="s">
        <v>32</v>
      </c>
      <c r="F472" s="3">
        <v>45657</v>
      </c>
      <c r="G472">
        <v>2024</v>
      </c>
      <c r="H472" t="s">
        <v>44</v>
      </c>
      <c r="I472" t="s">
        <v>53</v>
      </c>
      <c r="K472">
        <v>8.3000000000000007</v>
      </c>
      <c r="L472">
        <v>12.4</v>
      </c>
      <c r="M472">
        <v>1.3</v>
      </c>
      <c r="N472">
        <v>1.481927710843373</v>
      </c>
      <c r="O472" t="s">
        <v>245</v>
      </c>
      <c r="P472" t="s">
        <v>245</v>
      </c>
      <c r="Q472" t="s">
        <v>324</v>
      </c>
      <c r="R472">
        <v>1</v>
      </c>
      <c r="S472">
        <v>1</v>
      </c>
      <c r="T472" t="s">
        <v>443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x14ac:dyDescent="0.3">
      <c r="A473">
        <v>423</v>
      </c>
      <c r="B473" t="s">
        <v>320</v>
      </c>
      <c r="C473" t="s">
        <v>83</v>
      </c>
      <c r="D473" t="s">
        <v>66</v>
      </c>
      <c r="E473" t="s">
        <v>32</v>
      </c>
      <c r="F473" s="3">
        <v>46022</v>
      </c>
      <c r="G473">
        <v>2025</v>
      </c>
      <c r="H473" t="s">
        <v>44</v>
      </c>
      <c r="I473" t="s">
        <v>465</v>
      </c>
      <c r="J473">
        <v>2</v>
      </c>
      <c r="K473">
        <v>12</v>
      </c>
      <c r="L473">
        <v>15.1</v>
      </c>
      <c r="O473" t="s">
        <v>245</v>
      </c>
      <c r="P473" t="s">
        <v>245</v>
      </c>
      <c r="Q473" t="s">
        <v>455</v>
      </c>
      <c r="R473">
        <v>1</v>
      </c>
      <c r="S473">
        <v>1</v>
      </c>
      <c r="T473" t="s">
        <v>31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x14ac:dyDescent="0.3">
      <c r="A474">
        <v>424</v>
      </c>
      <c r="B474" t="s">
        <v>325</v>
      </c>
      <c r="C474" t="s">
        <v>83</v>
      </c>
      <c r="D474" t="s">
        <v>66</v>
      </c>
      <c r="E474" t="s">
        <v>32</v>
      </c>
      <c r="F474" s="3">
        <v>44926</v>
      </c>
      <c r="G474">
        <v>2022</v>
      </c>
      <c r="H474" t="s">
        <v>44</v>
      </c>
      <c r="I474" t="s">
        <v>45</v>
      </c>
      <c r="J474">
        <v>2</v>
      </c>
      <c r="K474">
        <v>6.5</v>
      </c>
      <c r="L474">
        <v>5</v>
      </c>
      <c r="M474">
        <v>0.76923076923076927</v>
      </c>
      <c r="N474">
        <v>0.76923076923076927</v>
      </c>
      <c r="Q474" t="s">
        <v>326</v>
      </c>
      <c r="R474">
        <v>0</v>
      </c>
      <c r="S474">
        <v>0</v>
      </c>
      <c r="T474" t="s">
        <v>31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6.5</v>
      </c>
      <c r="L475">
        <v>5</v>
      </c>
      <c r="M475">
        <v>0.76923076923076927</v>
      </c>
      <c r="N475">
        <v>0.76923076923076927</v>
      </c>
      <c r="O475" t="s">
        <v>245</v>
      </c>
      <c r="P475" t="s">
        <v>35</v>
      </c>
      <c r="Q475" t="s">
        <v>326</v>
      </c>
      <c r="R475">
        <v>1</v>
      </c>
      <c r="S475">
        <v>0</v>
      </c>
      <c r="T475" t="s">
        <v>443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J476">
        <v>2</v>
      </c>
      <c r="K476">
        <v>6</v>
      </c>
      <c r="L476">
        <v>6</v>
      </c>
      <c r="M476">
        <v>1</v>
      </c>
      <c r="N476">
        <v>1</v>
      </c>
      <c r="Q476" t="s">
        <v>327</v>
      </c>
      <c r="R476">
        <v>0</v>
      </c>
      <c r="S476">
        <v>0</v>
      </c>
      <c r="T476" t="s">
        <v>31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45291</v>
      </c>
      <c r="G477">
        <v>2023</v>
      </c>
      <c r="H477" t="s">
        <v>44</v>
      </c>
      <c r="I477" t="s">
        <v>49</v>
      </c>
      <c r="K477">
        <v>6</v>
      </c>
      <c r="L477">
        <v>6</v>
      </c>
      <c r="M477">
        <v>1</v>
      </c>
      <c r="N477">
        <v>1</v>
      </c>
      <c r="O477" t="s">
        <v>35</v>
      </c>
      <c r="P477" t="s">
        <v>35</v>
      </c>
      <c r="Q477" t="s">
        <v>327</v>
      </c>
      <c r="R477">
        <v>0</v>
      </c>
      <c r="S477">
        <v>0</v>
      </c>
      <c r="T477" t="s">
        <v>443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x14ac:dyDescent="0.3">
      <c r="A478">
        <v>424</v>
      </c>
      <c r="B478" t="s">
        <v>325</v>
      </c>
      <c r="C478" t="s">
        <v>83</v>
      </c>
      <c r="D478" t="s">
        <v>66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J478">
        <v>2</v>
      </c>
      <c r="K478">
        <v>7</v>
      </c>
      <c r="L478">
        <v>9</v>
      </c>
      <c r="M478">
        <v>1.285714285714286</v>
      </c>
      <c r="N478">
        <v>1.285714285714286</v>
      </c>
      <c r="Q478" t="s">
        <v>328</v>
      </c>
      <c r="R478">
        <v>0</v>
      </c>
      <c r="S478">
        <v>0</v>
      </c>
      <c r="T478" t="s">
        <v>31</v>
      </c>
      <c r="U478" t="s">
        <v>37</v>
      </c>
      <c r="V478" t="s">
        <v>83</v>
      </c>
      <c r="W478" t="s">
        <v>38</v>
      </c>
      <c r="X478" t="s">
        <v>39</v>
      </c>
      <c r="Y478" t="s">
        <v>322</v>
      </c>
      <c r="Z478" t="s">
        <v>274</v>
      </c>
      <c r="AA478" t="s">
        <v>275</v>
      </c>
      <c r="AB478" t="s">
        <v>43</v>
      </c>
      <c r="AC478" t="s">
        <v>66</v>
      </c>
    </row>
    <row r="479" spans="1:29" x14ac:dyDescent="0.3">
      <c r="A479">
        <v>424</v>
      </c>
      <c r="B479" t="s">
        <v>325</v>
      </c>
      <c r="C479" t="s">
        <v>83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K479">
        <v>7</v>
      </c>
      <c r="L479">
        <v>9</v>
      </c>
      <c r="M479">
        <v>1.285714285714286</v>
      </c>
      <c r="N479">
        <v>1.285714285714286</v>
      </c>
      <c r="O479" t="s">
        <v>35</v>
      </c>
      <c r="P479" t="s">
        <v>35</v>
      </c>
      <c r="Q479" t="s">
        <v>328</v>
      </c>
      <c r="R479">
        <v>0</v>
      </c>
      <c r="S479">
        <v>0</v>
      </c>
      <c r="T479" t="s">
        <v>443</v>
      </c>
      <c r="U479" t="s">
        <v>37</v>
      </c>
      <c r="V479" t="s">
        <v>83</v>
      </c>
      <c r="W479" t="s">
        <v>38</v>
      </c>
      <c r="X479" t="s">
        <v>39</v>
      </c>
      <c r="Y479" t="s">
        <v>322</v>
      </c>
      <c r="Z479" t="s">
        <v>274</v>
      </c>
      <c r="AA479" t="s">
        <v>275</v>
      </c>
      <c r="AB479" t="s">
        <v>43</v>
      </c>
      <c r="AC479" t="s">
        <v>66</v>
      </c>
    </row>
    <row r="480" spans="1:29" x14ac:dyDescent="0.3">
      <c r="A480">
        <v>424</v>
      </c>
      <c r="B480" t="s">
        <v>325</v>
      </c>
      <c r="C480" t="s">
        <v>83</v>
      </c>
      <c r="D480" t="s">
        <v>66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9</v>
      </c>
      <c r="L480">
        <v>11</v>
      </c>
      <c r="O480" t="s">
        <v>35</v>
      </c>
      <c r="P480" t="s">
        <v>35</v>
      </c>
      <c r="Q480" t="s">
        <v>495</v>
      </c>
      <c r="R480">
        <v>0</v>
      </c>
      <c r="S480">
        <v>0</v>
      </c>
      <c r="T480" t="s">
        <v>31</v>
      </c>
      <c r="U480" t="s">
        <v>37</v>
      </c>
      <c r="V480" t="s">
        <v>83</v>
      </c>
      <c r="W480" t="s">
        <v>38</v>
      </c>
      <c r="X480" t="s">
        <v>39</v>
      </c>
      <c r="Y480" t="s">
        <v>322</v>
      </c>
      <c r="Z480" t="s">
        <v>274</v>
      </c>
      <c r="AA480" t="s">
        <v>275</v>
      </c>
      <c r="AB480" t="s">
        <v>43</v>
      </c>
      <c r="AC480" t="s">
        <v>66</v>
      </c>
    </row>
    <row r="481" spans="1:29" x14ac:dyDescent="0.3">
      <c r="A481">
        <v>460</v>
      </c>
      <c r="B481" t="s">
        <v>329</v>
      </c>
      <c r="C481" t="s">
        <v>130</v>
      </c>
      <c r="D481" t="s">
        <v>66</v>
      </c>
      <c r="E481" t="s">
        <v>32</v>
      </c>
      <c r="F481" s="3">
        <v>45291</v>
      </c>
      <c r="G481">
        <v>2023</v>
      </c>
      <c r="H481" t="s">
        <v>44</v>
      </c>
      <c r="I481" t="s">
        <v>49</v>
      </c>
      <c r="L481">
        <v>94.85</v>
      </c>
      <c r="O481" t="s">
        <v>284</v>
      </c>
      <c r="P481" t="s">
        <v>58</v>
      </c>
      <c r="Q481" t="s">
        <v>449</v>
      </c>
      <c r="R481">
        <v>0</v>
      </c>
      <c r="S481">
        <v>0</v>
      </c>
      <c r="T481" t="s">
        <v>443</v>
      </c>
      <c r="U481" t="s">
        <v>37</v>
      </c>
      <c r="V481" t="s">
        <v>130</v>
      </c>
      <c r="W481" t="s">
        <v>73</v>
      </c>
      <c r="X481" t="s">
        <v>218</v>
      </c>
      <c r="Y481" t="s">
        <v>331</v>
      </c>
      <c r="Z481" t="s">
        <v>134</v>
      </c>
      <c r="AA481" t="s">
        <v>135</v>
      </c>
      <c r="AB481" t="s">
        <v>43</v>
      </c>
      <c r="AC481" t="s">
        <v>66</v>
      </c>
    </row>
    <row r="482" spans="1:29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45657</v>
      </c>
      <c r="G482">
        <v>2024</v>
      </c>
      <c r="H482" t="s">
        <v>44</v>
      </c>
      <c r="I482" t="s">
        <v>53</v>
      </c>
      <c r="J482">
        <v>2</v>
      </c>
      <c r="K482">
        <v>80</v>
      </c>
      <c r="L482">
        <v>91.44</v>
      </c>
      <c r="M482">
        <v>1.143</v>
      </c>
      <c r="N482">
        <v>1.143</v>
      </c>
      <c r="O482" t="s">
        <v>58</v>
      </c>
      <c r="P482" t="s">
        <v>58</v>
      </c>
      <c r="Q482" t="s">
        <v>330</v>
      </c>
      <c r="R482">
        <v>0</v>
      </c>
      <c r="S482">
        <v>0</v>
      </c>
      <c r="T482" t="s">
        <v>31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x14ac:dyDescent="0.3">
      <c r="A483">
        <v>460</v>
      </c>
      <c r="B483" t="s">
        <v>329</v>
      </c>
      <c r="C483" t="s">
        <v>130</v>
      </c>
      <c r="D483" t="s">
        <v>66</v>
      </c>
      <c r="E483" t="s">
        <v>32</v>
      </c>
      <c r="F483" s="3">
        <v>45657</v>
      </c>
      <c r="G483">
        <v>2024</v>
      </c>
      <c r="H483" t="s">
        <v>44</v>
      </c>
      <c r="I483" t="s">
        <v>53</v>
      </c>
      <c r="J483">
        <v>2</v>
      </c>
      <c r="L483">
        <v>94.85</v>
      </c>
      <c r="O483" t="s">
        <v>284</v>
      </c>
      <c r="P483" t="s">
        <v>58</v>
      </c>
      <c r="Q483" t="s">
        <v>330</v>
      </c>
      <c r="R483">
        <v>0</v>
      </c>
      <c r="S483">
        <v>0</v>
      </c>
      <c r="T483" t="s">
        <v>31</v>
      </c>
      <c r="U483" t="s">
        <v>37</v>
      </c>
      <c r="V483" t="s">
        <v>130</v>
      </c>
      <c r="W483" t="s">
        <v>73</v>
      </c>
      <c r="X483" t="s">
        <v>218</v>
      </c>
      <c r="Y483" t="s">
        <v>331</v>
      </c>
      <c r="Z483" t="s">
        <v>134</v>
      </c>
      <c r="AA483" t="s">
        <v>135</v>
      </c>
      <c r="AB483" t="s">
        <v>43</v>
      </c>
      <c r="AC483" t="s">
        <v>66</v>
      </c>
    </row>
    <row r="484" spans="1:29" x14ac:dyDescent="0.3">
      <c r="A484">
        <v>460</v>
      </c>
      <c r="B484" t="s">
        <v>329</v>
      </c>
      <c r="C484" t="s">
        <v>130</v>
      </c>
      <c r="D484" t="s">
        <v>66</v>
      </c>
      <c r="E484" t="s">
        <v>32</v>
      </c>
      <c r="F484" s="3">
        <v>45657</v>
      </c>
      <c r="G484">
        <v>2024</v>
      </c>
      <c r="H484" t="s">
        <v>44</v>
      </c>
      <c r="I484" t="s">
        <v>53</v>
      </c>
      <c r="K484">
        <v>80</v>
      </c>
      <c r="L484">
        <v>91.44</v>
      </c>
      <c r="M484">
        <v>1.143</v>
      </c>
      <c r="N484">
        <v>1.143</v>
      </c>
      <c r="O484" t="s">
        <v>58</v>
      </c>
      <c r="P484" t="s">
        <v>58</v>
      </c>
      <c r="Q484" t="s">
        <v>330</v>
      </c>
      <c r="R484">
        <v>0</v>
      </c>
      <c r="S484">
        <v>1</v>
      </c>
      <c r="T484" t="s">
        <v>443</v>
      </c>
      <c r="U484" t="s">
        <v>37</v>
      </c>
      <c r="V484" t="s">
        <v>130</v>
      </c>
      <c r="W484" t="s">
        <v>73</v>
      </c>
      <c r="X484" t="s">
        <v>218</v>
      </c>
      <c r="Y484" t="s">
        <v>331</v>
      </c>
      <c r="Z484" t="s">
        <v>134</v>
      </c>
      <c r="AA484" t="s">
        <v>135</v>
      </c>
      <c r="AB484" t="s">
        <v>43</v>
      </c>
      <c r="AC484" t="s">
        <v>66</v>
      </c>
    </row>
    <row r="485" spans="1:29" x14ac:dyDescent="0.3">
      <c r="A485">
        <v>460</v>
      </c>
      <c r="B485" t="s">
        <v>329</v>
      </c>
      <c r="C485" t="s">
        <v>130</v>
      </c>
      <c r="D485" t="s">
        <v>66</v>
      </c>
      <c r="E485" t="s">
        <v>32</v>
      </c>
      <c r="F485" s="3">
        <v>45838</v>
      </c>
      <c r="G485">
        <v>2025</v>
      </c>
      <c r="H485" t="s">
        <v>33</v>
      </c>
      <c r="I485" t="s">
        <v>404</v>
      </c>
      <c r="K485">
        <v>80</v>
      </c>
      <c r="L485">
        <v>91.44</v>
      </c>
      <c r="M485">
        <v>1.143</v>
      </c>
      <c r="N485">
        <v>1.143</v>
      </c>
      <c r="O485" t="s">
        <v>58</v>
      </c>
      <c r="P485" t="s">
        <v>58</v>
      </c>
      <c r="Q485" t="s">
        <v>454</v>
      </c>
      <c r="R485">
        <v>0</v>
      </c>
      <c r="S485">
        <v>1</v>
      </c>
      <c r="T485" t="s">
        <v>443</v>
      </c>
      <c r="U485" t="s">
        <v>37</v>
      </c>
      <c r="V485" t="s">
        <v>130</v>
      </c>
      <c r="W485" t="s">
        <v>73</v>
      </c>
      <c r="X485" t="s">
        <v>218</v>
      </c>
      <c r="Y485" t="s">
        <v>331</v>
      </c>
      <c r="Z485" t="s">
        <v>134</v>
      </c>
      <c r="AA485" t="s">
        <v>135</v>
      </c>
      <c r="AB485" t="s">
        <v>43</v>
      </c>
      <c r="AC485" t="s">
        <v>66</v>
      </c>
    </row>
    <row r="486" spans="1:29" x14ac:dyDescent="0.3">
      <c r="A486">
        <v>466</v>
      </c>
      <c r="B486" t="s">
        <v>341</v>
      </c>
      <c r="C486" t="s">
        <v>30</v>
      </c>
      <c r="D486" t="s">
        <v>31</v>
      </c>
      <c r="E486" t="s">
        <v>32</v>
      </c>
      <c r="F486" s="3">
        <v>44926</v>
      </c>
      <c r="G486">
        <v>2022</v>
      </c>
      <c r="H486" t="s">
        <v>44</v>
      </c>
      <c r="I486" t="s">
        <v>45</v>
      </c>
      <c r="J486">
        <v>2</v>
      </c>
      <c r="K486">
        <v>25</v>
      </c>
      <c r="L486">
        <v>43.56</v>
      </c>
      <c r="M486">
        <v>1.3</v>
      </c>
      <c r="N486">
        <v>1.7423999999999999</v>
      </c>
      <c r="O486" t="s">
        <v>35</v>
      </c>
      <c r="P486" t="s">
        <v>245</v>
      </c>
      <c r="Q486" t="s">
        <v>451</v>
      </c>
      <c r="R486">
        <v>1</v>
      </c>
      <c r="S486">
        <v>1</v>
      </c>
      <c r="T486" t="s">
        <v>31</v>
      </c>
      <c r="U486" t="s">
        <v>37</v>
      </c>
      <c r="V486" t="s">
        <v>342</v>
      </c>
      <c r="W486" t="s">
        <v>112</v>
      </c>
      <c r="X486" t="s">
        <v>113</v>
      </c>
      <c r="Y486" t="s">
        <v>114</v>
      </c>
      <c r="Z486" t="s">
        <v>41</v>
      </c>
      <c r="AA486" t="s">
        <v>102</v>
      </c>
      <c r="AB486" t="s">
        <v>43</v>
      </c>
      <c r="AC486" t="s">
        <v>66</v>
      </c>
    </row>
    <row r="487" spans="1:29" x14ac:dyDescent="0.3">
      <c r="A487">
        <v>466</v>
      </c>
      <c r="B487" t="s">
        <v>341</v>
      </c>
      <c r="C487" t="s">
        <v>30</v>
      </c>
      <c r="D487" t="s">
        <v>31</v>
      </c>
      <c r="E487" t="s">
        <v>32</v>
      </c>
      <c r="F487" s="3">
        <v>45291</v>
      </c>
      <c r="G487">
        <v>2023</v>
      </c>
      <c r="H487" t="s">
        <v>44</v>
      </c>
      <c r="I487" t="s">
        <v>49</v>
      </c>
      <c r="J487">
        <v>2</v>
      </c>
      <c r="K487">
        <v>42</v>
      </c>
      <c r="L487">
        <v>53.34</v>
      </c>
      <c r="M487">
        <v>1.27</v>
      </c>
      <c r="N487">
        <v>1.27</v>
      </c>
      <c r="O487" t="s">
        <v>35</v>
      </c>
      <c r="P487" t="s">
        <v>245</v>
      </c>
      <c r="Q487" t="s">
        <v>452</v>
      </c>
      <c r="R487">
        <v>1</v>
      </c>
      <c r="S487">
        <v>1</v>
      </c>
      <c r="T487" t="s">
        <v>31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x14ac:dyDescent="0.3">
      <c r="A488">
        <v>466</v>
      </c>
      <c r="B488" t="s">
        <v>341</v>
      </c>
      <c r="C488" t="s">
        <v>30</v>
      </c>
      <c r="D488" t="s">
        <v>31</v>
      </c>
      <c r="E488" t="s">
        <v>32</v>
      </c>
      <c r="F488" s="3">
        <v>44926</v>
      </c>
      <c r="G488">
        <v>2022</v>
      </c>
      <c r="H488" t="s">
        <v>44</v>
      </c>
      <c r="I488" t="s">
        <v>45</v>
      </c>
      <c r="K488">
        <v>25</v>
      </c>
      <c r="L488">
        <v>43.56</v>
      </c>
      <c r="M488">
        <v>1.3</v>
      </c>
      <c r="N488">
        <v>1.7423999999999999</v>
      </c>
      <c r="O488" t="s">
        <v>35</v>
      </c>
      <c r="P488" t="s">
        <v>245</v>
      </c>
      <c r="Q488" t="s">
        <v>451</v>
      </c>
      <c r="R488">
        <v>1</v>
      </c>
      <c r="S488">
        <v>1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x14ac:dyDescent="0.3">
      <c r="A489">
        <v>466</v>
      </c>
      <c r="B489" t="s">
        <v>341</v>
      </c>
      <c r="C489" t="s">
        <v>30</v>
      </c>
      <c r="D489" t="s">
        <v>31</v>
      </c>
      <c r="E489" t="s">
        <v>32</v>
      </c>
      <c r="F489" s="3">
        <v>45291</v>
      </c>
      <c r="G489">
        <v>2023</v>
      </c>
      <c r="H489" t="s">
        <v>44</v>
      </c>
      <c r="I489" t="s">
        <v>49</v>
      </c>
      <c r="K489">
        <v>42</v>
      </c>
      <c r="L489">
        <v>53.34</v>
      </c>
      <c r="M489">
        <v>1.27</v>
      </c>
      <c r="N489">
        <v>1.27</v>
      </c>
      <c r="O489" t="s">
        <v>35</v>
      </c>
      <c r="P489" t="s">
        <v>245</v>
      </c>
      <c r="Q489" t="s">
        <v>452</v>
      </c>
      <c r="R489">
        <v>1</v>
      </c>
      <c r="S489">
        <v>1</v>
      </c>
      <c r="T489" t="s">
        <v>443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x14ac:dyDescent="0.3">
      <c r="A490">
        <v>466</v>
      </c>
      <c r="B490" t="s">
        <v>341</v>
      </c>
      <c r="C490" t="s">
        <v>342</v>
      </c>
      <c r="D490" t="s">
        <v>31</v>
      </c>
      <c r="E490" t="s">
        <v>32</v>
      </c>
      <c r="F490" s="3">
        <v>45473</v>
      </c>
      <c r="G490">
        <v>2024</v>
      </c>
      <c r="H490" t="s">
        <v>33</v>
      </c>
      <c r="I490" t="s">
        <v>51</v>
      </c>
      <c r="J490">
        <v>1</v>
      </c>
      <c r="K490">
        <v>50</v>
      </c>
      <c r="L490">
        <v>59.6</v>
      </c>
      <c r="M490">
        <v>1.1919999999999999</v>
      </c>
      <c r="N490">
        <v>1.1919999999999999</v>
      </c>
      <c r="O490" t="s">
        <v>35</v>
      </c>
      <c r="P490" t="s">
        <v>245</v>
      </c>
      <c r="Q490" t="s">
        <v>343</v>
      </c>
      <c r="R490">
        <v>0</v>
      </c>
      <c r="S490">
        <v>0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x14ac:dyDescent="0.3">
      <c r="A491">
        <v>466</v>
      </c>
      <c r="B491" t="s">
        <v>341</v>
      </c>
      <c r="C491" t="s">
        <v>342</v>
      </c>
      <c r="D491" t="s">
        <v>31</v>
      </c>
      <c r="E491" t="s">
        <v>32</v>
      </c>
      <c r="F491" s="3">
        <v>45657</v>
      </c>
      <c r="G491">
        <v>2024</v>
      </c>
      <c r="H491" t="s">
        <v>44</v>
      </c>
      <c r="I491" t="s">
        <v>53</v>
      </c>
      <c r="K491">
        <v>50</v>
      </c>
      <c r="L491">
        <v>53.8</v>
      </c>
      <c r="M491">
        <v>1.0760000000000001</v>
      </c>
      <c r="N491">
        <v>1.0760000000000001</v>
      </c>
      <c r="O491" t="s">
        <v>35</v>
      </c>
      <c r="P491" t="s">
        <v>245</v>
      </c>
      <c r="Q491" t="s">
        <v>344</v>
      </c>
      <c r="R491">
        <v>0</v>
      </c>
      <c r="S491">
        <v>0</v>
      </c>
      <c r="T491" t="s">
        <v>443</v>
      </c>
      <c r="U491" t="s">
        <v>37</v>
      </c>
      <c r="V491" t="s">
        <v>342</v>
      </c>
      <c r="W491" t="s">
        <v>112</v>
      </c>
      <c r="X491" t="s">
        <v>113</v>
      </c>
      <c r="Y491" t="s">
        <v>114</v>
      </c>
      <c r="Z491" t="s">
        <v>41</v>
      </c>
      <c r="AA491" t="s">
        <v>102</v>
      </c>
      <c r="AB491" t="s">
        <v>43</v>
      </c>
      <c r="AC491" t="s">
        <v>66</v>
      </c>
    </row>
    <row r="492" spans="1:29" x14ac:dyDescent="0.3">
      <c r="A492">
        <v>466</v>
      </c>
      <c r="B492" t="s">
        <v>341</v>
      </c>
      <c r="C492" t="s">
        <v>30</v>
      </c>
      <c r="D492" t="s">
        <v>31</v>
      </c>
      <c r="E492" t="s">
        <v>32</v>
      </c>
      <c r="F492" s="3">
        <v>45657</v>
      </c>
      <c r="G492">
        <v>2024</v>
      </c>
      <c r="H492" t="s">
        <v>44</v>
      </c>
      <c r="I492" t="s">
        <v>53</v>
      </c>
      <c r="J492">
        <v>2</v>
      </c>
      <c r="K492">
        <v>50</v>
      </c>
      <c r="L492">
        <v>53.8</v>
      </c>
      <c r="M492">
        <v>1.0760000000000001</v>
      </c>
      <c r="N492">
        <v>1.0760000000000001</v>
      </c>
      <c r="O492" t="s">
        <v>35</v>
      </c>
      <c r="P492" t="s">
        <v>245</v>
      </c>
      <c r="Q492" t="s">
        <v>344</v>
      </c>
      <c r="R492">
        <v>1</v>
      </c>
      <c r="S492">
        <v>1</v>
      </c>
      <c r="T492" t="s">
        <v>31</v>
      </c>
      <c r="U492" t="s">
        <v>37</v>
      </c>
      <c r="V492" t="s">
        <v>342</v>
      </c>
      <c r="W492" t="s">
        <v>112</v>
      </c>
      <c r="X492" t="s">
        <v>113</v>
      </c>
      <c r="Y492" t="s">
        <v>114</v>
      </c>
      <c r="Z492" t="s">
        <v>41</v>
      </c>
      <c r="AA492" t="s">
        <v>102</v>
      </c>
      <c r="AB492" t="s">
        <v>43</v>
      </c>
      <c r="AC492" t="s">
        <v>66</v>
      </c>
    </row>
    <row r="493" spans="1:29" x14ac:dyDescent="0.3">
      <c r="A493">
        <v>466</v>
      </c>
      <c r="B493" t="s">
        <v>341</v>
      </c>
      <c r="C493" t="s">
        <v>30</v>
      </c>
      <c r="D493" t="s">
        <v>31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J493">
        <v>2</v>
      </c>
      <c r="K493">
        <v>50</v>
      </c>
      <c r="L493">
        <v>58.6</v>
      </c>
      <c r="M493">
        <f>+L493/K493</f>
        <v>1.1719999999999999</v>
      </c>
      <c r="N493">
        <v>1.0760000000000001</v>
      </c>
      <c r="O493" t="s">
        <v>35</v>
      </c>
      <c r="P493" t="s">
        <v>245</v>
      </c>
      <c r="Q493" t="s">
        <v>457</v>
      </c>
      <c r="R493">
        <v>1</v>
      </c>
      <c r="S493">
        <v>1</v>
      </c>
      <c r="T493" t="s">
        <v>31</v>
      </c>
      <c r="U493" t="s">
        <v>37</v>
      </c>
      <c r="V493" t="s">
        <v>342</v>
      </c>
      <c r="W493" t="s">
        <v>112</v>
      </c>
      <c r="X493" t="s">
        <v>113</v>
      </c>
      <c r="Y493" t="s">
        <v>114</v>
      </c>
      <c r="Z493" t="s">
        <v>41</v>
      </c>
      <c r="AA493" t="s">
        <v>102</v>
      </c>
      <c r="AB493" t="s">
        <v>43</v>
      </c>
      <c r="AC493" t="s">
        <v>66</v>
      </c>
    </row>
    <row r="494" spans="1:29" x14ac:dyDescent="0.3">
      <c r="A494">
        <v>203</v>
      </c>
      <c r="B494" t="s">
        <v>141</v>
      </c>
      <c r="C494" t="s">
        <v>142</v>
      </c>
      <c r="D494" t="s">
        <v>31</v>
      </c>
      <c r="E494" t="s">
        <v>32</v>
      </c>
      <c r="F494" s="3">
        <v>46022</v>
      </c>
      <c r="G494">
        <f>YEAR(F494)</f>
        <v>2025</v>
      </c>
      <c r="H494" t="str">
        <f>PROPER(TEXT(F494,"mmmm"))</f>
        <v>Diciembre</v>
      </c>
      <c r="I494" t="str">
        <f>IF(H494="Junio",G494&amp;"-1",G494&amp;"-2")</f>
        <v>2025-2</v>
      </c>
      <c r="J494">
        <v>2</v>
      </c>
      <c r="L494">
        <v>159354.82822823568</v>
      </c>
      <c r="O494" t="s">
        <v>143</v>
      </c>
      <c r="P494" t="s">
        <v>143</v>
      </c>
      <c r="Q494" t="str">
        <f>A494&amp;"-"&amp;TEXT(F494,"yyyy-mm-dd")</f>
        <v>203-2025-12-31</v>
      </c>
      <c r="R494">
        <v>0</v>
      </c>
      <c r="S494">
        <v>0</v>
      </c>
      <c r="T494" t="s">
        <v>31</v>
      </c>
      <c r="U494" t="s">
        <v>37</v>
      </c>
      <c r="V494" t="s">
        <v>142</v>
      </c>
      <c r="W494" t="s">
        <v>145</v>
      </c>
      <c r="X494" t="s">
        <v>146</v>
      </c>
      <c r="Y494" t="s">
        <v>147</v>
      </c>
      <c r="Z494" t="s">
        <v>63</v>
      </c>
      <c r="AA494" t="s">
        <v>148</v>
      </c>
      <c r="AB494" t="s">
        <v>78</v>
      </c>
      <c r="AC494" t="s">
        <v>66</v>
      </c>
    </row>
    <row r="495" spans="1:29" x14ac:dyDescent="0.3">
      <c r="A495">
        <v>203</v>
      </c>
      <c r="B495" t="s">
        <v>141</v>
      </c>
      <c r="C495" t="s">
        <v>142</v>
      </c>
      <c r="D495" t="s">
        <v>31</v>
      </c>
      <c r="E495" t="s">
        <v>32</v>
      </c>
      <c r="F495" s="3">
        <v>46022</v>
      </c>
      <c r="G495">
        <f>YEAR(F495)</f>
        <v>2025</v>
      </c>
      <c r="H495" t="str">
        <f>PROPER(TEXT(F495,"mmmm"))</f>
        <v>Diciembre</v>
      </c>
      <c r="I495" t="str">
        <f>IF(H495="Junio",G495&amp;"-1",G495&amp;"-2")</f>
        <v>2025-2</v>
      </c>
      <c r="L495">
        <v>309304.69728996162</v>
      </c>
      <c r="O495" t="s">
        <v>143</v>
      </c>
      <c r="P495" t="s">
        <v>143</v>
      </c>
      <c r="Q495" t="str">
        <f>A495&amp;"-"&amp;TEXT(F495,"yyyy-mm-dd")</f>
        <v>203-2025-12-31</v>
      </c>
      <c r="R495">
        <v>0</v>
      </c>
      <c r="S495">
        <v>0</v>
      </c>
      <c r="T495" t="s">
        <v>443</v>
      </c>
      <c r="U495" t="s">
        <v>37</v>
      </c>
      <c r="V495" t="s">
        <v>142</v>
      </c>
      <c r="W495" t="s">
        <v>145</v>
      </c>
      <c r="X495" t="s">
        <v>146</v>
      </c>
      <c r="Y495" t="s">
        <v>147</v>
      </c>
      <c r="Z495" t="s">
        <v>63</v>
      </c>
      <c r="AA495" t="s">
        <v>148</v>
      </c>
      <c r="AB495" t="s">
        <v>78</v>
      </c>
      <c r="AC495" t="s">
        <v>66</v>
      </c>
    </row>
    <row r="496" spans="1:29" x14ac:dyDescent="0.3">
      <c r="A496">
        <v>148</v>
      </c>
      <c r="B496" t="s">
        <v>104</v>
      </c>
      <c r="C496" t="s">
        <v>105</v>
      </c>
      <c r="D496" t="s">
        <v>31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5.2</v>
      </c>
      <c r="L496">
        <v>5.2</v>
      </c>
      <c r="M496">
        <v>1.02</v>
      </c>
      <c r="N496">
        <v>1.02</v>
      </c>
      <c r="O496" t="s">
        <v>58</v>
      </c>
      <c r="P496" t="s">
        <v>58</v>
      </c>
      <c r="Q496" t="s">
        <v>406</v>
      </c>
      <c r="R496">
        <v>0</v>
      </c>
      <c r="S496">
        <v>1</v>
      </c>
      <c r="T496" t="s">
        <v>31</v>
      </c>
      <c r="U496" t="s">
        <v>37</v>
      </c>
      <c r="V496" t="s">
        <v>105</v>
      </c>
      <c r="W496" t="s">
        <v>73</v>
      </c>
      <c r="X496" t="s">
        <v>74</v>
      </c>
      <c r="Y496" t="s">
        <v>75</v>
      </c>
      <c r="Z496" t="s">
        <v>76</v>
      </c>
      <c r="AA496" t="s">
        <v>77</v>
      </c>
      <c r="AB496" t="s">
        <v>43</v>
      </c>
      <c r="AC496" t="s">
        <v>31</v>
      </c>
    </row>
    <row r="497" spans="1:29" x14ac:dyDescent="0.3">
      <c r="A497">
        <v>466</v>
      </c>
      <c r="B497" t="s">
        <v>341</v>
      </c>
      <c r="C497" t="s">
        <v>30</v>
      </c>
      <c r="D497" t="s">
        <v>31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K497">
        <v>55</v>
      </c>
      <c r="L497">
        <v>58.6</v>
      </c>
      <c r="M497">
        <f>+L497/K497</f>
        <v>1.0654545454545454</v>
      </c>
      <c r="N497">
        <v>1.0760000000000001</v>
      </c>
      <c r="O497" t="s">
        <v>35</v>
      </c>
      <c r="P497" t="s">
        <v>245</v>
      </c>
      <c r="Q497" t="s">
        <v>487</v>
      </c>
      <c r="R497">
        <v>1</v>
      </c>
      <c r="S497">
        <v>1</v>
      </c>
      <c r="T497" t="s">
        <v>443</v>
      </c>
      <c r="U497" t="s">
        <v>37</v>
      </c>
      <c r="V497" t="s">
        <v>342</v>
      </c>
      <c r="W497" t="s">
        <v>112</v>
      </c>
      <c r="X497" t="s">
        <v>113</v>
      </c>
      <c r="Y497" t="s">
        <v>114</v>
      </c>
      <c r="Z497" t="s">
        <v>41</v>
      </c>
      <c r="AA497" t="s">
        <v>102</v>
      </c>
      <c r="AB497" t="s">
        <v>43</v>
      </c>
      <c r="AC497" t="s">
        <v>66</v>
      </c>
    </row>
    <row r="498" spans="1:29" x14ac:dyDescent="0.3">
      <c r="A498">
        <v>109</v>
      </c>
      <c r="B498" t="s">
        <v>96</v>
      </c>
      <c r="C498" t="s">
        <v>99</v>
      </c>
      <c r="D498" t="s">
        <v>66</v>
      </c>
      <c r="E498" t="s">
        <v>32</v>
      </c>
      <c r="F498" s="3">
        <v>46022</v>
      </c>
      <c r="G498">
        <v>2024</v>
      </c>
      <c r="H498" t="s">
        <v>44</v>
      </c>
      <c r="I498" t="s">
        <v>465</v>
      </c>
      <c r="J498">
        <v>2</v>
      </c>
      <c r="K498">
        <v>80</v>
      </c>
      <c r="L498">
        <v>94</v>
      </c>
      <c r="M498">
        <f>+L498/K498</f>
        <v>1.175</v>
      </c>
      <c r="N498">
        <v>1.0625</v>
      </c>
      <c r="O498" t="s">
        <v>58</v>
      </c>
      <c r="P498" t="s">
        <v>58</v>
      </c>
      <c r="Q498" t="s">
        <v>488</v>
      </c>
      <c r="R498">
        <v>0</v>
      </c>
      <c r="S498">
        <v>0</v>
      </c>
      <c r="T498" t="s">
        <v>31</v>
      </c>
      <c r="U498" t="s">
        <v>37</v>
      </c>
      <c r="V498" t="s">
        <v>99</v>
      </c>
      <c r="W498" t="s">
        <v>60</v>
      </c>
      <c r="X498" t="s">
        <v>100</v>
      </c>
      <c r="Z498" t="s">
        <v>101</v>
      </c>
      <c r="AA498" t="s">
        <v>102</v>
      </c>
      <c r="AB498" t="s">
        <v>65</v>
      </c>
      <c r="AC498" t="s">
        <v>66</v>
      </c>
    </row>
    <row r="499" spans="1:29" x14ac:dyDescent="0.3">
      <c r="A499">
        <v>386.1</v>
      </c>
      <c r="B499" t="s">
        <v>377</v>
      </c>
      <c r="C499" t="s">
        <v>310</v>
      </c>
      <c r="D499" t="s">
        <v>31</v>
      </c>
      <c r="E499" t="s">
        <v>32</v>
      </c>
      <c r="F499" s="3">
        <v>46022</v>
      </c>
      <c r="G499">
        <v>2025</v>
      </c>
      <c r="H499" t="s">
        <v>44</v>
      </c>
      <c r="I499" t="s">
        <v>465</v>
      </c>
      <c r="L499">
        <f>4042632396/1000000</f>
        <v>4042.632396</v>
      </c>
      <c r="O499" t="s">
        <v>143</v>
      </c>
      <c r="P499" t="s">
        <v>143</v>
      </c>
      <c r="Q499" t="s">
        <v>490</v>
      </c>
      <c r="R499">
        <v>0</v>
      </c>
      <c r="S499">
        <v>0</v>
      </c>
      <c r="T499" t="s">
        <v>443</v>
      </c>
      <c r="U499" t="s">
        <v>37</v>
      </c>
      <c r="V499" t="s">
        <v>310</v>
      </c>
      <c r="W499" t="s">
        <v>312</v>
      </c>
      <c r="X499" t="s">
        <v>313</v>
      </c>
      <c r="Y499" t="s">
        <v>314</v>
      </c>
      <c r="AB499" t="s">
        <v>78</v>
      </c>
      <c r="AC499" t="s">
        <v>66</v>
      </c>
    </row>
    <row r="500" spans="1:29" x14ac:dyDescent="0.3">
      <c r="A500">
        <v>385</v>
      </c>
      <c r="B500" t="s">
        <v>309</v>
      </c>
      <c r="C500" t="s">
        <v>310</v>
      </c>
      <c r="D500" t="s">
        <v>31</v>
      </c>
      <c r="E500" t="s">
        <v>32</v>
      </c>
      <c r="F500" s="3">
        <v>46022</v>
      </c>
      <c r="G500">
        <v>2025</v>
      </c>
      <c r="H500" t="s">
        <v>44</v>
      </c>
      <c r="I500" t="s">
        <v>465</v>
      </c>
      <c r="L500">
        <f>17058242411/1000000</f>
        <v>17058.242410999999</v>
      </c>
      <c r="O500" t="s">
        <v>143</v>
      </c>
      <c r="P500" t="s">
        <v>143</v>
      </c>
      <c r="Q500" t="s">
        <v>486</v>
      </c>
      <c r="R500">
        <v>0</v>
      </c>
      <c r="S500">
        <v>0</v>
      </c>
      <c r="T500" t="s">
        <v>443</v>
      </c>
      <c r="U500" t="s">
        <v>37</v>
      </c>
      <c r="V500" t="s">
        <v>310</v>
      </c>
      <c r="W500" t="s">
        <v>312</v>
      </c>
      <c r="X500" t="s">
        <v>313</v>
      </c>
      <c r="Y500" t="s">
        <v>314</v>
      </c>
      <c r="AB500" t="s">
        <v>43</v>
      </c>
      <c r="AC500" t="s">
        <v>66</v>
      </c>
    </row>
    <row r="501" spans="1:29" x14ac:dyDescent="0.3">
      <c r="A501">
        <v>423</v>
      </c>
      <c r="B501" t="s">
        <v>320</v>
      </c>
      <c r="C501" t="s">
        <v>83</v>
      </c>
      <c r="D501" t="s">
        <v>66</v>
      </c>
      <c r="E501" t="s">
        <v>32</v>
      </c>
      <c r="F501" s="3">
        <v>46022</v>
      </c>
      <c r="G501">
        <v>2025</v>
      </c>
      <c r="H501" t="s">
        <v>44</v>
      </c>
      <c r="I501" t="s">
        <v>465</v>
      </c>
      <c r="K501">
        <v>12</v>
      </c>
      <c r="L501">
        <v>15.1</v>
      </c>
      <c r="O501" t="s">
        <v>245</v>
      </c>
      <c r="P501" t="s">
        <v>245</v>
      </c>
      <c r="Q501" t="s">
        <v>494</v>
      </c>
      <c r="R501">
        <v>1</v>
      </c>
      <c r="S501">
        <v>1</v>
      </c>
      <c r="T501" t="s">
        <v>443</v>
      </c>
      <c r="U501" t="s">
        <v>37</v>
      </c>
      <c r="V501" t="s">
        <v>83</v>
      </c>
      <c r="W501" t="s">
        <v>38</v>
      </c>
      <c r="X501" t="s">
        <v>39</v>
      </c>
      <c r="Y501" t="s">
        <v>322</v>
      </c>
      <c r="Z501" t="s">
        <v>274</v>
      </c>
      <c r="AA501" t="s">
        <v>275</v>
      </c>
      <c r="AB501" t="s">
        <v>43</v>
      </c>
      <c r="AC501" t="s">
        <v>66</v>
      </c>
    </row>
    <row r="502" spans="1:29" x14ac:dyDescent="0.3">
      <c r="A502">
        <v>424</v>
      </c>
      <c r="B502" t="s">
        <v>325</v>
      </c>
      <c r="C502" t="s">
        <v>83</v>
      </c>
      <c r="D502" t="s">
        <v>66</v>
      </c>
      <c r="E502" t="s">
        <v>32</v>
      </c>
      <c r="F502" s="3">
        <v>46022</v>
      </c>
      <c r="G502">
        <v>2025</v>
      </c>
      <c r="H502" t="s">
        <v>44</v>
      </c>
      <c r="I502" t="s">
        <v>465</v>
      </c>
      <c r="K502">
        <v>9</v>
      </c>
      <c r="L502">
        <v>11</v>
      </c>
      <c r="O502" t="s">
        <v>35</v>
      </c>
      <c r="P502" t="s">
        <v>35</v>
      </c>
      <c r="Q502" t="s">
        <v>495</v>
      </c>
      <c r="R502">
        <v>0</v>
      </c>
      <c r="S502">
        <v>0</v>
      </c>
      <c r="T502" t="s">
        <v>443</v>
      </c>
      <c r="U502" t="s">
        <v>37</v>
      </c>
      <c r="V502" t="s">
        <v>83</v>
      </c>
      <c r="W502" t="s">
        <v>38</v>
      </c>
      <c r="X502" t="s">
        <v>39</v>
      </c>
      <c r="Y502" t="s">
        <v>322</v>
      </c>
      <c r="Z502" t="s">
        <v>274</v>
      </c>
      <c r="AA502" t="s">
        <v>275</v>
      </c>
      <c r="AB502" t="s">
        <v>43</v>
      </c>
      <c r="AC502" t="s">
        <v>66</v>
      </c>
    </row>
    <row r="503" spans="1:29" x14ac:dyDescent="0.3">
      <c r="J503" s="7"/>
      <c r="L503" s="8"/>
    </row>
    <row r="504" spans="1:29" x14ac:dyDescent="0.3">
      <c r="L504" s="8"/>
    </row>
    <row r="505" spans="1:29" x14ac:dyDescent="0.3">
      <c r="L505" s="8"/>
    </row>
  </sheetData>
  <autoFilter ref="A1:AC502" xr:uid="{00000000-0001-0000-0000-000000000000}"/>
  <sortState xmlns:xlrd2="http://schemas.microsoft.com/office/spreadsheetml/2017/richdata2" ref="A2:AC493">
    <sortCondition ref="A2:A493"/>
    <sortCondition ref="F2:F49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2025-11-10T19:08:03Z</dcterms:modified>
</cp:coreProperties>
</file>