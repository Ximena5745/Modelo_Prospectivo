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Modelo_Prospectivo/Data/"/>
    </mc:Choice>
  </mc:AlternateContent>
  <xr:revisionPtr revIDLastSave="421" documentId="13_ncr:1_{1F4801C9-ED16-400C-AD37-A33B0E67B3CA}" xr6:coauthVersionLast="47" xr6:coauthVersionMax="47" xr10:uidLastSave="{87619B33-ACE9-4934-8C47-9C90E5CDF4BA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1" hidden="1">Base_Indicadores!$A$1:$M$58</definedName>
    <definedName name="_xlnm._FilterDatabase" localSheetId="0" hidden="1">Unificado!$A$1:$AC$508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3" i="1" l="1"/>
  <c r="N222" i="1"/>
  <c r="N221" i="1"/>
  <c r="N220" i="1"/>
  <c r="N219" i="1"/>
  <c r="N218" i="1"/>
  <c r="N217" i="1"/>
  <c r="N224" i="1"/>
  <c r="M224" i="1"/>
  <c r="M223" i="1"/>
  <c r="M222" i="1"/>
  <c r="M221" i="1"/>
  <c r="M220" i="1"/>
  <c r="M219" i="1"/>
  <c r="M218" i="1"/>
  <c r="M217" i="1"/>
  <c r="L224" i="1"/>
  <c r="K224" i="1"/>
  <c r="L482" i="1"/>
  <c r="L433" i="1"/>
  <c r="K482" i="1"/>
  <c r="K433" i="1"/>
  <c r="L440" i="1"/>
  <c r="L441" i="1"/>
  <c r="N343" i="1"/>
  <c r="N342" i="1"/>
  <c r="N341" i="1"/>
  <c r="N340" i="1"/>
  <c r="N339" i="1"/>
  <c r="N338" i="1"/>
  <c r="N489" i="1"/>
  <c r="M489" i="1"/>
  <c r="M338" i="1"/>
  <c r="M339" i="1"/>
  <c r="M340" i="1"/>
  <c r="M341" i="1"/>
  <c r="M342" i="1"/>
  <c r="M343" i="1"/>
  <c r="L449" i="1"/>
  <c r="L448" i="1"/>
  <c r="M496" i="1"/>
  <c r="N496" i="1"/>
  <c r="N495" i="1"/>
  <c r="N188" i="1"/>
  <c r="N187" i="1"/>
  <c r="L505" i="1"/>
  <c r="N505" i="1" s="1"/>
  <c r="L232" i="1"/>
  <c r="N225" i="1"/>
  <c r="M225" i="1"/>
  <c r="N226" i="1"/>
  <c r="M226" i="1"/>
  <c r="N227" i="1"/>
  <c r="M227" i="1"/>
  <c r="N228" i="1"/>
  <c r="M228" i="1"/>
  <c r="N229" i="1"/>
  <c r="M229" i="1"/>
  <c r="N230" i="1"/>
  <c r="M230" i="1"/>
  <c r="N231" i="1"/>
  <c r="M231" i="1"/>
  <c r="N232" i="1"/>
  <c r="M232" i="1"/>
  <c r="N146" i="1"/>
  <c r="N147" i="1"/>
  <c r="N148" i="1"/>
  <c r="N149" i="1"/>
  <c r="N503" i="1"/>
  <c r="M503" i="1"/>
  <c r="M146" i="1"/>
  <c r="M147" i="1"/>
  <c r="M148" i="1"/>
  <c r="M149" i="1"/>
  <c r="L483" i="1"/>
  <c r="L426" i="1"/>
  <c r="N336" i="1"/>
  <c r="M336" i="1"/>
  <c r="M330" i="1"/>
  <c r="M331" i="1"/>
  <c r="M332" i="1"/>
  <c r="M337" i="1"/>
  <c r="M335" i="1"/>
  <c r="M334" i="1"/>
  <c r="M333" i="1"/>
  <c r="N326" i="1"/>
  <c r="N327" i="1"/>
  <c r="N328" i="1"/>
  <c r="N329" i="1"/>
  <c r="N330" i="1"/>
  <c r="N331" i="1"/>
  <c r="N332" i="1"/>
  <c r="N333" i="1"/>
  <c r="N334" i="1"/>
  <c r="N335" i="1"/>
  <c r="N337" i="1"/>
  <c r="M505" i="1" l="1"/>
  <c r="L391" i="1" l="1"/>
  <c r="L390" i="1"/>
  <c r="L477" i="1"/>
  <c r="L476" i="1"/>
  <c r="L486" i="1"/>
  <c r="N486" i="1" s="1"/>
  <c r="L396" i="1"/>
  <c r="N396" i="1" s="1"/>
  <c r="N209" i="1"/>
  <c r="N211" i="1"/>
  <c r="N212" i="1"/>
  <c r="L214" i="1"/>
  <c r="L213" i="1"/>
  <c r="K213" i="1"/>
  <c r="N504" i="1"/>
  <c r="M504" i="1"/>
  <c r="N466" i="1"/>
  <c r="N467" i="1"/>
  <c r="N468" i="1"/>
  <c r="M466" i="1"/>
  <c r="M467" i="1"/>
  <c r="M468" i="1"/>
  <c r="N355" i="1"/>
  <c r="N354" i="1"/>
  <c r="N353" i="1"/>
  <c r="N352" i="1"/>
  <c r="N351" i="1"/>
  <c r="N350" i="1"/>
  <c r="N349" i="1"/>
  <c r="N356" i="1"/>
  <c r="M355" i="1"/>
  <c r="M354" i="1"/>
  <c r="M353" i="1"/>
  <c r="M352" i="1"/>
  <c r="M351" i="1"/>
  <c r="M350" i="1"/>
  <c r="M349" i="1"/>
  <c r="M356" i="1"/>
  <c r="N279" i="1"/>
  <c r="N278" i="1"/>
  <c r="N277" i="1"/>
  <c r="N276" i="1"/>
  <c r="N275" i="1"/>
  <c r="N274" i="1"/>
  <c r="N273" i="1"/>
  <c r="N272" i="1"/>
  <c r="N271" i="1"/>
  <c r="N270" i="1"/>
  <c r="N269" i="1"/>
  <c r="M279" i="1"/>
  <c r="M278" i="1"/>
  <c r="M277" i="1"/>
  <c r="M276" i="1"/>
  <c r="M275" i="1"/>
  <c r="M274" i="1"/>
  <c r="M273" i="1"/>
  <c r="M272" i="1"/>
  <c r="M271" i="1"/>
  <c r="M270" i="1"/>
  <c r="M269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96" i="1"/>
  <c r="N95" i="1"/>
  <c r="N94" i="1"/>
  <c r="N93" i="1"/>
  <c r="N92" i="1"/>
  <c r="N91" i="1"/>
  <c r="N90" i="1"/>
  <c r="N89" i="1"/>
  <c r="N88" i="1"/>
  <c r="N87" i="1"/>
  <c r="N86" i="1"/>
  <c r="M96" i="1"/>
  <c r="M95" i="1"/>
  <c r="M94" i="1"/>
  <c r="M93" i="1"/>
  <c r="M92" i="1"/>
  <c r="M91" i="1"/>
  <c r="M90" i="1"/>
  <c r="M89" i="1"/>
  <c r="M88" i="1"/>
  <c r="M87" i="1"/>
  <c r="M86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73" i="1"/>
  <c r="N72" i="1"/>
  <c r="N71" i="1"/>
  <c r="N70" i="1"/>
  <c r="N69" i="1"/>
  <c r="N68" i="1"/>
  <c r="N67" i="1"/>
  <c r="N66" i="1"/>
  <c r="N65" i="1"/>
  <c r="N64" i="1"/>
  <c r="N63" i="1"/>
  <c r="N62" i="1"/>
  <c r="M72" i="1"/>
  <c r="M71" i="1"/>
  <c r="M70" i="1"/>
  <c r="M69" i="1"/>
  <c r="M68" i="1"/>
  <c r="M67" i="1"/>
  <c r="M66" i="1"/>
  <c r="M65" i="1"/>
  <c r="M64" i="1"/>
  <c r="M63" i="1"/>
  <c r="M62" i="1"/>
  <c r="K214" i="1"/>
  <c r="M478" i="1"/>
  <c r="M162" i="1"/>
  <c r="M161" i="1"/>
  <c r="M160" i="1"/>
  <c r="M159" i="1"/>
  <c r="M158" i="1"/>
  <c r="M157" i="1"/>
  <c r="M156" i="1"/>
  <c r="M155" i="1"/>
  <c r="M154" i="1"/>
  <c r="N162" i="1"/>
  <c r="N213" i="1" l="1"/>
  <c r="N214" i="1"/>
  <c r="M486" i="1"/>
  <c r="M396" i="1"/>
  <c r="N447" i="1"/>
  <c r="N446" i="1"/>
  <c r="M447" i="1"/>
  <c r="M446" i="1"/>
  <c r="K449" i="1"/>
  <c r="K448" i="1"/>
  <c r="L445" i="1"/>
  <c r="N445" i="1" s="1"/>
  <c r="L444" i="1"/>
  <c r="N444" i="1" s="1"/>
  <c r="K443" i="1"/>
  <c r="K442" i="1"/>
  <c r="N439" i="1"/>
  <c r="N438" i="1"/>
  <c r="M439" i="1"/>
  <c r="M438" i="1"/>
  <c r="K441" i="1"/>
  <c r="K440" i="1"/>
  <c r="L437" i="1"/>
  <c r="M437" i="1" s="1"/>
  <c r="L436" i="1"/>
  <c r="N436" i="1" s="1"/>
  <c r="K435" i="1"/>
  <c r="K434" i="1"/>
  <c r="N482" i="1"/>
  <c r="N432" i="1"/>
  <c r="N431" i="1"/>
  <c r="N433" i="1" l="1"/>
  <c r="M440" i="1"/>
  <c r="M441" i="1"/>
  <c r="N449" i="1"/>
  <c r="N448" i="1"/>
  <c r="N437" i="1"/>
  <c r="N440" i="1"/>
  <c r="M444" i="1"/>
  <c r="M436" i="1"/>
  <c r="M445" i="1"/>
  <c r="N441" i="1"/>
  <c r="M448" i="1"/>
  <c r="M449" i="1"/>
  <c r="M482" i="1"/>
  <c r="M433" i="1"/>
  <c r="M432" i="1"/>
  <c r="M431" i="1"/>
  <c r="L430" i="1"/>
  <c r="N430" i="1" s="1"/>
  <c r="L429" i="1"/>
  <c r="M429" i="1" s="1"/>
  <c r="K428" i="1"/>
  <c r="L428" i="1"/>
  <c r="N428" i="1" s="1"/>
  <c r="K427" i="1"/>
  <c r="M430" i="1" l="1"/>
  <c r="M428" i="1"/>
  <c r="N429" i="1"/>
  <c r="N479" i="1"/>
  <c r="N475" i="1"/>
  <c r="N474" i="1"/>
  <c r="N473" i="1"/>
  <c r="N472" i="1"/>
  <c r="N471" i="1"/>
  <c r="N470" i="1"/>
  <c r="N469" i="1"/>
  <c r="M479" i="1"/>
  <c r="N485" i="1"/>
  <c r="N463" i="1"/>
  <c r="N462" i="1"/>
  <c r="N461" i="1"/>
  <c r="N460" i="1"/>
  <c r="N459" i="1"/>
  <c r="N458" i="1"/>
  <c r="N457" i="1"/>
  <c r="M457" i="1"/>
  <c r="M485" i="1"/>
  <c r="M463" i="1"/>
  <c r="M462" i="1"/>
  <c r="M461" i="1"/>
  <c r="M460" i="1"/>
  <c r="M459" i="1"/>
  <c r="M458" i="1"/>
  <c r="N484" i="1"/>
  <c r="N456" i="1"/>
  <c r="N455" i="1"/>
  <c r="N454" i="1"/>
  <c r="N453" i="1"/>
  <c r="N452" i="1"/>
  <c r="N451" i="1"/>
  <c r="N450" i="1"/>
  <c r="M484" i="1"/>
  <c r="M456" i="1"/>
  <c r="M455" i="1"/>
  <c r="M454" i="1"/>
  <c r="M453" i="1"/>
  <c r="M452" i="1"/>
  <c r="M451" i="1"/>
  <c r="M450" i="1"/>
  <c r="N425" i="1"/>
  <c r="N424" i="1"/>
  <c r="N423" i="1"/>
  <c r="N422" i="1"/>
  <c r="N421" i="1"/>
  <c r="N420" i="1"/>
  <c r="M420" i="1"/>
  <c r="M425" i="1"/>
  <c r="M424" i="1"/>
  <c r="M423" i="1"/>
  <c r="M422" i="1"/>
  <c r="M421" i="1"/>
  <c r="K483" i="1"/>
  <c r="K426" i="1"/>
  <c r="N419" i="1"/>
  <c r="N418" i="1"/>
  <c r="N417" i="1"/>
  <c r="N416" i="1"/>
  <c r="N415" i="1"/>
  <c r="N414" i="1"/>
  <c r="N413" i="1"/>
  <c r="N412" i="1"/>
  <c r="N411" i="1"/>
  <c r="N410" i="1"/>
  <c r="N409" i="1"/>
  <c r="M409" i="1"/>
  <c r="M419" i="1"/>
  <c r="M418" i="1"/>
  <c r="M417" i="1"/>
  <c r="M416" i="1"/>
  <c r="M415" i="1"/>
  <c r="M414" i="1"/>
  <c r="M413" i="1"/>
  <c r="M412" i="1"/>
  <c r="M411" i="1"/>
  <c r="M410" i="1"/>
  <c r="L502" i="1"/>
  <c r="K502" i="1"/>
  <c r="N389" i="1"/>
  <c r="N388" i="1"/>
  <c r="N387" i="1"/>
  <c r="N386" i="1"/>
  <c r="N385" i="1"/>
  <c r="N384" i="1"/>
  <c r="M384" i="1"/>
  <c r="M389" i="1"/>
  <c r="M388" i="1"/>
  <c r="M387" i="1"/>
  <c r="M386" i="1"/>
  <c r="M385" i="1"/>
  <c r="N391" i="1"/>
  <c r="N390" i="1"/>
  <c r="N426" i="1" l="1"/>
  <c r="M391" i="1"/>
  <c r="N483" i="1"/>
  <c r="M426" i="1"/>
  <c r="M483" i="1"/>
  <c r="M390" i="1"/>
  <c r="N502" i="1"/>
  <c r="M502" i="1"/>
  <c r="N382" i="1" l="1"/>
  <c r="N381" i="1"/>
  <c r="N380" i="1"/>
  <c r="N379" i="1"/>
  <c r="M379" i="1"/>
  <c r="M382" i="1"/>
  <c r="M381" i="1"/>
  <c r="M380" i="1"/>
  <c r="L383" i="1"/>
  <c r="K383" i="1"/>
  <c r="N383" i="1" s="1"/>
  <c r="N487" i="1"/>
  <c r="N375" i="1"/>
  <c r="N374" i="1"/>
  <c r="N373" i="1"/>
  <c r="N372" i="1"/>
  <c r="N371" i="1"/>
  <c r="N370" i="1"/>
  <c r="M370" i="1"/>
  <c r="M487" i="1"/>
  <c r="M375" i="1"/>
  <c r="M374" i="1"/>
  <c r="M373" i="1"/>
  <c r="M372" i="1"/>
  <c r="M371" i="1"/>
  <c r="N500" i="1"/>
  <c r="M500" i="1"/>
  <c r="N369" i="1"/>
  <c r="N368" i="1"/>
  <c r="N367" i="1"/>
  <c r="N366" i="1"/>
  <c r="N365" i="1"/>
  <c r="M369" i="1"/>
  <c r="M368" i="1"/>
  <c r="M367" i="1"/>
  <c r="M366" i="1"/>
  <c r="M365" i="1"/>
  <c r="N499" i="1"/>
  <c r="M499" i="1"/>
  <c r="N299" i="1"/>
  <c r="N298" i="1"/>
  <c r="N297" i="1"/>
  <c r="N296" i="1"/>
  <c r="N295" i="1"/>
  <c r="N294" i="1"/>
  <c r="N293" i="1"/>
  <c r="N292" i="1"/>
  <c r="M292" i="1"/>
  <c r="M299" i="1"/>
  <c r="M298" i="1"/>
  <c r="M297" i="1"/>
  <c r="M296" i="1"/>
  <c r="M295" i="1"/>
  <c r="M294" i="1"/>
  <c r="M293" i="1"/>
  <c r="N498" i="1"/>
  <c r="M498" i="1"/>
  <c r="N291" i="1"/>
  <c r="N290" i="1"/>
  <c r="N289" i="1"/>
  <c r="N288" i="1"/>
  <c r="N287" i="1"/>
  <c r="N286" i="1"/>
  <c r="N285" i="1"/>
  <c r="N284" i="1"/>
  <c r="N283" i="1"/>
  <c r="N282" i="1"/>
  <c r="N281" i="1"/>
  <c r="M281" i="1"/>
  <c r="M291" i="1"/>
  <c r="M290" i="1"/>
  <c r="M289" i="1"/>
  <c r="M288" i="1"/>
  <c r="M287" i="1"/>
  <c r="M286" i="1"/>
  <c r="M285" i="1"/>
  <c r="M284" i="1"/>
  <c r="M283" i="1"/>
  <c r="M282" i="1"/>
  <c r="N280" i="1"/>
  <c r="M280" i="1"/>
  <c r="N497" i="1"/>
  <c r="M497" i="1"/>
  <c r="N256" i="1"/>
  <c r="N255" i="1"/>
  <c r="N254" i="1"/>
  <c r="N253" i="1"/>
  <c r="N252" i="1"/>
  <c r="N251" i="1"/>
  <c r="N250" i="1"/>
  <c r="N249" i="1"/>
  <c r="N248" i="1"/>
  <c r="N247" i="1"/>
  <c r="N246" i="1"/>
  <c r="M256" i="1"/>
  <c r="M255" i="1"/>
  <c r="M254" i="1"/>
  <c r="M253" i="1"/>
  <c r="M252" i="1"/>
  <c r="M251" i="1"/>
  <c r="M250" i="1"/>
  <c r="M249" i="1"/>
  <c r="M248" i="1"/>
  <c r="M247" i="1"/>
  <c r="M246" i="1"/>
  <c r="N488" i="1"/>
  <c r="N245" i="1"/>
  <c r="N244" i="1"/>
  <c r="N243" i="1"/>
  <c r="N242" i="1"/>
  <c r="N241" i="1"/>
  <c r="N240" i="1"/>
  <c r="N239" i="1"/>
  <c r="M488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N233" i="1"/>
  <c r="N238" i="1"/>
  <c r="N237" i="1"/>
  <c r="N236" i="1"/>
  <c r="N235" i="1"/>
  <c r="N234" i="1"/>
  <c r="N208" i="1"/>
  <c r="N207" i="1"/>
  <c r="N206" i="1"/>
  <c r="N205" i="1"/>
  <c r="N204" i="1"/>
  <c r="N203" i="1"/>
  <c r="N202" i="1"/>
  <c r="N201" i="1"/>
  <c r="N200" i="1"/>
  <c r="N199" i="1"/>
  <c r="M208" i="1"/>
  <c r="M207" i="1"/>
  <c r="M206" i="1"/>
  <c r="M205" i="1"/>
  <c r="M204" i="1"/>
  <c r="M203" i="1"/>
  <c r="M202" i="1"/>
  <c r="M201" i="1"/>
  <c r="M200" i="1"/>
  <c r="M199" i="1"/>
  <c r="K477" i="1"/>
  <c r="K476" i="1"/>
  <c r="N476" i="1" s="1"/>
  <c r="N198" i="1"/>
  <c r="N197" i="1"/>
  <c r="N196" i="1"/>
  <c r="N195" i="1"/>
  <c r="M198" i="1"/>
  <c r="M197" i="1"/>
  <c r="M196" i="1"/>
  <c r="M195" i="1"/>
  <c r="M495" i="1"/>
  <c r="M188" i="1"/>
  <c r="M187" i="1"/>
  <c r="N494" i="1"/>
  <c r="M494" i="1"/>
  <c r="N184" i="1"/>
  <c r="N183" i="1"/>
  <c r="N182" i="1"/>
  <c r="N181" i="1"/>
  <c r="N180" i="1"/>
  <c r="N179" i="1"/>
  <c r="N178" i="1"/>
  <c r="N177" i="1"/>
  <c r="N176" i="1"/>
  <c r="N175" i="1"/>
  <c r="N174" i="1"/>
  <c r="M174" i="1"/>
  <c r="M184" i="1"/>
  <c r="M183" i="1"/>
  <c r="M182" i="1"/>
  <c r="M181" i="1"/>
  <c r="M180" i="1"/>
  <c r="M179" i="1"/>
  <c r="M178" i="1"/>
  <c r="M177" i="1"/>
  <c r="M176" i="1"/>
  <c r="M175" i="1"/>
  <c r="N493" i="1"/>
  <c r="N173" i="1"/>
  <c r="N172" i="1"/>
  <c r="N171" i="1"/>
  <c r="N170" i="1"/>
  <c r="N169" i="1"/>
  <c r="N168" i="1"/>
  <c r="N167" i="1"/>
  <c r="N166" i="1"/>
  <c r="N165" i="1"/>
  <c r="N164" i="1"/>
  <c r="N163" i="1"/>
  <c r="M163" i="1"/>
  <c r="M493" i="1"/>
  <c r="M173" i="1"/>
  <c r="M172" i="1"/>
  <c r="M171" i="1"/>
  <c r="M170" i="1"/>
  <c r="M169" i="1"/>
  <c r="M168" i="1"/>
  <c r="M167" i="1"/>
  <c r="M166" i="1"/>
  <c r="M165" i="1"/>
  <c r="M164" i="1"/>
  <c r="N478" i="1"/>
  <c r="N161" i="1"/>
  <c r="N160" i="1"/>
  <c r="N159" i="1"/>
  <c r="N158" i="1"/>
  <c r="N157" i="1"/>
  <c r="N156" i="1"/>
  <c r="N155" i="1"/>
  <c r="N154" i="1"/>
  <c r="N492" i="1"/>
  <c r="N491" i="1"/>
  <c r="M492" i="1"/>
  <c r="M491" i="1"/>
  <c r="N137" i="1"/>
  <c r="M137" i="1"/>
  <c r="N138" i="1"/>
  <c r="M138" i="1"/>
  <c r="N135" i="1"/>
  <c r="N136" i="1"/>
  <c r="M135" i="1"/>
  <c r="M136" i="1"/>
  <c r="M383" i="1" l="1"/>
  <c r="N501" i="1"/>
  <c r="M501" i="1"/>
  <c r="N477" i="1"/>
  <c r="M476" i="1"/>
  <c r="M477" i="1"/>
  <c r="N128" i="1" l="1"/>
  <c r="N129" i="1"/>
  <c r="N130" i="1"/>
  <c r="N131" i="1"/>
  <c r="N132" i="1"/>
  <c r="M128" i="1"/>
  <c r="M129" i="1"/>
  <c r="M130" i="1"/>
  <c r="M131" i="1"/>
  <c r="N490" i="1"/>
  <c r="M490" i="1"/>
  <c r="M97" i="1"/>
  <c r="N97" i="1"/>
  <c r="M73" i="1"/>
  <c r="N49" i="1"/>
  <c r="M49" i="1"/>
  <c r="N48" i="1"/>
  <c r="M48" i="1"/>
  <c r="N25" i="1"/>
  <c r="N24" i="1"/>
  <c r="M24" i="1"/>
  <c r="M25" i="1"/>
  <c r="M132" i="1"/>
  <c r="M121" i="1" l="1"/>
  <c r="N121" i="1"/>
  <c r="L443" i="1" l="1"/>
  <c r="L442" i="1"/>
  <c r="L427" i="1"/>
  <c r="L435" i="1"/>
  <c r="G435" i="1"/>
  <c r="L434" i="1"/>
  <c r="G434" i="1"/>
  <c r="M480" i="1"/>
  <c r="M481" i="1"/>
  <c r="M475" i="1"/>
  <c r="Q190" i="1"/>
  <c r="H190" i="1"/>
  <c r="G190" i="1"/>
  <c r="Q191" i="1"/>
  <c r="H191" i="1"/>
  <c r="G191" i="1"/>
  <c r="Q194" i="1"/>
  <c r="H194" i="1"/>
  <c r="G194" i="1"/>
  <c r="Q477" i="1"/>
  <c r="G477" i="1"/>
  <c r="H477" i="1"/>
  <c r="N434" i="1" l="1"/>
  <c r="M434" i="1"/>
  <c r="M427" i="1"/>
  <c r="N427" i="1"/>
  <c r="N435" i="1"/>
  <c r="M435" i="1"/>
  <c r="M442" i="1"/>
  <c r="N442" i="1"/>
  <c r="M443" i="1"/>
  <c r="N443" i="1"/>
  <c r="I477" i="1"/>
  <c r="I194" i="1"/>
  <c r="I191" i="1"/>
  <c r="I190" i="1"/>
  <c r="Q476" i="1"/>
  <c r="H476" i="1"/>
  <c r="G476" i="1"/>
  <c r="I476" i="1" l="1"/>
  <c r="Q357" i="1"/>
  <c r="G357" i="1"/>
  <c r="H357" i="1"/>
  <c r="Q192" i="1"/>
  <c r="Q193" i="1"/>
  <c r="Q189" i="1"/>
  <c r="H193" i="1"/>
  <c r="G193" i="1"/>
  <c r="H192" i="1"/>
  <c r="G192" i="1"/>
  <c r="G189" i="1"/>
  <c r="H189" i="1"/>
  <c r="H279" i="1"/>
  <c r="Q268" i="1"/>
  <c r="H268" i="1"/>
  <c r="G268" i="1"/>
  <c r="Q265" i="1"/>
  <c r="H265" i="1"/>
  <c r="G265" i="1"/>
  <c r="Q262" i="1"/>
  <c r="H262" i="1"/>
  <c r="G262" i="1"/>
  <c r="Q259" i="1"/>
  <c r="G259" i="1"/>
  <c r="H259" i="1"/>
  <c r="Q408" i="1"/>
  <c r="H408" i="1"/>
  <c r="G408" i="1"/>
  <c r="Q405" i="1"/>
  <c r="H405" i="1"/>
  <c r="G405" i="1"/>
  <c r="Q402" i="1"/>
  <c r="H402" i="1"/>
  <c r="G402" i="1"/>
  <c r="Q502" i="1"/>
  <c r="Q280" i="1"/>
  <c r="H280" i="1"/>
  <c r="G280" i="1"/>
  <c r="Q267" i="1"/>
  <c r="H267" i="1"/>
  <c r="G267" i="1"/>
  <c r="Q266" i="1"/>
  <c r="H266" i="1"/>
  <c r="G266" i="1"/>
  <c r="Q264" i="1"/>
  <c r="H264" i="1"/>
  <c r="G264" i="1"/>
  <c r="Q263" i="1"/>
  <c r="H263" i="1"/>
  <c r="G263" i="1"/>
  <c r="Q261" i="1"/>
  <c r="H261" i="1"/>
  <c r="G261" i="1"/>
  <c r="Q260" i="1"/>
  <c r="H260" i="1"/>
  <c r="G260" i="1"/>
  <c r="Q258" i="1"/>
  <c r="H258" i="1"/>
  <c r="G258" i="1"/>
  <c r="Q257" i="1"/>
  <c r="G257" i="1"/>
  <c r="H257" i="1"/>
  <c r="Q407" i="1"/>
  <c r="H407" i="1"/>
  <c r="G407" i="1"/>
  <c r="Q406" i="1"/>
  <c r="H406" i="1"/>
  <c r="G406" i="1"/>
  <c r="Q404" i="1"/>
  <c r="H404" i="1"/>
  <c r="G404" i="1"/>
  <c r="Q403" i="1"/>
  <c r="H403" i="1"/>
  <c r="G403" i="1"/>
  <c r="Q401" i="1"/>
  <c r="H401" i="1"/>
  <c r="G401" i="1"/>
  <c r="Q400" i="1"/>
  <c r="H400" i="1"/>
  <c r="G400" i="1"/>
  <c r="Q399" i="1"/>
  <c r="H399" i="1"/>
  <c r="G399" i="1"/>
  <c r="Q397" i="1"/>
  <c r="H397" i="1"/>
  <c r="G397" i="1"/>
  <c r="Q419" i="1"/>
  <c r="G419" i="1"/>
  <c r="H419" i="1"/>
  <c r="Q13" i="1"/>
  <c r="Q12" i="1"/>
  <c r="Q11" i="1"/>
  <c r="Q10" i="1"/>
  <c r="Q9" i="1"/>
  <c r="Q8" i="1"/>
  <c r="Q7" i="1"/>
  <c r="Q6" i="1"/>
  <c r="Q5" i="1"/>
  <c r="Q4" i="1"/>
  <c r="Q3" i="1"/>
  <c r="Q2" i="1"/>
  <c r="Q398" i="1"/>
  <c r="H398" i="1"/>
  <c r="G398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1" i="1"/>
  <c r="M360" i="1"/>
  <c r="I189" i="1" l="1"/>
  <c r="I357" i="1"/>
  <c r="I192" i="1"/>
  <c r="I193" i="1"/>
  <c r="I408" i="1"/>
  <c r="I268" i="1"/>
  <c r="I280" i="1"/>
  <c r="I405" i="1"/>
  <c r="I265" i="1"/>
  <c r="I262" i="1"/>
  <c r="I259" i="1"/>
  <c r="I402" i="1"/>
  <c r="I401" i="1"/>
  <c r="I407" i="1"/>
  <c r="I267" i="1"/>
  <c r="I263" i="1"/>
  <c r="I400" i="1"/>
  <c r="I406" i="1"/>
  <c r="I260" i="1"/>
  <c r="I264" i="1"/>
  <c r="I258" i="1"/>
  <c r="I261" i="1"/>
  <c r="I266" i="1"/>
  <c r="I257" i="1"/>
  <c r="I404" i="1"/>
  <c r="I399" i="1"/>
  <c r="I397" i="1"/>
  <c r="I403" i="1"/>
  <c r="I28" i="1"/>
  <c r="I52" i="1"/>
  <c r="I76" i="1"/>
  <c r="I419" i="1"/>
  <c r="I98" i="1"/>
  <c r="I4" i="1"/>
  <c r="I398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</calcChain>
</file>

<file path=xl/sharedStrings.xml><?xml version="1.0" encoding="utf-8"?>
<sst xmlns="http://schemas.openxmlformats.org/spreadsheetml/2006/main" count="14359" uniqueCount="523">
  <si>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</si>
  <si>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</si>
  <si>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</si>
  <si>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</si>
  <si>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</si>
  <si>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</si>
  <si>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</si>
  <si>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</si>
  <si>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</si>
  <si>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</si>
  <si>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</si>
  <si>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</si>
  <si>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</si>
  <si>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</si>
  <si>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</si>
  <si>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</si>
  <si>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</si>
  <si>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</si>
  <si>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</si>
  <si>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</si>
  <si>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</si>
  <si>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</si>
  <si>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</si>
  <si>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</si>
  <si>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</si>
  <si>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</si>
  <si>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</si>
  <si>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</si>
  <si>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</si>
  <si>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</si>
  <si>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</si>
  <si>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</si>
  <si>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</si>
  <si>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</si>
  <si>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</si>
  <si>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</si>
  <si>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</si>
  <si>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</si>
  <si>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</si>
  <si>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</si>
  <si>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</si>
  <si>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</si>
  <si>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</si>
  <si>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</si>
  <si>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</si>
  <si>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</si>
  <si>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</si>
  <si>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</si>
  <si>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</si>
  <si>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</si>
  <si>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</si>
  <si>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</si>
  <si>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</si>
  <si>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</si>
  <si>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</si>
  <si>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</si>
  <si>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</si>
  <si>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</si>
  <si>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</si>
  <si>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</si>
  <si>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</si>
  <si>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</si>
  <si>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</si>
  <si>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</si>
  <si>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</si>
  <si>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</si>
  <si>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</si>
  <si>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</si>
  <si>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</si>
  <si>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</si>
  <si>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</si>
  <si>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</si>
  <si>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</si>
  <si>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</si>
  <si>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</si>
  <si>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</si>
  <si>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</si>
  <si>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</si>
  <si>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</si>
  <si>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</si>
  <si>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</si>
  <si>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</si>
  <si>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</si>
  <si>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</si>
  <si>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</si>
  <si>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</si>
  <si>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</si>
  <si>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</si>
  <si>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</si>
  <si>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</si>
  <si>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</si>
  <si>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</si>
  <si>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</si>
  <si>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</si>
  <si>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</si>
  <si>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</si>
  <si>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</si>
  <si>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</si>
  <si>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</si>
  <si>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</si>
  <si>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</si>
  <si>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</si>
  <si>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</si>
  <si>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</si>
  <si>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</si>
  <si>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</si>
  <si>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</si>
  <si>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</si>
  <si>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</si>
  <si>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</si>
  <si>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</si>
  <si>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</si>
  <si>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</si>
  <si>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</si>
  <si>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</si>
  <si>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</si>
  <si>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</si>
  <si>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</si>
  <si>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</si>
  <si>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</si>
  <si>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</si>
  <si>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</si>
  <si>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</si>
  <si>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</si>
  <si>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</si>
  <si>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</si>
  <si>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</si>
  <si>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</si>
  <si>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</si>
  <si>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</si>
  <si>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</si>
  <si>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</si>
  <si>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</si>
  <si>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</si>
  <si>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</si>
  <si>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</si>
  <si>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</si>
  <si>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</si>
  <si>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</si>
  <si>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</si>
  <si>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</si>
  <si>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</si>
  <si>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</si>
  <si>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</si>
  <si>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</si>
  <si>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</si>
  <si>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</si>
  <si>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</si>
  <si>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</si>
  <si>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</si>
  <si>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</si>
  <si>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</si>
  <si>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</si>
  <si>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</si>
  <si>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</si>
  <si>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</si>
  <si>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</si>
  <si>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</si>
  <si>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</si>
  <si>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</si>
  <si>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</si>
  <si>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</si>
  <si>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</si>
  <si>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</si>
  <si>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</si>
  <si>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</si>
  <si>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</si>
  <si>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</si>
  <si>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</si>
  <si>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</si>
  <si>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</si>
  <si>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</si>
  <si>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</si>
  <si>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</si>
  <si>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</si>
  <si>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</si>
  <si>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</si>
  <si>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</si>
  <si>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</si>
  <si>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</si>
  <si>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</si>
  <si>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</si>
  <si>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</si>
  <si>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</si>
  <si>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</si>
  <si>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</si>
  <si>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</si>
  <si>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</si>
  <si>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</si>
  <si>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</si>
  <si>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</si>
  <si>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</si>
  <si>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</si>
  <si>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</si>
  <si>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</si>
  <si>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</si>
  <si>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</si>
  <si>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</si>
  <si>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</si>
  <si>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</si>
  <si>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</si>
  <si>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</si>
  <si>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</si>
  <si>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</si>
  <si>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</si>
  <si>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</si>
  <si>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</si>
  <si>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</si>
  <si>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</si>
  <si>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</si>
  <si>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</si>
  <si>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</si>
  <si>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</si>
  <si>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</si>
  <si>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</si>
  <si>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</si>
  <si>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</si>
  <si>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</si>
  <si>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</si>
  <si>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</si>
  <si>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</si>
  <si>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</si>
  <si>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</si>
  <si>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</si>
  <si>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</si>
  <si>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</si>
  <si>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</si>
  <si>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</si>
  <si>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</si>
  <si>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</si>
  <si>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</si>
  <si>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</si>
  <si>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</si>
  <si>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</si>
  <si>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</si>
  <si>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</si>
  <si>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</si>
  <si>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</si>
  <si>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</si>
  <si>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</si>
  <si>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</si>
  <si>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</si>
  <si>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</si>
  <si>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</si>
  <si>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</si>
  <si>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</si>
  <si>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</si>
  <si>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</si>
  <si>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</si>
  <si>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</si>
  <si>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</si>
  <si>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</si>
  <si>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</si>
  <si>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</si>
  <si>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</si>
  <si>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</si>
  <si>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</si>
  <si>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</si>
  <si>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</si>
  <si>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</si>
  <si>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</si>
  <si>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</si>
  <si>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</si>
  <si>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</si>
  <si>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</si>
  <si>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</si>
  <si>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</si>
  <si>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</si>
  <si>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</si>
  <si>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</si>
  <si>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</si>
  <si>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</si>
  <si>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</si>
  <si>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</si>
  <si>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</si>
  <si>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</si>
  <si>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</si>
  <si>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</si>
  <si>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</si>
  <si>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</si>
  <si>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</si>
  <si>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</si>
  <si>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</si>
  <si>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</si>
  <si>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</si>
  <si>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</si>
  <si>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</si>
  <si>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</si>
  <si>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</si>
  <si>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</si>
  <si>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</si>
  <si>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</si>
  <si>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</si>
  <si>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</si>
  <si>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</si>
  <si>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</si>
  <si>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</si>
  <si>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</si>
  <si>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</si>
  <si>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</si>
  <si>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</si>
  <si>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</si>
  <si>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</si>
  <si>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</si>
  <si>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</si>
  <si>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</si>
  <si>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</si>
  <si>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</si>
  <si>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</si>
  <si>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</si>
  <si>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</si>
  <si>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</si>
  <si>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</si>
  <si>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</si>
  <si>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</si>
  <si>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</si>
  <si>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</si>
  <si>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</si>
  <si>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</si>
  <si>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</si>
  <si>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</si>
  <si>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</si>
  <si>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</si>
  <si>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</si>
  <si>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</si>
  <si>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</si>
  <si>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</si>
  <si>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</si>
  <si>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</si>
  <si>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</si>
  <si>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</si>
  <si>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</si>
  <si>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</si>
  <si>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</si>
  <si>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</si>
  <si>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</si>
  <si>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</si>
  <si>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</si>
  <si>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</si>
  <si>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</si>
  <si>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</si>
  <si>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</si>
  <si>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</si>
  <si>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</si>
  <si>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</si>
  <si>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</si>
  <si>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</si>
  <si>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</si>
  <si>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</si>
  <si>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</si>
  <si>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</si>
  <si>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</si>
  <si>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</si>
  <si>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</si>
  <si>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</si>
  <si>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</si>
  <si>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</si>
  <si>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</si>
  <si>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</si>
  <si>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</si>
  <si>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</si>
  <si>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</si>
  <si>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</si>
  <si>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</si>
  <si>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</si>
  <si>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</si>
  <si>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</si>
  <si>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</si>
  <si>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</si>
  <si>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</si>
  <si>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</si>
  <si>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</si>
  <si>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</si>
  <si>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</si>
  <si>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</si>
  <si>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</si>
  <si>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</si>
  <si>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</si>
  <si>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</si>
  <si>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</si>
  <si>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</si>
  <si>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</si>
  <si>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</si>
  <si>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</si>
  <si>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</si>
  <si>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</si>
  <si>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</si>
  <si>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</si>
  <si>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</si>
  <si>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</si>
  <si>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</si>
  <si>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</si>
  <si>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</si>
  <si>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</si>
  <si>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</si>
  <si>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</si>
  <si>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</si>
  <si>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</si>
  <si>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</si>
  <si>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</si>
  <si>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</si>
  <si>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</si>
  <si>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</si>
  <si>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</si>
  <si>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</si>
  <si>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</si>
  <si>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</si>
  <si>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</si>
  <si>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</si>
  <si>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</si>
  <si>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</si>
  <si>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</si>
  <si>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</si>
  <si>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</si>
  <si>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</si>
  <si>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</si>
  <si>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</si>
  <si>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</si>
  <si>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</si>
  <si>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</si>
  <si>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</si>
  <si>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</si>
  <si>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</si>
  <si>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</si>
  <si>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</si>
  <si>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</si>
  <si>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</si>
  <si>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</si>
  <si>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</si>
  <si>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</si>
  <si>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</si>
  <si>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</si>
  <si>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</si>
  <si>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</si>
  <si>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</si>
  <si>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</si>
  <si>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</si>
  <si>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</si>
  <si>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</si>
  <si>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</si>
  <si>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</si>
  <si>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</si>
  <si>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</si>
  <si>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</si>
  <si>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</si>
  <si>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</si>
  <si>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</si>
  <si>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</si>
  <si>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</si>
  <si>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</si>
  <si>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</si>
  <si>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</si>
  <si>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</si>
  <si>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</si>
  <si>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</si>
  <si>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</si>
  <si>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</si>
  <si>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</si>
  <si>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</si>
  <si>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</si>
  <si>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</si>
  <si>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</si>
  <si>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</si>
  <si>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</si>
  <si>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</si>
  <si>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</si>
  <si>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</si>
  <si>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</si>
  <si>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</si>
  <si>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</si>
  <si>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</si>
  <si>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</si>
  <si>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</si>
  <si>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</si>
  <si>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</si>
  <si>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</si>
  <si>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</si>
  <si>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</si>
  <si>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</si>
  <si>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</si>
  <si>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</si>
  <si>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</si>
  <si>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</si>
  <si>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</si>
  <si>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</si>
  <si>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</si>
  <si>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</si>
  <si>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</si>
  <si>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</si>
  <si>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</si>
  <si>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</si>
  <si>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</si>
  <si>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</si>
  <si>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</si>
  <si>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</si>
  <si>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</si>
  <si>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</si>
  <si>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</si>
  <si>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</si>
  <si>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</si>
  <si>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</si>
  <si>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</si>
  <si>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</si>
  <si>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77-2025-12-31</t>
  </si>
  <si>
    <t>334-2025-12-31</t>
  </si>
  <si>
    <t>% Programas acreditables acreditados Sede Bogotá</t>
  </si>
  <si>
    <t>339-2022-12-31</t>
  </si>
  <si>
    <t>96-2025-12-31</t>
  </si>
  <si>
    <t>Noviembre</t>
  </si>
  <si>
    <t>98-2025-12-31</t>
  </si>
  <si>
    <t>148-2025-12-31</t>
  </si>
  <si>
    <t>193-2025-12-31</t>
  </si>
  <si>
    <t>200-2025-12-31</t>
  </si>
  <si>
    <t>202-2025-12-31</t>
  </si>
  <si>
    <t>276-2025-12-31</t>
  </si>
  <si>
    <t>277-2025-12-31</t>
  </si>
  <si>
    <t>364-2025-12-31</t>
  </si>
  <si>
    <t>369-2025-12-31</t>
  </si>
  <si>
    <t>205-2022-12-31</t>
  </si>
  <si>
    <t>460-2025-12-31</t>
  </si>
  <si>
    <t>Tasa de cotización del graduado - Metrica</t>
  </si>
  <si>
    <t>331-2025-12-31</t>
  </si>
  <si>
    <t>323-2025-12-31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</si>
</sst>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1" xfId="0" applyBorder="1"/>
    <xf numFmtId="0" fontId="0" fillId="2" borderId="0" xfId="0" applyFill="1"/>
    <xf numFmtId="165" fontId="0" fillId="0" borderId="1" xfId="0" applyNumberFormat="1" applyBorder="1"/>
    <xf numFmtId="3" fontId="0" fillId="0" borderId="1" xfId="0" applyNumberFormat="1" applyBorder="1"/>
    <xf numFmtId="0" fontId="3" fillId="0" borderId="1" xfId="1" applyFont="1" applyFill="1" applyBorder="1" applyProtection="1"/>
  </cellXfs>
  <cellStyles count="4">
    <cellStyle name="Millares 2" xfId="2" xr:uid="{2B248724-A66E-415B-8BBA-BBCDE8553B51}"/>
    <cellStyle name="Millares 3" xfId="3" xr:uid="{2F2E4F41-5978-4AC7-8DCC-6E822778B063}"/>
    <cellStyle name="Normal" xfId="0" builtinId="0"/>
    <cellStyle name="Normal 2" xfId="1" xr:uid="{E6474115-E034-47AA-AE39-934325146E0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08"/>
  <sheetViews>
    <sheetView tabSelected="1" workbookViewId="0">
      <selection activeCell="D1" sqref="D1"/>
    </sheetView>
  </sheetViews>
  <sheetFormatPr baseColWidth="10" defaultColWidth="8.88671875" defaultRowHeight="14.4" x14ac:dyDescent="0.3"/>
  <cols>
    <col min="2" max="2" width="22.8867187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5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6">
        <v>49229</v>
      </c>
      <c r="M2" s="3"/>
      <c r="N2" s="3"/>
      <c r="O2" s="3" t="s">
        <v>35</v>
      </c>
      <c r="P2" s="3" t="s">
        <v>35</v>
      </c>
      <c r="Q2" s="3" t="str">
        <f t="shared" ref="Q2:Q13" si="2">A2&amp;"-"&amp;TEXT(F2,"yyyy-mm-dd")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</row>
    <row r="3" spans="1:29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5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6">
        <v>50701</v>
      </c>
      <c r="M3" s="3"/>
      <c r="N3" s="3"/>
      <c r="O3" s="3" t="s">
        <v>35</v>
      </c>
      <c r="P3" s="3" t="s">
        <v>35</v>
      </c>
      <c r="Q3" s="3" t="str">
        <f t="shared" si="2"/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</row>
    <row r="4" spans="1:29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5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6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</row>
    <row r="5" spans="1:29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5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6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</row>
    <row r="6" spans="1:29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5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6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</row>
    <row r="7" spans="1:29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5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6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</row>
    <row r="8" spans="1:29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5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6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</row>
    <row r="9" spans="1:29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5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6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</row>
    <row r="10" spans="1:29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5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6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</row>
    <row r="11" spans="1:29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5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6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</row>
    <row r="12" spans="1:29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5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6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</row>
    <row r="13" spans="1:29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5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6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</row>
    <row r="14" spans="1:29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5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v>1.040976246836993</v>
      </c>
      <c r="N14" s="3">
        <v>1.040976246836993</v>
      </c>
      <c r="O14" s="3" t="s">
        <v>35</v>
      </c>
      <c r="P14" s="3" t="s">
        <v>35</v>
      </c>
      <c r="Q14" s="3" t="s">
        <v>36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</row>
    <row r="15" spans="1:29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5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v>0.99625223081499104</v>
      </c>
      <c r="N15" s="3">
        <v>0.99625223081499104</v>
      </c>
      <c r="O15" s="3" t="s">
        <v>35</v>
      </c>
      <c r="P15" s="3" t="s">
        <v>35</v>
      </c>
      <c r="Q15" s="3" t="s">
        <v>46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</row>
    <row r="16" spans="1:29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5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v>0.99625223081499104</v>
      </c>
      <c r="N16" s="3">
        <v>0.99625223081499104</v>
      </c>
      <c r="O16" s="3" t="s">
        <v>35</v>
      </c>
      <c r="P16" s="3" t="s">
        <v>35</v>
      </c>
      <c r="Q16" s="3" t="s">
        <v>46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</row>
    <row r="17" spans="1:29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5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v>0.98650746497498898</v>
      </c>
      <c r="N17" s="3">
        <v>0.98650746497498898</v>
      </c>
      <c r="O17" s="3" t="s">
        <v>35</v>
      </c>
      <c r="P17" s="3" t="s">
        <v>35</v>
      </c>
      <c r="Q17" s="3" t="s">
        <v>48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</row>
    <row r="18" spans="1:29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5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v>0.99396366591212493</v>
      </c>
      <c r="N18" s="3">
        <v>0.99396366591212493</v>
      </c>
      <c r="O18" s="3" t="s">
        <v>35</v>
      </c>
      <c r="P18" s="3" t="s">
        <v>35</v>
      </c>
      <c r="Q18" s="3" t="s">
        <v>50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</row>
    <row r="19" spans="1:29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5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v>0.99396366591212493</v>
      </c>
      <c r="N19" s="3">
        <v>0.99396366591212493</v>
      </c>
      <c r="O19" s="3" t="s">
        <v>35</v>
      </c>
      <c r="P19" s="3" t="s">
        <v>35</v>
      </c>
      <c r="Q19" s="3" t="s">
        <v>50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</row>
    <row r="20" spans="1:29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5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v>1.00346951959727</v>
      </c>
      <c r="N20" s="3">
        <v>1.00346951959727</v>
      </c>
      <c r="O20" s="3" t="s">
        <v>35</v>
      </c>
      <c r="P20" s="3" t="s">
        <v>35</v>
      </c>
      <c r="Q20" s="3" t="s">
        <v>52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</row>
    <row r="21" spans="1:29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5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v>1.017385164647961</v>
      </c>
      <c r="N21" s="3">
        <v>1.017385164647961</v>
      </c>
      <c r="O21" s="3" t="s">
        <v>35</v>
      </c>
      <c r="P21" s="3" t="s">
        <v>35</v>
      </c>
      <c r="Q21" s="3" t="s">
        <v>54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</row>
    <row r="22" spans="1:29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5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v>1.017385164647961</v>
      </c>
      <c r="N22" s="3">
        <v>1.017385164647961</v>
      </c>
      <c r="O22" s="3" t="s">
        <v>35</v>
      </c>
      <c r="P22" s="3" t="s">
        <v>35</v>
      </c>
      <c r="Q22" s="3" t="s">
        <v>54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</row>
    <row r="23" spans="1:29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5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v>1.053509834995805</v>
      </c>
      <c r="N23" s="3">
        <v>1.053509834995805</v>
      </c>
      <c r="O23" s="3" t="s">
        <v>35</v>
      </c>
      <c r="P23" s="3" t="s">
        <v>35</v>
      </c>
      <c r="Q23" s="3" t="s">
        <v>411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</row>
    <row r="24" spans="1:29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5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6">
        <v>56807</v>
      </c>
      <c r="M24" s="3">
        <f>+L24/K24</f>
        <v>1.0188499892388263</v>
      </c>
      <c r="N24" s="3">
        <f>+L24/K24</f>
        <v>1.0188499892388263</v>
      </c>
      <c r="O24" s="3" t="s">
        <v>35</v>
      </c>
      <c r="P24" s="3" t="s">
        <v>35</v>
      </c>
      <c r="Q24" s="3" t="s">
        <v>481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</row>
    <row r="25" spans="1:29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5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6">
        <v>56807</v>
      </c>
      <c r="M25" s="3">
        <f>+L25/K25</f>
        <v>1.0188499892388263</v>
      </c>
      <c r="N25" s="3">
        <f>+L25/K25</f>
        <v>1.0188499892388263</v>
      </c>
      <c r="O25" s="3" t="s">
        <v>35</v>
      </c>
      <c r="P25" s="3" t="s">
        <v>35</v>
      </c>
      <c r="Q25" s="3" t="s">
        <v>481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</row>
    <row r="26" spans="1:29" x14ac:dyDescent="0.3">
      <c r="A26" s="3">
        <v>14.1</v>
      </c>
      <c r="B26" s="3" t="s">
        <v>353</v>
      </c>
      <c r="C26" s="3" t="s">
        <v>186</v>
      </c>
      <c r="D26" s="3" t="s">
        <v>31</v>
      </c>
      <c r="E26" s="3" t="s">
        <v>32</v>
      </c>
      <c r="F26" s="5">
        <v>43281</v>
      </c>
      <c r="G26" s="3">
        <f t="shared" ref="G26:G37" si="4">YEAR(F26)</f>
        <v>2018</v>
      </c>
      <c r="H26" s="3" t="str">
        <f t="shared" ref="H26:H37" si="5">PROPER(TEXT(F26,"mmmm"))</f>
        <v>Junio</v>
      </c>
      <c r="I26" s="3" t="str">
        <f t="shared" ref="I26:I37" si="6">IF(H26="Junio",G26&amp;"-1",G26&amp;"-2")</f>
        <v>2018-1</v>
      </c>
      <c r="J26" s="3">
        <v>1</v>
      </c>
      <c r="K26" s="3"/>
      <c r="L26" s="6">
        <v>10066</v>
      </c>
      <c r="M26" s="3"/>
      <c r="N26" s="3"/>
      <c r="O26" s="3" t="s">
        <v>35</v>
      </c>
      <c r="P26" s="3" t="s">
        <v>35</v>
      </c>
      <c r="Q26" s="3" t="str">
        <f t="shared" ref="Q26:Q37" si="7">MID(A26,1,2)&amp;"."&amp;RIGHT(A26,1)&amp;"-"&amp;TEXT(F26,"yyyy-mm-dd")</f>
        <v>14.1-2018-06-30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43</v>
      </c>
      <c r="AC26" s="3" t="s">
        <v>31</v>
      </c>
    </row>
    <row r="27" spans="1:29" x14ac:dyDescent="0.3">
      <c r="A27" s="3">
        <v>14.1</v>
      </c>
      <c r="B27" s="3" t="s">
        <v>353</v>
      </c>
      <c r="C27" s="3" t="s">
        <v>186</v>
      </c>
      <c r="D27" s="3" t="s">
        <v>31</v>
      </c>
      <c r="E27" s="3" t="s">
        <v>32</v>
      </c>
      <c r="F27" s="5">
        <v>43465</v>
      </c>
      <c r="G27" s="3">
        <f t="shared" si="4"/>
        <v>2018</v>
      </c>
      <c r="H27" s="3" t="str">
        <f t="shared" si="5"/>
        <v>Diciembre</v>
      </c>
      <c r="I27" s="3" t="str">
        <f t="shared" si="6"/>
        <v>2018-2</v>
      </c>
      <c r="J27" s="3">
        <v>2</v>
      </c>
      <c r="K27" s="3"/>
      <c r="L27" s="6">
        <v>9830</v>
      </c>
      <c r="M27" s="3"/>
      <c r="N27" s="3"/>
      <c r="O27" s="3" t="s">
        <v>35</v>
      </c>
      <c r="P27" s="3" t="s">
        <v>35</v>
      </c>
      <c r="Q27" s="3" t="str">
        <f t="shared" si="7"/>
        <v>14.1-2018-12-31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43</v>
      </c>
      <c r="AC27" s="3" t="s">
        <v>31</v>
      </c>
    </row>
    <row r="28" spans="1:29" x14ac:dyDescent="0.3">
      <c r="A28" s="3">
        <v>14.1</v>
      </c>
      <c r="B28" s="3" t="s">
        <v>353</v>
      </c>
      <c r="C28" s="3" t="s">
        <v>186</v>
      </c>
      <c r="D28" s="3" t="s">
        <v>31</v>
      </c>
      <c r="E28" s="3" t="s">
        <v>32</v>
      </c>
      <c r="F28" s="5">
        <v>43465</v>
      </c>
      <c r="G28" s="3">
        <f t="shared" si="4"/>
        <v>2018</v>
      </c>
      <c r="H28" s="3" t="str">
        <f t="shared" si="5"/>
        <v>Diciembre</v>
      </c>
      <c r="I28" s="3" t="str">
        <f t="shared" si="6"/>
        <v>2018-2</v>
      </c>
      <c r="J28" s="3"/>
      <c r="K28" s="3"/>
      <c r="L28" s="6">
        <v>9830</v>
      </c>
      <c r="M28" s="3"/>
      <c r="N28" s="3"/>
      <c r="O28" s="3" t="s">
        <v>35</v>
      </c>
      <c r="P28" s="3" t="s">
        <v>35</v>
      </c>
      <c r="Q28" s="3" t="str">
        <f t="shared" si="7"/>
        <v>14.1-2018-12-31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43</v>
      </c>
      <c r="AC28" s="3" t="s">
        <v>31</v>
      </c>
    </row>
    <row r="29" spans="1:29" x14ac:dyDescent="0.3">
      <c r="A29" s="3">
        <v>14.1</v>
      </c>
      <c r="B29" s="3" t="s">
        <v>353</v>
      </c>
      <c r="C29" s="3" t="s">
        <v>186</v>
      </c>
      <c r="D29" s="3" t="s">
        <v>31</v>
      </c>
      <c r="E29" s="3" t="s">
        <v>32</v>
      </c>
      <c r="F29" s="5">
        <v>43646</v>
      </c>
      <c r="G29" s="3">
        <f t="shared" si="4"/>
        <v>2019</v>
      </c>
      <c r="H29" s="3" t="str">
        <f t="shared" si="5"/>
        <v>Junio</v>
      </c>
      <c r="I29" s="3" t="str">
        <f t="shared" si="6"/>
        <v>2019-1</v>
      </c>
      <c r="J29" s="3">
        <v>1</v>
      </c>
      <c r="K29" s="3"/>
      <c r="L29" s="6">
        <v>9864</v>
      </c>
      <c r="M29" s="3"/>
      <c r="N29" s="3"/>
      <c r="O29" s="3" t="s">
        <v>35</v>
      </c>
      <c r="P29" s="3" t="s">
        <v>35</v>
      </c>
      <c r="Q29" s="3" t="str">
        <f t="shared" si="7"/>
        <v>14.1-2019-06-30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43</v>
      </c>
      <c r="AC29" s="3" t="s">
        <v>31</v>
      </c>
    </row>
    <row r="30" spans="1:29" x14ac:dyDescent="0.3">
      <c r="A30" s="3">
        <v>14.1</v>
      </c>
      <c r="B30" s="3" t="s">
        <v>353</v>
      </c>
      <c r="C30" s="3" t="s">
        <v>186</v>
      </c>
      <c r="D30" s="3" t="s">
        <v>31</v>
      </c>
      <c r="E30" s="3" t="s">
        <v>32</v>
      </c>
      <c r="F30" s="5">
        <v>43830</v>
      </c>
      <c r="G30" s="3">
        <f t="shared" si="4"/>
        <v>2019</v>
      </c>
      <c r="H30" s="3" t="str">
        <f t="shared" si="5"/>
        <v>Diciembre</v>
      </c>
      <c r="I30" s="3" t="str">
        <f t="shared" si="6"/>
        <v>2019-2</v>
      </c>
      <c r="J30" s="3">
        <v>2</v>
      </c>
      <c r="K30" s="3"/>
      <c r="L30" s="6">
        <v>9586</v>
      </c>
      <c r="M30" s="3"/>
      <c r="N30" s="3"/>
      <c r="O30" s="3" t="s">
        <v>35</v>
      </c>
      <c r="P30" s="3" t="s">
        <v>35</v>
      </c>
      <c r="Q30" s="3" t="str">
        <f t="shared" si="7"/>
        <v>14.1-2019-12-31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43</v>
      </c>
      <c r="AC30" s="3" t="s">
        <v>31</v>
      </c>
    </row>
    <row r="31" spans="1:29" x14ac:dyDescent="0.3">
      <c r="A31" s="3">
        <v>14.1</v>
      </c>
      <c r="B31" s="3" t="s">
        <v>353</v>
      </c>
      <c r="C31" s="3" t="s">
        <v>186</v>
      </c>
      <c r="D31" s="3" t="s">
        <v>31</v>
      </c>
      <c r="E31" s="3" t="s">
        <v>32</v>
      </c>
      <c r="F31" s="5">
        <v>43830</v>
      </c>
      <c r="G31" s="3">
        <f t="shared" si="4"/>
        <v>2019</v>
      </c>
      <c r="H31" s="3" t="str">
        <f t="shared" si="5"/>
        <v>Diciembre</v>
      </c>
      <c r="I31" s="3" t="str">
        <f t="shared" si="6"/>
        <v>2019-2</v>
      </c>
      <c r="J31" s="3"/>
      <c r="K31" s="3"/>
      <c r="L31" s="6">
        <v>9586</v>
      </c>
      <c r="M31" s="3"/>
      <c r="N31" s="3"/>
      <c r="O31" s="3" t="s">
        <v>35</v>
      </c>
      <c r="P31" s="3" t="s">
        <v>35</v>
      </c>
      <c r="Q31" s="3" t="str">
        <f t="shared" si="7"/>
        <v>14.1-2019-12-31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43</v>
      </c>
      <c r="AC31" s="3" t="s">
        <v>31</v>
      </c>
    </row>
    <row r="32" spans="1:29" x14ac:dyDescent="0.3">
      <c r="A32" s="3">
        <v>14.1</v>
      </c>
      <c r="B32" s="3" t="s">
        <v>353</v>
      </c>
      <c r="C32" s="3" t="s">
        <v>186</v>
      </c>
      <c r="D32" s="3" t="s">
        <v>31</v>
      </c>
      <c r="E32" s="3" t="s">
        <v>32</v>
      </c>
      <c r="F32" s="5">
        <v>44012</v>
      </c>
      <c r="G32" s="3">
        <f t="shared" si="4"/>
        <v>2020</v>
      </c>
      <c r="H32" s="3" t="str">
        <f t="shared" si="5"/>
        <v>Junio</v>
      </c>
      <c r="I32" s="3" t="str">
        <f t="shared" si="6"/>
        <v>2020-1</v>
      </c>
      <c r="J32" s="3">
        <v>1</v>
      </c>
      <c r="K32" s="3"/>
      <c r="L32" s="6">
        <v>9828</v>
      </c>
      <c r="M32" s="3"/>
      <c r="N32" s="3"/>
      <c r="O32" s="3" t="s">
        <v>35</v>
      </c>
      <c r="P32" s="3" t="s">
        <v>35</v>
      </c>
      <c r="Q32" s="3" t="str">
        <f t="shared" si="7"/>
        <v>14.1-2020-06-30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43</v>
      </c>
      <c r="AC32" s="3" t="s">
        <v>31</v>
      </c>
    </row>
    <row r="33" spans="1:29" x14ac:dyDescent="0.3">
      <c r="A33" s="3">
        <v>14.1</v>
      </c>
      <c r="B33" s="3" t="s">
        <v>353</v>
      </c>
      <c r="C33" s="3" t="s">
        <v>186</v>
      </c>
      <c r="D33" s="3" t="s">
        <v>31</v>
      </c>
      <c r="E33" s="3" t="s">
        <v>32</v>
      </c>
      <c r="F33" s="5">
        <v>44196</v>
      </c>
      <c r="G33" s="3">
        <f t="shared" si="4"/>
        <v>2020</v>
      </c>
      <c r="H33" s="3" t="str">
        <f t="shared" si="5"/>
        <v>Diciembre</v>
      </c>
      <c r="I33" s="3" t="str">
        <f t="shared" si="6"/>
        <v>2020-2</v>
      </c>
      <c r="J33" s="3">
        <v>2</v>
      </c>
      <c r="K33" s="3"/>
      <c r="L33" s="6">
        <v>7748</v>
      </c>
      <c r="M33" s="3"/>
      <c r="N33" s="3"/>
      <c r="O33" s="3" t="s">
        <v>35</v>
      </c>
      <c r="P33" s="3" t="s">
        <v>35</v>
      </c>
      <c r="Q33" s="3" t="str">
        <f t="shared" si="7"/>
        <v>14.1-2020-12-31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43</v>
      </c>
      <c r="AC33" s="3" t="s">
        <v>31</v>
      </c>
    </row>
    <row r="34" spans="1:29" x14ac:dyDescent="0.3">
      <c r="A34" s="3">
        <v>14.1</v>
      </c>
      <c r="B34" s="3" t="s">
        <v>353</v>
      </c>
      <c r="C34" s="3" t="s">
        <v>186</v>
      </c>
      <c r="D34" s="3" t="s">
        <v>31</v>
      </c>
      <c r="E34" s="3" t="s">
        <v>32</v>
      </c>
      <c r="F34" s="5">
        <v>44196</v>
      </c>
      <c r="G34" s="3">
        <f t="shared" si="4"/>
        <v>2020</v>
      </c>
      <c r="H34" s="3" t="str">
        <f t="shared" si="5"/>
        <v>Diciembre</v>
      </c>
      <c r="I34" s="3" t="str">
        <f t="shared" si="6"/>
        <v>2020-2</v>
      </c>
      <c r="J34" s="3"/>
      <c r="K34" s="3"/>
      <c r="L34" s="6">
        <v>7748</v>
      </c>
      <c r="M34" s="3"/>
      <c r="N34" s="3"/>
      <c r="O34" s="3" t="s">
        <v>35</v>
      </c>
      <c r="P34" s="3" t="s">
        <v>35</v>
      </c>
      <c r="Q34" s="3" t="str">
        <f t="shared" si="7"/>
        <v>14.1-2020-12-31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43</v>
      </c>
      <c r="AC34" s="3" t="s">
        <v>31</v>
      </c>
    </row>
    <row r="35" spans="1:29" x14ac:dyDescent="0.3">
      <c r="A35" s="3">
        <v>14.1</v>
      </c>
      <c r="B35" s="3" t="s">
        <v>353</v>
      </c>
      <c r="C35" s="3" t="s">
        <v>186</v>
      </c>
      <c r="D35" s="3" t="s">
        <v>31</v>
      </c>
      <c r="E35" s="3" t="s">
        <v>32</v>
      </c>
      <c r="F35" s="5">
        <v>44377</v>
      </c>
      <c r="G35" s="3">
        <f t="shared" si="4"/>
        <v>2021</v>
      </c>
      <c r="H35" s="3" t="str">
        <f t="shared" si="5"/>
        <v>Junio</v>
      </c>
      <c r="I35" s="3" t="str">
        <f t="shared" si="6"/>
        <v>2021-1</v>
      </c>
      <c r="J35" s="3">
        <v>1</v>
      </c>
      <c r="K35" s="3"/>
      <c r="L35" s="6">
        <v>8125</v>
      </c>
      <c r="M35" s="3"/>
      <c r="N35" s="3"/>
      <c r="O35" s="3" t="s">
        <v>35</v>
      </c>
      <c r="P35" s="3" t="s">
        <v>35</v>
      </c>
      <c r="Q35" s="3" t="str">
        <f t="shared" si="7"/>
        <v>14.1-2021-06-30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43</v>
      </c>
      <c r="AC35" s="3" t="s">
        <v>31</v>
      </c>
    </row>
    <row r="36" spans="1:29" x14ac:dyDescent="0.3">
      <c r="A36" s="3">
        <v>14.1</v>
      </c>
      <c r="B36" s="3" t="s">
        <v>353</v>
      </c>
      <c r="C36" s="3" t="s">
        <v>186</v>
      </c>
      <c r="D36" s="3" t="s">
        <v>31</v>
      </c>
      <c r="E36" s="3" t="s">
        <v>32</v>
      </c>
      <c r="F36" s="5">
        <v>44561</v>
      </c>
      <c r="G36" s="3">
        <f t="shared" si="4"/>
        <v>2021</v>
      </c>
      <c r="H36" s="3" t="str">
        <f t="shared" si="5"/>
        <v>Diciembre</v>
      </c>
      <c r="I36" s="3" t="str">
        <f t="shared" si="6"/>
        <v>2021-2</v>
      </c>
      <c r="J36" s="3">
        <v>2</v>
      </c>
      <c r="K36" s="3"/>
      <c r="L36" s="6">
        <v>7626</v>
      </c>
      <c r="M36" s="3"/>
      <c r="N36" s="3"/>
      <c r="O36" s="3" t="s">
        <v>35</v>
      </c>
      <c r="P36" s="3" t="s">
        <v>35</v>
      </c>
      <c r="Q36" s="3" t="str">
        <f t="shared" si="7"/>
        <v>14.1-2021-12-31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43</v>
      </c>
      <c r="AC36" s="3" t="s">
        <v>31</v>
      </c>
    </row>
    <row r="37" spans="1:29" x14ac:dyDescent="0.3">
      <c r="A37" s="3">
        <v>14.1</v>
      </c>
      <c r="B37" s="3" t="s">
        <v>353</v>
      </c>
      <c r="C37" s="3" t="s">
        <v>186</v>
      </c>
      <c r="D37" s="3" t="s">
        <v>31</v>
      </c>
      <c r="E37" s="3" t="s">
        <v>32</v>
      </c>
      <c r="F37" s="5">
        <v>44561</v>
      </c>
      <c r="G37" s="3">
        <f t="shared" si="4"/>
        <v>2021</v>
      </c>
      <c r="H37" s="3" t="str">
        <f t="shared" si="5"/>
        <v>Diciembre</v>
      </c>
      <c r="I37" s="3" t="str">
        <f t="shared" si="6"/>
        <v>2021-2</v>
      </c>
      <c r="J37" s="3"/>
      <c r="K37" s="3"/>
      <c r="L37" s="6">
        <v>7626</v>
      </c>
      <c r="M37" s="3"/>
      <c r="N37" s="3"/>
      <c r="O37" s="3" t="s">
        <v>35</v>
      </c>
      <c r="P37" s="3" t="s">
        <v>35</v>
      </c>
      <c r="Q37" s="3" t="str">
        <f t="shared" si="7"/>
        <v>14.1-2021-12-31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43</v>
      </c>
      <c r="AC37" s="3" t="s">
        <v>31</v>
      </c>
    </row>
    <row r="38" spans="1:29" x14ac:dyDescent="0.3">
      <c r="A38" s="3">
        <v>14.1</v>
      </c>
      <c r="B38" s="3" t="s">
        <v>353</v>
      </c>
      <c r="C38" s="3" t="s">
        <v>30</v>
      </c>
      <c r="D38" s="3" t="s">
        <v>31</v>
      </c>
      <c r="E38" s="3" t="s">
        <v>32</v>
      </c>
      <c r="F38" s="5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f t="shared" ref="M38:M47" si="8">+L38/K38</f>
        <v>1.0145869248110331</v>
      </c>
      <c r="N38" s="3">
        <f t="shared" ref="N38:N47" si="9">+L38/K38</f>
        <v>1.0145869248110331</v>
      </c>
      <c r="O38" s="3" t="s">
        <v>35</v>
      </c>
      <c r="P38" s="3" t="s">
        <v>35</v>
      </c>
      <c r="Q38" s="3" t="s">
        <v>354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43</v>
      </c>
      <c r="AC38" s="3" t="s">
        <v>31</v>
      </c>
    </row>
    <row r="39" spans="1:29" x14ac:dyDescent="0.3">
      <c r="A39" s="3">
        <v>14.1</v>
      </c>
      <c r="B39" s="3" t="s">
        <v>353</v>
      </c>
      <c r="C39" s="3" t="s">
        <v>30</v>
      </c>
      <c r="D39" s="3" t="s">
        <v>31</v>
      </c>
      <c r="E39" s="3" t="s">
        <v>32</v>
      </c>
      <c r="F39" s="5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f t="shared" si="8"/>
        <v>1.1202080237741456</v>
      </c>
      <c r="N39" s="3">
        <f t="shared" si="9"/>
        <v>1.1202080237741456</v>
      </c>
      <c r="O39" s="3" t="s">
        <v>35</v>
      </c>
      <c r="P39" s="3" t="s">
        <v>35</v>
      </c>
      <c r="Q39" s="3" t="s">
        <v>355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43</v>
      </c>
      <c r="AC39" s="3" t="s">
        <v>31</v>
      </c>
    </row>
    <row r="40" spans="1:29" x14ac:dyDescent="0.3">
      <c r="A40" s="3">
        <v>14.1</v>
      </c>
      <c r="B40" s="3" t="s">
        <v>353</v>
      </c>
      <c r="C40" s="3" t="s">
        <v>186</v>
      </c>
      <c r="D40" s="3" t="s">
        <v>31</v>
      </c>
      <c r="E40" s="3" t="s">
        <v>32</v>
      </c>
      <c r="F40" s="5">
        <v>44926</v>
      </c>
      <c r="G40" s="3">
        <v>2022</v>
      </c>
      <c r="H40" s="3" t="s">
        <v>44</v>
      </c>
      <c r="I40" s="3" t="s">
        <v>45</v>
      </c>
      <c r="J40" s="3"/>
      <c r="K40" s="3">
        <v>6730</v>
      </c>
      <c r="L40" s="3">
        <v>7539</v>
      </c>
      <c r="M40" s="3">
        <f t="shared" si="8"/>
        <v>1.1202080237741456</v>
      </c>
      <c r="N40" s="3">
        <f t="shared" si="9"/>
        <v>1.1202080237741456</v>
      </c>
      <c r="O40" s="3" t="s">
        <v>35</v>
      </c>
      <c r="P40" s="3" t="s">
        <v>35</v>
      </c>
      <c r="Q40" s="3" t="s">
        <v>355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43</v>
      </c>
      <c r="AC40" s="3" t="s">
        <v>31</v>
      </c>
    </row>
    <row r="41" spans="1:29" x14ac:dyDescent="0.3">
      <c r="A41" s="3">
        <v>14.1</v>
      </c>
      <c r="B41" s="3" t="s">
        <v>353</v>
      </c>
      <c r="C41" s="3" t="s">
        <v>30</v>
      </c>
      <c r="D41" s="3" t="s">
        <v>31</v>
      </c>
      <c r="E41" s="3" t="s">
        <v>32</v>
      </c>
      <c r="F41" s="5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f t="shared" si="8"/>
        <v>1.0115060086934289</v>
      </c>
      <c r="N41" s="3">
        <f t="shared" si="9"/>
        <v>1.0115060086934289</v>
      </c>
      <c r="O41" s="3" t="s">
        <v>35</v>
      </c>
      <c r="P41" s="3" t="s">
        <v>35</v>
      </c>
      <c r="Q41" s="3" t="s">
        <v>356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43</v>
      </c>
      <c r="AC41" s="3" t="s">
        <v>31</v>
      </c>
    </row>
    <row r="42" spans="1:29" x14ac:dyDescent="0.3">
      <c r="A42" s="3">
        <v>14.1</v>
      </c>
      <c r="B42" s="3" t="s">
        <v>353</v>
      </c>
      <c r="C42" s="3" t="s">
        <v>186</v>
      </c>
      <c r="D42" s="3" t="s">
        <v>31</v>
      </c>
      <c r="E42" s="3" t="s">
        <v>32</v>
      </c>
      <c r="F42" s="5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f t="shared" si="8"/>
        <v>1.0585301837270342</v>
      </c>
      <c r="N42" s="3">
        <f t="shared" si="9"/>
        <v>1.0585301837270342</v>
      </c>
      <c r="O42" s="3" t="s">
        <v>35</v>
      </c>
      <c r="P42" s="3" t="s">
        <v>35</v>
      </c>
      <c r="Q42" s="3" t="s">
        <v>357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43</v>
      </c>
      <c r="AC42" s="3" t="s">
        <v>31</v>
      </c>
    </row>
    <row r="43" spans="1:29" x14ac:dyDescent="0.3">
      <c r="A43" s="3">
        <v>14.1</v>
      </c>
      <c r="B43" s="3" t="s">
        <v>353</v>
      </c>
      <c r="C43" s="3" t="s">
        <v>186</v>
      </c>
      <c r="D43" s="3" t="s">
        <v>31</v>
      </c>
      <c r="E43" s="3" t="s">
        <v>32</v>
      </c>
      <c r="F43" s="5">
        <v>45291</v>
      </c>
      <c r="G43" s="3">
        <v>2023</v>
      </c>
      <c r="H43" s="3" t="s">
        <v>44</v>
      </c>
      <c r="I43" s="3" t="s">
        <v>49</v>
      </c>
      <c r="J43" s="3"/>
      <c r="K43" s="3">
        <v>7620</v>
      </c>
      <c r="L43" s="3">
        <v>8066</v>
      </c>
      <c r="M43" s="3">
        <f t="shared" si="8"/>
        <v>1.0585301837270342</v>
      </c>
      <c r="N43" s="3">
        <f t="shared" si="9"/>
        <v>1.0585301837270342</v>
      </c>
      <c r="O43" s="3" t="s">
        <v>35</v>
      </c>
      <c r="P43" s="3" t="s">
        <v>35</v>
      </c>
      <c r="Q43" s="3" t="s">
        <v>357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43</v>
      </c>
      <c r="AC43" s="3" t="s">
        <v>31</v>
      </c>
    </row>
    <row r="44" spans="1:29" x14ac:dyDescent="0.3">
      <c r="A44" s="3">
        <v>14.1</v>
      </c>
      <c r="B44" s="3" t="s">
        <v>353</v>
      </c>
      <c r="C44" s="3" t="s">
        <v>186</v>
      </c>
      <c r="D44" s="3" t="s">
        <v>31</v>
      </c>
      <c r="E44" s="3" t="s">
        <v>32</v>
      </c>
      <c r="F44" s="5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f t="shared" si="8"/>
        <v>1.0313418217433887</v>
      </c>
      <c r="N44" s="3">
        <f t="shared" si="9"/>
        <v>1.0313418217433887</v>
      </c>
      <c r="O44" s="3" t="s">
        <v>35</v>
      </c>
      <c r="P44" s="3" t="s">
        <v>35</v>
      </c>
      <c r="Q44" s="3" t="s">
        <v>358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43</v>
      </c>
      <c r="AC44" s="3" t="s">
        <v>31</v>
      </c>
    </row>
    <row r="45" spans="1:29" x14ac:dyDescent="0.3">
      <c r="A45" s="3">
        <v>14.1</v>
      </c>
      <c r="B45" s="3" t="s">
        <v>353</v>
      </c>
      <c r="C45" s="3" t="s">
        <v>186</v>
      </c>
      <c r="D45" s="3" t="s">
        <v>31</v>
      </c>
      <c r="E45" s="3" t="s">
        <v>32</v>
      </c>
      <c r="F45" s="5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f t="shared" si="8"/>
        <v>1.0319767441860466</v>
      </c>
      <c r="N45" s="3">
        <f t="shared" si="9"/>
        <v>1.0319767441860466</v>
      </c>
      <c r="O45" s="3" t="s">
        <v>35</v>
      </c>
      <c r="P45" s="3" t="s">
        <v>35</v>
      </c>
      <c r="Q45" s="3" t="s">
        <v>399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43</v>
      </c>
      <c r="AC45" s="3" t="s">
        <v>31</v>
      </c>
    </row>
    <row r="46" spans="1:29" x14ac:dyDescent="0.3">
      <c r="A46" s="3">
        <v>14.1</v>
      </c>
      <c r="B46" s="3" t="s">
        <v>353</v>
      </c>
      <c r="C46" s="3" t="s">
        <v>186</v>
      </c>
      <c r="D46" s="3" t="s">
        <v>31</v>
      </c>
      <c r="E46" s="3" t="s">
        <v>32</v>
      </c>
      <c r="F46" s="5">
        <v>45657</v>
      </c>
      <c r="G46" s="3">
        <v>2024</v>
      </c>
      <c r="H46" s="3" t="s">
        <v>44</v>
      </c>
      <c r="I46" s="3" t="s">
        <v>53</v>
      </c>
      <c r="J46" s="3"/>
      <c r="K46" s="3">
        <v>7912</v>
      </c>
      <c r="L46" s="3">
        <v>8165</v>
      </c>
      <c r="M46" s="3">
        <f t="shared" si="8"/>
        <v>1.0319767441860466</v>
      </c>
      <c r="N46" s="3">
        <f t="shared" si="9"/>
        <v>1.0319767441860466</v>
      </c>
      <c r="O46" s="3" t="s">
        <v>35</v>
      </c>
      <c r="P46" s="3" t="s">
        <v>35</v>
      </c>
      <c r="Q46" s="3" t="s">
        <v>399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43</v>
      </c>
      <c r="AC46" s="3" t="s">
        <v>31</v>
      </c>
    </row>
    <row r="47" spans="1:29" x14ac:dyDescent="0.3">
      <c r="A47" s="3">
        <v>14.1</v>
      </c>
      <c r="B47" s="3" t="s">
        <v>353</v>
      </c>
      <c r="C47" s="3" t="s">
        <v>186</v>
      </c>
      <c r="D47" s="3" t="s">
        <v>31</v>
      </c>
      <c r="E47" s="3" t="s">
        <v>32</v>
      </c>
      <c r="F47" s="5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 t="shared" si="8"/>
        <v>1.0321095502301971</v>
      </c>
      <c r="N47" s="3">
        <f t="shared" si="9"/>
        <v>1.0321095502301971</v>
      </c>
      <c r="O47" s="3" t="s">
        <v>35</v>
      </c>
      <c r="P47" s="3" t="s">
        <v>35</v>
      </c>
      <c r="Q47" s="3" t="s">
        <v>414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43</v>
      </c>
      <c r="AC47" s="3" t="s">
        <v>31</v>
      </c>
    </row>
    <row r="48" spans="1:29" x14ac:dyDescent="0.3">
      <c r="A48" s="3">
        <v>14.1</v>
      </c>
      <c r="B48" s="3" t="s">
        <v>353</v>
      </c>
      <c r="C48" s="3" t="s">
        <v>186</v>
      </c>
      <c r="D48" s="3" t="s">
        <v>31</v>
      </c>
      <c r="E48" s="3" t="s">
        <v>32</v>
      </c>
      <c r="F48" s="5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6">
        <v>8735</v>
      </c>
      <c r="M48" s="3">
        <f>+L48/K48</f>
        <v>1.026439482961222</v>
      </c>
      <c r="N48" s="3">
        <f>+L48/K48</f>
        <v>1.026439482961222</v>
      </c>
      <c r="O48" s="3" t="s">
        <v>35</v>
      </c>
      <c r="P48" s="3" t="s">
        <v>35</v>
      </c>
      <c r="Q48" s="3" t="s">
        <v>482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43</v>
      </c>
      <c r="AC48" s="3" t="s">
        <v>31</v>
      </c>
    </row>
    <row r="49" spans="1:29" x14ac:dyDescent="0.3">
      <c r="A49" s="3">
        <v>14.1</v>
      </c>
      <c r="B49" s="3" t="s">
        <v>353</v>
      </c>
      <c r="C49" s="3" t="s">
        <v>186</v>
      </c>
      <c r="D49" s="3" t="s">
        <v>31</v>
      </c>
      <c r="E49" s="3" t="s">
        <v>32</v>
      </c>
      <c r="F49" s="5">
        <v>46022</v>
      </c>
      <c r="G49" s="3">
        <v>2025</v>
      </c>
      <c r="H49" s="3" t="s">
        <v>44</v>
      </c>
      <c r="I49" s="3" t="s">
        <v>465</v>
      </c>
      <c r="J49" s="3"/>
      <c r="K49" s="3">
        <v>8510</v>
      </c>
      <c r="L49" s="6">
        <v>8735</v>
      </c>
      <c r="M49" s="3">
        <f>+L49/K49</f>
        <v>1.026439482961222</v>
      </c>
      <c r="N49" s="3">
        <f>+L49/K49</f>
        <v>1.026439482961222</v>
      </c>
      <c r="O49" s="3" t="s">
        <v>35</v>
      </c>
      <c r="P49" s="3" t="s">
        <v>35</v>
      </c>
      <c r="Q49" s="3" t="s">
        <v>482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43</v>
      </c>
      <c r="AC49" s="3" t="s">
        <v>31</v>
      </c>
    </row>
    <row r="50" spans="1:29" x14ac:dyDescent="0.3">
      <c r="A50" s="3">
        <v>14.2</v>
      </c>
      <c r="B50" s="3" t="s">
        <v>359</v>
      </c>
      <c r="C50" s="3" t="s">
        <v>30</v>
      </c>
      <c r="D50" s="3" t="s">
        <v>31</v>
      </c>
      <c r="E50" s="3" t="s">
        <v>32</v>
      </c>
      <c r="F50" s="5">
        <v>43281</v>
      </c>
      <c r="G50" s="3">
        <f t="shared" ref="G50:G61" si="10">YEAR(F50)</f>
        <v>2018</v>
      </c>
      <c r="H50" s="3" t="str">
        <f t="shared" ref="H50:H61" si="11">PROPER(TEXT(F50,"mmmm"))</f>
        <v>Junio</v>
      </c>
      <c r="I50" s="3" t="str">
        <f t="shared" ref="I50:I61" si="12">IF(H50="Junio",G50&amp;"-1",G50&amp;"-2")</f>
        <v>2018-1</v>
      </c>
      <c r="J50" s="3">
        <v>1</v>
      </c>
      <c r="K50" s="3"/>
      <c r="L50" s="6">
        <v>39163</v>
      </c>
      <c r="M50" s="3"/>
      <c r="N50" s="3"/>
      <c r="O50" s="3" t="s">
        <v>35</v>
      </c>
      <c r="P50" s="3" t="s">
        <v>35</v>
      </c>
      <c r="Q50" s="3" t="str">
        <f t="shared" ref="Q50:Q61" si="13">MID(A50,1,2)&amp;"."&amp;RIGHT(A50,1)&amp;"-"&amp;TEXT(F50,"yyyy-mm-dd")</f>
        <v>14.2-2018-06-30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43</v>
      </c>
      <c r="AC50" s="3" t="s">
        <v>31</v>
      </c>
    </row>
    <row r="51" spans="1:29" x14ac:dyDescent="0.3">
      <c r="A51" s="3">
        <v>14.2</v>
      </c>
      <c r="B51" s="3" t="s">
        <v>359</v>
      </c>
      <c r="C51" s="3" t="s">
        <v>186</v>
      </c>
      <c r="D51" s="3" t="s">
        <v>31</v>
      </c>
      <c r="E51" s="3" t="s">
        <v>32</v>
      </c>
      <c r="F51" s="5">
        <v>43465</v>
      </c>
      <c r="G51" s="3">
        <f t="shared" si="10"/>
        <v>2018</v>
      </c>
      <c r="H51" s="3" t="str">
        <f t="shared" si="11"/>
        <v>Diciembre</v>
      </c>
      <c r="I51" s="3" t="str">
        <f t="shared" si="12"/>
        <v>2018-2</v>
      </c>
      <c r="J51" s="3">
        <v>2</v>
      </c>
      <c r="K51" s="3"/>
      <c r="L51" s="6">
        <v>40871</v>
      </c>
      <c r="M51" s="3"/>
      <c r="N51" s="3"/>
      <c r="O51" s="3" t="s">
        <v>35</v>
      </c>
      <c r="P51" s="3" t="s">
        <v>35</v>
      </c>
      <c r="Q51" s="3" t="str">
        <f t="shared" si="13"/>
        <v>14.2-2018-12-31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43</v>
      </c>
      <c r="AC51" s="3" t="s">
        <v>31</v>
      </c>
    </row>
    <row r="52" spans="1:29" x14ac:dyDescent="0.3">
      <c r="A52" s="3">
        <v>14.2</v>
      </c>
      <c r="B52" s="3" t="s">
        <v>359</v>
      </c>
      <c r="C52" s="3" t="s">
        <v>186</v>
      </c>
      <c r="D52" s="3" t="s">
        <v>31</v>
      </c>
      <c r="E52" s="3" t="s">
        <v>32</v>
      </c>
      <c r="F52" s="5">
        <v>43465</v>
      </c>
      <c r="G52" s="3">
        <f t="shared" si="10"/>
        <v>2018</v>
      </c>
      <c r="H52" s="3" t="str">
        <f t="shared" si="11"/>
        <v>Diciembre</v>
      </c>
      <c r="I52" s="3" t="str">
        <f t="shared" si="12"/>
        <v>2018-2</v>
      </c>
      <c r="J52" s="3"/>
      <c r="K52" s="3"/>
      <c r="L52" s="6">
        <v>40871</v>
      </c>
      <c r="M52" s="3"/>
      <c r="N52" s="3"/>
      <c r="O52" s="3" t="s">
        <v>35</v>
      </c>
      <c r="P52" s="3" t="s">
        <v>35</v>
      </c>
      <c r="Q52" s="3" t="str">
        <f t="shared" si="13"/>
        <v>14.2-2018-12-31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43</v>
      </c>
      <c r="AC52" s="3" t="s">
        <v>31</v>
      </c>
    </row>
    <row r="53" spans="1:29" x14ac:dyDescent="0.3">
      <c r="A53" s="3">
        <v>14.2</v>
      </c>
      <c r="B53" s="3" t="s">
        <v>359</v>
      </c>
      <c r="C53" s="3" t="s">
        <v>30</v>
      </c>
      <c r="D53" s="3" t="s">
        <v>31</v>
      </c>
      <c r="E53" s="3" t="s">
        <v>32</v>
      </c>
      <c r="F53" s="5">
        <v>43646</v>
      </c>
      <c r="G53" s="3">
        <f t="shared" si="10"/>
        <v>2019</v>
      </c>
      <c r="H53" s="3" t="str">
        <f t="shared" si="11"/>
        <v>Junio</v>
      </c>
      <c r="I53" s="3" t="str">
        <f t="shared" si="12"/>
        <v>2019-1</v>
      </c>
      <c r="J53" s="3">
        <v>1</v>
      </c>
      <c r="K53" s="3"/>
      <c r="L53" s="6">
        <v>44631</v>
      </c>
      <c r="M53" s="3"/>
      <c r="N53" s="3"/>
      <c r="O53" s="3" t="s">
        <v>35</v>
      </c>
      <c r="P53" s="3" t="s">
        <v>35</v>
      </c>
      <c r="Q53" s="3" t="str">
        <f t="shared" si="13"/>
        <v>14.2-2019-06-30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43</v>
      </c>
      <c r="AC53" s="3" t="s">
        <v>31</v>
      </c>
    </row>
    <row r="54" spans="1:29" x14ac:dyDescent="0.3">
      <c r="A54" s="3">
        <v>14.2</v>
      </c>
      <c r="B54" s="3" t="s">
        <v>359</v>
      </c>
      <c r="C54" s="3" t="s">
        <v>186</v>
      </c>
      <c r="D54" s="3" t="s">
        <v>31</v>
      </c>
      <c r="E54" s="3" t="s">
        <v>32</v>
      </c>
      <c r="F54" s="5">
        <v>43830</v>
      </c>
      <c r="G54" s="3">
        <f t="shared" si="10"/>
        <v>2019</v>
      </c>
      <c r="H54" s="3" t="str">
        <f t="shared" si="11"/>
        <v>Diciembre</v>
      </c>
      <c r="I54" s="3" t="str">
        <f t="shared" si="12"/>
        <v>2019-2</v>
      </c>
      <c r="J54" s="3">
        <v>2</v>
      </c>
      <c r="K54" s="3"/>
      <c r="L54" s="6">
        <v>43611</v>
      </c>
      <c r="M54" s="3"/>
      <c r="N54" s="3"/>
      <c r="O54" s="3" t="s">
        <v>35</v>
      </c>
      <c r="P54" s="3" t="s">
        <v>35</v>
      </c>
      <c r="Q54" s="3" t="str">
        <f t="shared" si="13"/>
        <v>14.2-2019-12-31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43</v>
      </c>
      <c r="AC54" s="3" t="s">
        <v>31</v>
      </c>
    </row>
    <row r="55" spans="1:29" x14ac:dyDescent="0.3">
      <c r="A55" s="3">
        <v>14.2</v>
      </c>
      <c r="B55" s="3" t="s">
        <v>359</v>
      </c>
      <c r="C55" s="3" t="s">
        <v>186</v>
      </c>
      <c r="D55" s="3" t="s">
        <v>31</v>
      </c>
      <c r="E55" s="3" t="s">
        <v>32</v>
      </c>
      <c r="F55" s="5">
        <v>43830</v>
      </c>
      <c r="G55" s="3">
        <f t="shared" si="10"/>
        <v>2019</v>
      </c>
      <c r="H55" s="3" t="str">
        <f t="shared" si="11"/>
        <v>Diciembre</v>
      </c>
      <c r="I55" s="3" t="str">
        <f t="shared" si="12"/>
        <v>2019-2</v>
      </c>
      <c r="J55" s="3"/>
      <c r="K55" s="3"/>
      <c r="L55" s="6">
        <v>43611</v>
      </c>
      <c r="M55" s="3"/>
      <c r="N55" s="3"/>
      <c r="O55" s="3" t="s">
        <v>35</v>
      </c>
      <c r="P55" s="3" t="s">
        <v>35</v>
      </c>
      <c r="Q55" s="3" t="str">
        <f t="shared" si="13"/>
        <v>14.2-2019-12-31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43</v>
      </c>
      <c r="AC55" s="3" t="s">
        <v>31</v>
      </c>
    </row>
    <row r="56" spans="1:29" x14ac:dyDescent="0.3">
      <c r="A56" s="3">
        <v>14.2</v>
      </c>
      <c r="B56" s="3" t="s">
        <v>359</v>
      </c>
      <c r="C56" s="3" t="s">
        <v>30</v>
      </c>
      <c r="D56" s="3" t="s">
        <v>31</v>
      </c>
      <c r="E56" s="3" t="s">
        <v>32</v>
      </c>
      <c r="F56" s="5">
        <v>44012</v>
      </c>
      <c r="G56" s="3">
        <f t="shared" si="10"/>
        <v>2020</v>
      </c>
      <c r="H56" s="3" t="str">
        <f t="shared" si="11"/>
        <v>Junio</v>
      </c>
      <c r="I56" s="3" t="str">
        <f t="shared" si="12"/>
        <v>2020-1</v>
      </c>
      <c r="J56" s="3">
        <v>1</v>
      </c>
      <c r="K56" s="3"/>
      <c r="L56" s="6">
        <v>45713</v>
      </c>
      <c r="M56" s="3"/>
      <c r="N56" s="3"/>
      <c r="O56" s="3" t="s">
        <v>35</v>
      </c>
      <c r="P56" s="3" t="s">
        <v>35</v>
      </c>
      <c r="Q56" s="3" t="str">
        <f t="shared" si="13"/>
        <v>14.2-2020-06-30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43</v>
      </c>
      <c r="AC56" s="3" t="s">
        <v>31</v>
      </c>
    </row>
    <row r="57" spans="1:29" x14ac:dyDescent="0.3">
      <c r="A57" s="3">
        <v>14.2</v>
      </c>
      <c r="B57" s="3" t="s">
        <v>359</v>
      </c>
      <c r="C57" s="3" t="s">
        <v>186</v>
      </c>
      <c r="D57" s="3" t="s">
        <v>31</v>
      </c>
      <c r="E57" s="3" t="s">
        <v>32</v>
      </c>
      <c r="F57" s="5">
        <v>44196</v>
      </c>
      <c r="G57" s="3">
        <f t="shared" si="10"/>
        <v>2020</v>
      </c>
      <c r="H57" s="3" t="str">
        <f t="shared" si="11"/>
        <v>Diciembre</v>
      </c>
      <c r="I57" s="3" t="str">
        <f t="shared" si="12"/>
        <v>2020-2</v>
      </c>
      <c r="J57" s="3">
        <v>2</v>
      </c>
      <c r="K57" s="3"/>
      <c r="L57" s="6">
        <v>43447</v>
      </c>
      <c r="M57" s="3"/>
      <c r="N57" s="3"/>
      <c r="O57" s="3" t="s">
        <v>35</v>
      </c>
      <c r="P57" s="3" t="s">
        <v>35</v>
      </c>
      <c r="Q57" s="3" t="str">
        <f t="shared" si="13"/>
        <v>14.2-2020-12-31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43</v>
      </c>
      <c r="AC57" s="3" t="s">
        <v>31</v>
      </c>
    </row>
    <row r="58" spans="1:29" x14ac:dyDescent="0.3">
      <c r="A58" s="3">
        <v>14.2</v>
      </c>
      <c r="B58" s="3" t="s">
        <v>359</v>
      </c>
      <c r="C58" s="3" t="s">
        <v>186</v>
      </c>
      <c r="D58" s="3" t="s">
        <v>31</v>
      </c>
      <c r="E58" s="3" t="s">
        <v>32</v>
      </c>
      <c r="F58" s="5">
        <v>44196</v>
      </c>
      <c r="G58" s="3">
        <f t="shared" si="10"/>
        <v>2020</v>
      </c>
      <c r="H58" s="3" t="str">
        <f t="shared" si="11"/>
        <v>Diciembre</v>
      </c>
      <c r="I58" s="3" t="str">
        <f t="shared" si="12"/>
        <v>2020-2</v>
      </c>
      <c r="J58" s="3"/>
      <c r="K58" s="3"/>
      <c r="L58" s="6">
        <v>43447</v>
      </c>
      <c r="M58" s="3"/>
      <c r="N58" s="3"/>
      <c r="O58" s="3" t="s">
        <v>35</v>
      </c>
      <c r="P58" s="3" t="s">
        <v>35</v>
      </c>
      <c r="Q58" s="3" t="str">
        <f t="shared" si="13"/>
        <v>14.2-2020-12-31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43</v>
      </c>
      <c r="AC58" s="3" t="s">
        <v>31</v>
      </c>
    </row>
    <row r="59" spans="1:29" x14ac:dyDescent="0.3">
      <c r="A59" s="3">
        <v>14.2</v>
      </c>
      <c r="B59" s="3" t="s">
        <v>359</v>
      </c>
      <c r="C59" s="3" t="s">
        <v>30</v>
      </c>
      <c r="D59" s="3" t="s">
        <v>31</v>
      </c>
      <c r="E59" s="3" t="s">
        <v>32</v>
      </c>
      <c r="F59" s="5">
        <v>44377</v>
      </c>
      <c r="G59" s="3">
        <f t="shared" si="10"/>
        <v>2021</v>
      </c>
      <c r="H59" s="3" t="str">
        <f t="shared" si="11"/>
        <v>Junio</v>
      </c>
      <c r="I59" s="3" t="str">
        <f t="shared" si="12"/>
        <v>2021-1</v>
      </c>
      <c r="J59" s="3">
        <v>1</v>
      </c>
      <c r="K59" s="3"/>
      <c r="L59" s="6">
        <v>43569</v>
      </c>
      <c r="M59" s="3"/>
      <c r="N59" s="3"/>
      <c r="O59" s="3" t="s">
        <v>35</v>
      </c>
      <c r="P59" s="3" t="s">
        <v>35</v>
      </c>
      <c r="Q59" s="3" t="str">
        <f t="shared" si="13"/>
        <v>14.2-2021-06-30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43</v>
      </c>
      <c r="AC59" s="3" t="s">
        <v>31</v>
      </c>
    </row>
    <row r="60" spans="1:29" x14ac:dyDescent="0.3">
      <c r="A60" s="3">
        <v>14.2</v>
      </c>
      <c r="B60" s="3" t="s">
        <v>359</v>
      </c>
      <c r="C60" s="3" t="s">
        <v>186</v>
      </c>
      <c r="D60" s="3" t="s">
        <v>31</v>
      </c>
      <c r="E60" s="3" t="s">
        <v>32</v>
      </c>
      <c r="F60" s="5">
        <v>44561</v>
      </c>
      <c r="G60" s="3">
        <f t="shared" si="10"/>
        <v>2021</v>
      </c>
      <c r="H60" s="3" t="str">
        <f t="shared" si="11"/>
        <v>Diciembre</v>
      </c>
      <c r="I60" s="3" t="str">
        <f t="shared" si="12"/>
        <v>2021-2</v>
      </c>
      <c r="J60" s="3">
        <v>2</v>
      </c>
      <c r="K60" s="3"/>
      <c r="L60" s="6">
        <v>41540</v>
      </c>
      <c r="M60" s="3"/>
      <c r="N60" s="3"/>
      <c r="O60" s="3" t="s">
        <v>35</v>
      </c>
      <c r="P60" s="3" t="s">
        <v>35</v>
      </c>
      <c r="Q60" s="3" t="str">
        <f t="shared" si="13"/>
        <v>14.2-2021-12-31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43</v>
      </c>
      <c r="AC60" s="3" t="s">
        <v>31</v>
      </c>
    </row>
    <row r="61" spans="1:29" x14ac:dyDescent="0.3">
      <c r="A61" s="3">
        <v>14.2</v>
      </c>
      <c r="B61" s="3" t="s">
        <v>359</v>
      </c>
      <c r="C61" s="3" t="s">
        <v>186</v>
      </c>
      <c r="D61" s="3" t="s">
        <v>31</v>
      </c>
      <c r="E61" s="3" t="s">
        <v>32</v>
      </c>
      <c r="F61" s="5">
        <v>44561</v>
      </c>
      <c r="G61" s="3">
        <f t="shared" si="10"/>
        <v>2021</v>
      </c>
      <c r="H61" s="3" t="str">
        <f t="shared" si="11"/>
        <v>Diciembre</v>
      </c>
      <c r="I61" s="3" t="str">
        <f t="shared" si="12"/>
        <v>2021-2</v>
      </c>
      <c r="J61" s="3"/>
      <c r="K61" s="3"/>
      <c r="L61" s="6">
        <v>41540</v>
      </c>
      <c r="M61" s="3"/>
      <c r="N61" s="3"/>
      <c r="O61" s="3" t="s">
        <v>35</v>
      </c>
      <c r="P61" s="3" t="s">
        <v>35</v>
      </c>
      <c r="Q61" s="3" t="str">
        <f t="shared" si="13"/>
        <v>14.2-2021-12-31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43</v>
      </c>
      <c r="AC61" s="3" t="s">
        <v>31</v>
      </c>
    </row>
    <row r="62" spans="1:29" x14ac:dyDescent="0.3">
      <c r="A62" s="3">
        <v>14.2</v>
      </c>
      <c r="B62" s="3" t="s">
        <v>359</v>
      </c>
      <c r="C62" s="3" t="s">
        <v>30</v>
      </c>
      <c r="D62" s="3" t="s">
        <v>31</v>
      </c>
      <c r="E62" s="3" t="s">
        <v>32</v>
      </c>
      <c r="F62" s="5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f t="shared" ref="M62:M72" si="14">+L62/K62</f>
        <v>1.0110051528363917</v>
      </c>
      <c r="N62" s="3">
        <f t="shared" ref="N62:N73" si="15">+L62/K62</f>
        <v>1.0110051528363917</v>
      </c>
      <c r="O62" s="3" t="s">
        <v>35</v>
      </c>
      <c r="P62" s="3" t="s">
        <v>35</v>
      </c>
      <c r="Q62" s="3" t="s">
        <v>360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43</v>
      </c>
      <c r="AC62" s="3" t="s">
        <v>31</v>
      </c>
    </row>
    <row r="63" spans="1:29" x14ac:dyDescent="0.3">
      <c r="A63" s="3">
        <v>14.2</v>
      </c>
      <c r="B63" s="3" t="s">
        <v>359</v>
      </c>
      <c r="C63" s="3" t="s">
        <v>30</v>
      </c>
      <c r="D63" s="3" t="s">
        <v>31</v>
      </c>
      <c r="E63" s="3" t="s">
        <v>32</v>
      </c>
      <c r="F63" s="5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f t="shared" si="14"/>
        <v>1.0101244263613569</v>
      </c>
      <c r="N63" s="3">
        <f t="shared" si="15"/>
        <v>1.0101244263613569</v>
      </c>
      <c r="O63" s="3" t="s">
        <v>35</v>
      </c>
      <c r="P63" s="3" t="s">
        <v>35</v>
      </c>
      <c r="Q63" s="3" t="s">
        <v>361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43</v>
      </c>
      <c r="AC63" s="3" t="s">
        <v>31</v>
      </c>
    </row>
    <row r="64" spans="1:29" x14ac:dyDescent="0.3">
      <c r="A64" s="3">
        <v>14.2</v>
      </c>
      <c r="B64" s="3" t="s">
        <v>359</v>
      </c>
      <c r="C64" s="3" t="s">
        <v>30</v>
      </c>
      <c r="D64" s="3" t="s">
        <v>31</v>
      </c>
      <c r="E64" s="3" t="s">
        <v>32</v>
      </c>
      <c r="F64" s="5">
        <v>44926</v>
      </c>
      <c r="G64" s="3">
        <v>2022</v>
      </c>
      <c r="H64" s="3" t="s">
        <v>44</v>
      </c>
      <c r="I64" s="3" t="s">
        <v>45</v>
      </c>
      <c r="J64" s="3"/>
      <c r="K64" s="3">
        <v>42274</v>
      </c>
      <c r="L64" s="3">
        <v>42702</v>
      </c>
      <c r="M64" s="3">
        <f t="shared" si="14"/>
        <v>1.0101244263613569</v>
      </c>
      <c r="N64" s="3">
        <f t="shared" si="15"/>
        <v>1.0101244263613569</v>
      </c>
      <c r="O64" s="3" t="s">
        <v>35</v>
      </c>
      <c r="P64" s="3" t="s">
        <v>35</v>
      </c>
      <c r="Q64" s="3" t="s">
        <v>361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43</v>
      </c>
      <c r="AC64" s="3" t="s">
        <v>31</v>
      </c>
    </row>
    <row r="65" spans="1:29" x14ac:dyDescent="0.3">
      <c r="A65" s="3">
        <v>14.2</v>
      </c>
      <c r="B65" s="3" t="s">
        <v>359</v>
      </c>
      <c r="C65" s="3" t="s">
        <v>30</v>
      </c>
      <c r="D65" s="3" t="s">
        <v>31</v>
      </c>
      <c r="E65" s="3" t="s">
        <v>32</v>
      </c>
      <c r="F65" s="5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f t="shared" si="14"/>
        <v>0.98209897418554837</v>
      </c>
      <c r="N65" s="3">
        <f t="shared" si="15"/>
        <v>0.98209897418554837</v>
      </c>
      <c r="O65" s="3" t="s">
        <v>35</v>
      </c>
      <c r="P65" s="3" t="s">
        <v>35</v>
      </c>
      <c r="Q65" s="3" t="s">
        <v>362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43</v>
      </c>
      <c r="AC65" s="3" t="s">
        <v>31</v>
      </c>
    </row>
    <row r="66" spans="1:29" x14ac:dyDescent="0.3">
      <c r="A66" s="3">
        <v>14.2</v>
      </c>
      <c r="B66" s="3" t="s">
        <v>359</v>
      </c>
      <c r="C66" s="3" t="s">
        <v>186</v>
      </c>
      <c r="D66" s="3" t="s">
        <v>31</v>
      </c>
      <c r="E66" s="3" t="s">
        <v>32</v>
      </c>
      <c r="F66" s="5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f t="shared" si="14"/>
        <v>0.98279891982662759</v>
      </c>
      <c r="N66" s="3">
        <f t="shared" si="15"/>
        <v>0.98279891982662759</v>
      </c>
      <c r="O66" s="3" t="s">
        <v>35</v>
      </c>
      <c r="P66" s="3" t="s">
        <v>35</v>
      </c>
      <c r="Q66" s="3" t="s">
        <v>363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43</v>
      </c>
      <c r="AC66" s="3" t="s">
        <v>31</v>
      </c>
    </row>
    <row r="67" spans="1:29" x14ac:dyDescent="0.3">
      <c r="A67" s="3">
        <v>14.2</v>
      </c>
      <c r="B67" s="3" t="s">
        <v>359</v>
      </c>
      <c r="C67" s="3" t="s">
        <v>186</v>
      </c>
      <c r="D67" s="3" t="s">
        <v>31</v>
      </c>
      <c r="E67" s="3" t="s">
        <v>32</v>
      </c>
      <c r="F67" s="5">
        <v>45291</v>
      </c>
      <c r="G67" s="3">
        <v>2023</v>
      </c>
      <c r="H67" s="3" t="s">
        <v>44</v>
      </c>
      <c r="I67" s="3" t="s">
        <v>49</v>
      </c>
      <c r="J67" s="3"/>
      <c r="K67" s="3">
        <v>44067</v>
      </c>
      <c r="L67" s="3">
        <v>43309</v>
      </c>
      <c r="M67" s="3">
        <f t="shared" si="14"/>
        <v>0.98279891982662759</v>
      </c>
      <c r="N67" s="3">
        <f t="shared" si="15"/>
        <v>0.98279891982662759</v>
      </c>
      <c r="O67" s="3" t="s">
        <v>35</v>
      </c>
      <c r="P67" s="3" t="s">
        <v>35</v>
      </c>
      <c r="Q67" s="3" t="s">
        <v>363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43</v>
      </c>
      <c r="AC67" s="3" t="s">
        <v>31</v>
      </c>
    </row>
    <row r="68" spans="1:29" x14ac:dyDescent="0.3">
      <c r="A68" s="3">
        <v>14.2</v>
      </c>
      <c r="B68" s="3" t="s">
        <v>359</v>
      </c>
      <c r="C68" s="3" t="s">
        <v>186</v>
      </c>
      <c r="D68" s="3" t="s">
        <v>31</v>
      </c>
      <c r="E68" s="3" t="s">
        <v>32</v>
      </c>
      <c r="F68" s="5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f t="shared" si="14"/>
        <v>0.99832711653667905</v>
      </c>
      <c r="N68" s="3">
        <f t="shared" si="15"/>
        <v>0.99832711653667905</v>
      </c>
      <c r="O68" s="3" t="s">
        <v>35</v>
      </c>
      <c r="P68" s="3" t="s">
        <v>35</v>
      </c>
      <c r="Q68" s="3" t="s">
        <v>364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43</v>
      </c>
      <c r="AC68" s="3" t="s">
        <v>31</v>
      </c>
    </row>
    <row r="69" spans="1:29" x14ac:dyDescent="0.3">
      <c r="A69" s="3">
        <v>14.2</v>
      </c>
      <c r="B69" s="3" t="s">
        <v>359</v>
      </c>
      <c r="C69" s="3" t="s">
        <v>186</v>
      </c>
      <c r="D69" s="3" t="s">
        <v>31</v>
      </c>
      <c r="E69" s="3" t="s">
        <v>32</v>
      </c>
      <c r="F69" s="5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f t="shared" si="14"/>
        <v>1.0147208591797057</v>
      </c>
      <c r="N69" s="3">
        <f t="shared" si="15"/>
        <v>1.0147208591797057</v>
      </c>
      <c r="O69" s="3" t="s">
        <v>35</v>
      </c>
      <c r="P69" s="3" t="s">
        <v>35</v>
      </c>
      <c r="Q69" s="3" t="s">
        <v>400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43</v>
      </c>
      <c r="AC69" s="3" t="s">
        <v>31</v>
      </c>
    </row>
    <row r="70" spans="1:29" x14ac:dyDescent="0.3">
      <c r="A70" s="3">
        <v>14.2</v>
      </c>
      <c r="B70" s="3" t="s">
        <v>359</v>
      </c>
      <c r="C70" s="3" t="s">
        <v>186</v>
      </c>
      <c r="D70" s="3" t="s">
        <v>31</v>
      </c>
      <c r="E70" s="3" t="s">
        <v>32</v>
      </c>
      <c r="F70" s="5">
        <v>45657</v>
      </c>
      <c r="G70" s="3">
        <v>2024</v>
      </c>
      <c r="H70" s="3" t="s">
        <v>44</v>
      </c>
      <c r="I70" s="3" t="s">
        <v>53</v>
      </c>
      <c r="J70" s="3"/>
      <c r="K70" s="3">
        <v>43204</v>
      </c>
      <c r="L70" s="3">
        <v>43840</v>
      </c>
      <c r="M70" s="3">
        <f t="shared" si="14"/>
        <v>1.0147208591797057</v>
      </c>
      <c r="N70" s="3">
        <f t="shared" si="15"/>
        <v>1.0147208591797057</v>
      </c>
      <c r="O70" s="3" t="s">
        <v>35</v>
      </c>
      <c r="P70" s="3" t="s">
        <v>35</v>
      </c>
      <c r="Q70" s="3" t="s">
        <v>400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43</v>
      </c>
      <c r="AC70" s="3" t="s">
        <v>31</v>
      </c>
    </row>
    <row r="71" spans="1:29" x14ac:dyDescent="0.3">
      <c r="A71" s="3">
        <v>14.2</v>
      </c>
      <c r="B71" s="3" t="s">
        <v>359</v>
      </c>
      <c r="C71" s="3" t="s">
        <v>186</v>
      </c>
      <c r="D71" s="3" t="s">
        <v>31</v>
      </c>
      <c r="E71" s="3" t="s">
        <v>32</v>
      </c>
      <c r="F71" s="5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 t="shared" si="14"/>
        <v>1.0575471071452296</v>
      </c>
      <c r="N71" s="3">
        <f t="shared" si="15"/>
        <v>1.0575471071452296</v>
      </c>
      <c r="O71" s="3" t="s">
        <v>35</v>
      </c>
      <c r="P71" s="3" t="s">
        <v>35</v>
      </c>
      <c r="Q71" s="3" t="s">
        <v>415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43</v>
      </c>
      <c r="AC71" s="3" t="s">
        <v>31</v>
      </c>
    </row>
    <row r="72" spans="1:29" x14ac:dyDescent="0.3">
      <c r="A72" s="3">
        <v>14.2</v>
      </c>
      <c r="B72" s="3" t="s">
        <v>359</v>
      </c>
      <c r="C72" s="3" t="s">
        <v>186</v>
      </c>
      <c r="D72" s="3" t="s">
        <v>31</v>
      </c>
      <c r="E72" s="3" t="s">
        <v>32</v>
      </c>
      <c r="F72" s="5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6">
        <v>48202</v>
      </c>
      <c r="M72" s="3">
        <f t="shared" si="14"/>
        <v>1.020234517207806</v>
      </c>
      <c r="N72" s="3">
        <f t="shared" si="15"/>
        <v>1.020234517207806</v>
      </c>
      <c r="O72" s="3" t="s">
        <v>35</v>
      </c>
      <c r="P72" s="3" t="s">
        <v>35</v>
      </c>
      <c r="Q72" s="3" t="s">
        <v>483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43</v>
      </c>
      <c r="AC72" s="3" t="s">
        <v>31</v>
      </c>
    </row>
    <row r="73" spans="1:29" x14ac:dyDescent="0.3">
      <c r="A73" s="3">
        <v>14.2</v>
      </c>
      <c r="B73" s="3" t="s">
        <v>359</v>
      </c>
      <c r="C73" s="3" t="s">
        <v>186</v>
      </c>
      <c r="D73" s="3" t="s">
        <v>31</v>
      </c>
      <c r="E73" s="3" t="s">
        <v>32</v>
      </c>
      <c r="F73" s="5">
        <v>46022</v>
      </c>
      <c r="G73" s="3">
        <v>2025</v>
      </c>
      <c r="H73" s="3" t="s">
        <v>44</v>
      </c>
      <c r="I73" s="3" t="s">
        <v>465</v>
      </c>
      <c r="J73" s="3"/>
      <c r="K73" s="3">
        <v>47246</v>
      </c>
      <c r="L73" s="6">
        <v>48202</v>
      </c>
      <c r="M73" s="3">
        <f>+L73/K73</f>
        <v>1.020234517207806</v>
      </c>
      <c r="N73" s="3">
        <f t="shared" si="15"/>
        <v>1.020234517207806</v>
      </c>
      <c r="O73" s="3" t="s">
        <v>35</v>
      </c>
      <c r="P73" s="3" t="s">
        <v>35</v>
      </c>
      <c r="Q73" s="3" t="s">
        <v>415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43</v>
      </c>
      <c r="AC73" s="3" t="s">
        <v>31</v>
      </c>
    </row>
    <row r="74" spans="1:29" x14ac:dyDescent="0.3">
      <c r="A74" s="3">
        <v>14.3</v>
      </c>
      <c r="B74" s="3" t="s">
        <v>365</v>
      </c>
      <c r="C74" s="3" t="s">
        <v>186</v>
      </c>
      <c r="D74" s="3" t="s">
        <v>31</v>
      </c>
      <c r="E74" s="3" t="s">
        <v>32</v>
      </c>
      <c r="F74" s="5">
        <v>43281</v>
      </c>
      <c r="G74" s="3">
        <f t="shared" ref="G74:G85" si="16">YEAR(F74)</f>
        <v>2018</v>
      </c>
      <c r="H74" s="3" t="str">
        <f t="shared" ref="H74:H85" si="17">PROPER(TEXT(F74,"mmmm"))</f>
        <v>Junio</v>
      </c>
      <c r="I74" s="3" t="str">
        <f t="shared" ref="I74:I85" si="18">IF(H74="Junio",G74&amp;"-1",G74&amp;"-2")</f>
        <v>2018-1</v>
      </c>
      <c r="J74" s="3">
        <v>1</v>
      </c>
      <c r="K74" s="3"/>
      <c r="L74" s="6">
        <v>47522</v>
      </c>
      <c r="M74" s="3"/>
      <c r="N74" s="3"/>
      <c r="O74" s="3" t="s">
        <v>35</v>
      </c>
      <c r="P74" s="3" t="s">
        <v>35</v>
      </c>
      <c r="Q74" s="3" t="str">
        <f t="shared" ref="Q74:Q85" si="19">MID(A74,1,2)&amp;"."&amp;RIGHT(A74,1)&amp;"-"&amp;TEXT(F74,"yyyy-mm-dd")</f>
        <v>14.3-2018-06-30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43</v>
      </c>
      <c r="AC74" s="3" t="s">
        <v>31</v>
      </c>
    </row>
    <row r="75" spans="1:29" x14ac:dyDescent="0.3">
      <c r="A75" s="3">
        <v>14.3</v>
      </c>
      <c r="B75" s="3" t="s">
        <v>365</v>
      </c>
      <c r="C75" s="3" t="s">
        <v>186</v>
      </c>
      <c r="D75" s="3" t="s">
        <v>31</v>
      </c>
      <c r="E75" s="3" t="s">
        <v>32</v>
      </c>
      <c r="F75" s="5">
        <v>43465</v>
      </c>
      <c r="G75" s="3">
        <f t="shared" si="16"/>
        <v>2018</v>
      </c>
      <c r="H75" s="3" t="str">
        <f t="shared" si="17"/>
        <v>Diciembre</v>
      </c>
      <c r="I75" s="3" t="str">
        <f t="shared" si="18"/>
        <v>2018-2</v>
      </c>
      <c r="J75" s="3">
        <v>2</v>
      </c>
      <c r="K75" s="3"/>
      <c r="L75" s="6">
        <v>48925</v>
      </c>
      <c r="M75" s="3"/>
      <c r="N75" s="3"/>
      <c r="O75" s="3" t="s">
        <v>35</v>
      </c>
      <c r="P75" s="3" t="s">
        <v>35</v>
      </c>
      <c r="Q75" s="3" t="str">
        <f t="shared" si="19"/>
        <v>14.3-2018-12-31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43</v>
      </c>
      <c r="AC75" s="3" t="s">
        <v>31</v>
      </c>
    </row>
    <row r="76" spans="1:29" x14ac:dyDescent="0.3">
      <c r="A76" s="3">
        <v>14.3</v>
      </c>
      <c r="B76" s="3" t="s">
        <v>365</v>
      </c>
      <c r="C76" s="3" t="s">
        <v>186</v>
      </c>
      <c r="D76" s="3" t="s">
        <v>31</v>
      </c>
      <c r="E76" s="3" t="s">
        <v>32</v>
      </c>
      <c r="F76" s="5">
        <v>43465</v>
      </c>
      <c r="G76" s="3">
        <f t="shared" si="16"/>
        <v>2018</v>
      </c>
      <c r="H76" s="3" t="str">
        <f t="shared" si="17"/>
        <v>Diciembre</v>
      </c>
      <c r="I76" s="3" t="str">
        <f t="shared" si="18"/>
        <v>2018-2</v>
      </c>
      <c r="J76" s="3"/>
      <c r="K76" s="3"/>
      <c r="L76" s="6">
        <v>48925</v>
      </c>
      <c r="M76" s="3"/>
      <c r="N76" s="3"/>
      <c r="O76" s="3" t="s">
        <v>35</v>
      </c>
      <c r="P76" s="3" t="s">
        <v>35</v>
      </c>
      <c r="Q76" s="3" t="str">
        <f t="shared" si="19"/>
        <v>14.3-2018-12-31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43</v>
      </c>
      <c r="AC76" s="3" t="s">
        <v>31</v>
      </c>
    </row>
    <row r="77" spans="1:29" x14ac:dyDescent="0.3">
      <c r="A77" s="3">
        <v>14.3</v>
      </c>
      <c r="B77" s="3" t="s">
        <v>365</v>
      </c>
      <c r="C77" s="3" t="s">
        <v>186</v>
      </c>
      <c r="D77" s="3" t="s">
        <v>31</v>
      </c>
      <c r="E77" s="3" t="s">
        <v>32</v>
      </c>
      <c r="F77" s="5">
        <v>43646</v>
      </c>
      <c r="G77" s="3">
        <f t="shared" si="16"/>
        <v>2019</v>
      </c>
      <c r="H77" s="3" t="str">
        <f t="shared" si="17"/>
        <v>Junio</v>
      </c>
      <c r="I77" s="3" t="str">
        <f t="shared" si="18"/>
        <v>2019-1</v>
      </c>
      <c r="J77" s="3">
        <v>1</v>
      </c>
      <c r="K77" s="3"/>
      <c r="L77" s="6">
        <v>52526</v>
      </c>
      <c r="M77" s="3"/>
      <c r="N77" s="3"/>
      <c r="O77" s="3" t="s">
        <v>35</v>
      </c>
      <c r="P77" s="3" t="s">
        <v>35</v>
      </c>
      <c r="Q77" s="3" t="str">
        <f t="shared" si="19"/>
        <v>14.3-2019-06-30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43</v>
      </c>
      <c r="AC77" s="3" t="s">
        <v>31</v>
      </c>
    </row>
    <row r="78" spans="1:29" x14ac:dyDescent="0.3">
      <c r="A78" s="3">
        <v>14.3</v>
      </c>
      <c r="B78" s="3" t="s">
        <v>365</v>
      </c>
      <c r="C78" s="3" t="s">
        <v>186</v>
      </c>
      <c r="D78" s="3" t="s">
        <v>31</v>
      </c>
      <c r="E78" s="3" t="s">
        <v>32</v>
      </c>
      <c r="F78" s="5">
        <v>43830</v>
      </c>
      <c r="G78" s="3">
        <f t="shared" si="16"/>
        <v>2019</v>
      </c>
      <c r="H78" s="3" t="str">
        <f t="shared" si="17"/>
        <v>Diciembre</v>
      </c>
      <c r="I78" s="3" t="str">
        <f t="shared" si="18"/>
        <v>2019-2</v>
      </c>
      <c r="J78" s="3">
        <v>2</v>
      </c>
      <c r="K78" s="3"/>
      <c r="L78" s="6">
        <v>51296</v>
      </c>
      <c r="M78" s="3"/>
      <c r="N78" s="3"/>
      <c r="O78" s="3" t="s">
        <v>35</v>
      </c>
      <c r="P78" s="3" t="s">
        <v>35</v>
      </c>
      <c r="Q78" s="3" t="str">
        <f t="shared" si="19"/>
        <v>14.3-2019-12-31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43</v>
      </c>
      <c r="AC78" s="3" t="s">
        <v>31</v>
      </c>
    </row>
    <row r="79" spans="1:29" x14ac:dyDescent="0.3">
      <c r="A79" s="3">
        <v>14.3</v>
      </c>
      <c r="B79" s="3" t="s">
        <v>365</v>
      </c>
      <c r="C79" s="3" t="s">
        <v>186</v>
      </c>
      <c r="D79" s="3" t="s">
        <v>31</v>
      </c>
      <c r="E79" s="3" t="s">
        <v>32</v>
      </c>
      <c r="F79" s="5">
        <v>43830</v>
      </c>
      <c r="G79" s="3">
        <f t="shared" si="16"/>
        <v>2019</v>
      </c>
      <c r="H79" s="3" t="str">
        <f t="shared" si="17"/>
        <v>Diciembre</v>
      </c>
      <c r="I79" s="3" t="str">
        <f t="shared" si="18"/>
        <v>2019-2</v>
      </c>
      <c r="J79" s="3"/>
      <c r="K79" s="3"/>
      <c r="L79" s="6">
        <v>51296</v>
      </c>
      <c r="M79" s="3"/>
      <c r="N79" s="3"/>
      <c r="O79" s="3" t="s">
        <v>35</v>
      </c>
      <c r="P79" s="3" t="s">
        <v>35</v>
      </c>
      <c r="Q79" s="3" t="str">
        <f t="shared" si="19"/>
        <v>14.3-2019-12-31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43</v>
      </c>
      <c r="AC79" s="3" t="s">
        <v>31</v>
      </c>
    </row>
    <row r="80" spans="1:29" x14ac:dyDescent="0.3">
      <c r="A80" s="3">
        <v>14.3</v>
      </c>
      <c r="B80" s="3" t="s">
        <v>365</v>
      </c>
      <c r="C80" s="3" t="s">
        <v>186</v>
      </c>
      <c r="D80" s="3" t="s">
        <v>31</v>
      </c>
      <c r="E80" s="3" t="s">
        <v>32</v>
      </c>
      <c r="F80" s="5">
        <v>44012</v>
      </c>
      <c r="G80" s="3">
        <f t="shared" si="16"/>
        <v>2020</v>
      </c>
      <c r="H80" s="3" t="str">
        <f t="shared" si="17"/>
        <v>Junio</v>
      </c>
      <c r="I80" s="3" t="str">
        <f t="shared" si="18"/>
        <v>2020-1</v>
      </c>
      <c r="J80" s="3">
        <v>1</v>
      </c>
      <c r="K80" s="3"/>
      <c r="L80" s="6">
        <v>53450</v>
      </c>
      <c r="M80" s="3"/>
      <c r="N80" s="3"/>
      <c r="O80" s="3" t="s">
        <v>35</v>
      </c>
      <c r="P80" s="3" t="s">
        <v>35</v>
      </c>
      <c r="Q80" s="3" t="str">
        <f t="shared" si="19"/>
        <v>14.3-2020-06-30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43</v>
      </c>
      <c r="AC80" s="3" t="s">
        <v>31</v>
      </c>
    </row>
    <row r="81" spans="1:29" x14ac:dyDescent="0.3">
      <c r="A81" s="3">
        <v>14.3</v>
      </c>
      <c r="B81" s="3" t="s">
        <v>365</v>
      </c>
      <c r="C81" s="3" t="s">
        <v>186</v>
      </c>
      <c r="D81" s="3" t="s">
        <v>31</v>
      </c>
      <c r="E81" s="3" t="s">
        <v>32</v>
      </c>
      <c r="F81" s="5">
        <v>44196</v>
      </c>
      <c r="G81" s="3">
        <f t="shared" si="16"/>
        <v>2020</v>
      </c>
      <c r="H81" s="3" t="str">
        <f t="shared" si="17"/>
        <v>Diciembre</v>
      </c>
      <c r="I81" s="3" t="str">
        <f t="shared" si="18"/>
        <v>2020-2</v>
      </c>
      <c r="J81" s="3">
        <v>2</v>
      </c>
      <c r="K81" s="3"/>
      <c r="L81" s="6">
        <v>49051</v>
      </c>
      <c r="M81" s="3"/>
      <c r="N81" s="3"/>
      <c r="O81" s="3" t="s">
        <v>35</v>
      </c>
      <c r="P81" s="3" t="s">
        <v>35</v>
      </c>
      <c r="Q81" s="3" t="str">
        <f t="shared" si="19"/>
        <v>14.3-2020-12-31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43</v>
      </c>
      <c r="AC81" s="3" t="s">
        <v>31</v>
      </c>
    </row>
    <row r="82" spans="1:29" x14ac:dyDescent="0.3">
      <c r="A82" s="3">
        <v>14.3</v>
      </c>
      <c r="B82" s="3" t="s">
        <v>365</v>
      </c>
      <c r="C82" s="3" t="s">
        <v>186</v>
      </c>
      <c r="D82" s="3" t="s">
        <v>31</v>
      </c>
      <c r="E82" s="3" t="s">
        <v>32</v>
      </c>
      <c r="F82" s="5">
        <v>44196</v>
      </c>
      <c r="G82" s="3">
        <f t="shared" si="16"/>
        <v>2020</v>
      </c>
      <c r="H82" s="3" t="str">
        <f t="shared" si="17"/>
        <v>Diciembre</v>
      </c>
      <c r="I82" s="3" t="str">
        <f t="shared" si="18"/>
        <v>2020-2</v>
      </c>
      <c r="J82" s="3"/>
      <c r="K82" s="3"/>
      <c r="L82" s="6">
        <v>49051</v>
      </c>
      <c r="M82" s="3"/>
      <c r="N82" s="3"/>
      <c r="O82" s="3" t="s">
        <v>35</v>
      </c>
      <c r="P82" s="3" t="s">
        <v>35</v>
      </c>
      <c r="Q82" s="3" t="str">
        <f t="shared" si="19"/>
        <v>14.3-2020-12-31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43</v>
      </c>
      <c r="AC82" s="3" t="s">
        <v>31</v>
      </c>
    </row>
    <row r="83" spans="1:29" x14ac:dyDescent="0.3">
      <c r="A83" s="3">
        <v>14.3</v>
      </c>
      <c r="B83" s="3" t="s">
        <v>365</v>
      </c>
      <c r="C83" s="3" t="s">
        <v>186</v>
      </c>
      <c r="D83" s="3" t="s">
        <v>31</v>
      </c>
      <c r="E83" s="3" t="s">
        <v>32</v>
      </c>
      <c r="F83" s="5">
        <v>44377</v>
      </c>
      <c r="G83" s="3">
        <f t="shared" si="16"/>
        <v>2021</v>
      </c>
      <c r="H83" s="3" t="str">
        <f t="shared" si="17"/>
        <v>Junio</v>
      </c>
      <c r="I83" s="3" t="str">
        <f t="shared" si="18"/>
        <v>2021-1</v>
      </c>
      <c r="J83" s="3">
        <v>1</v>
      </c>
      <c r="K83" s="3"/>
      <c r="L83" s="6">
        <v>49449</v>
      </c>
      <c r="M83" s="3"/>
      <c r="N83" s="3"/>
      <c r="O83" s="3" t="s">
        <v>35</v>
      </c>
      <c r="P83" s="3" t="s">
        <v>35</v>
      </c>
      <c r="Q83" s="3" t="str">
        <f t="shared" si="19"/>
        <v>14.3-2021-06-30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43</v>
      </c>
      <c r="AC83" s="3" t="s">
        <v>31</v>
      </c>
    </row>
    <row r="84" spans="1:29" x14ac:dyDescent="0.3">
      <c r="A84" s="3">
        <v>14.3</v>
      </c>
      <c r="B84" s="3" t="s">
        <v>365</v>
      </c>
      <c r="C84" s="3" t="s">
        <v>186</v>
      </c>
      <c r="D84" s="3" t="s">
        <v>31</v>
      </c>
      <c r="E84" s="3" t="s">
        <v>32</v>
      </c>
      <c r="F84" s="5">
        <v>44561</v>
      </c>
      <c r="G84" s="3">
        <f t="shared" si="16"/>
        <v>2021</v>
      </c>
      <c r="H84" s="3" t="str">
        <f t="shared" si="17"/>
        <v>Diciembre</v>
      </c>
      <c r="I84" s="3" t="str">
        <f t="shared" si="18"/>
        <v>2021-2</v>
      </c>
      <c r="J84" s="3">
        <v>2</v>
      </c>
      <c r="K84" s="3"/>
      <c r="L84" s="6">
        <v>47079</v>
      </c>
      <c r="M84" s="3"/>
      <c r="N84" s="3"/>
      <c r="O84" s="3" t="s">
        <v>35</v>
      </c>
      <c r="P84" s="3" t="s">
        <v>35</v>
      </c>
      <c r="Q84" s="3" t="str">
        <f t="shared" si="19"/>
        <v>14.3-2021-12-31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43</v>
      </c>
      <c r="AC84" s="3" t="s">
        <v>31</v>
      </c>
    </row>
    <row r="85" spans="1:29" x14ac:dyDescent="0.3">
      <c r="A85" s="3">
        <v>14.3</v>
      </c>
      <c r="B85" s="3" t="s">
        <v>365</v>
      </c>
      <c r="C85" s="3" t="s">
        <v>186</v>
      </c>
      <c r="D85" s="3" t="s">
        <v>31</v>
      </c>
      <c r="E85" s="3" t="s">
        <v>32</v>
      </c>
      <c r="F85" s="5">
        <v>44561</v>
      </c>
      <c r="G85" s="3">
        <f t="shared" si="16"/>
        <v>2021</v>
      </c>
      <c r="H85" s="3" t="str">
        <f t="shared" si="17"/>
        <v>Diciembre</v>
      </c>
      <c r="I85" s="3" t="str">
        <f t="shared" si="18"/>
        <v>2021-2</v>
      </c>
      <c r="J85" s="3"/>
      <c r="K85" s="3"/>
      <c r="L85" s="6">
        <v>47079</v>
      </c>
      <c r="M85" s="3"/>
      <c r="N85" s="3"/>
      <c r="O85" s="3" t="s">
        <v>35</v>
      </c>
      <c r="P85" s="3" t="s">
        <v>35</v>
      </c>
      <c r="Q85" s="3" t="str">
        <f t="shared" si="19"/>
        <v>14.3-2021-12-31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43</v>
      </c>
      <c r="AC85" s="3" t="s">
        <v>31</v>
      </c>
    </row>
    <row r="86" spans="1:29" x14ac:dyDescent="0.3">
      <c r="A86" s="3">
        <v>14.3</v>
      </c>
      <c r="B86" s="3" t="s">
        <v>365</v>
      </c>
      <c r="C86" s="3" t="s">
        <v>186</v>
      </c>
      <c r="D86" s="3" t="s">
        <v>31</v>
      </c>
      <c r="E86" s="3" t="s">
        <v>32</v>
      </c>
      <c r="F86" s="5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f t="shared" ref="M86:M96" si="20">+L86/K86</f>
        <v>1.012327683145225</v>
      </c>
      <c r="N86" s="3">
        <f t="shared" ref="N86:N96" si="21">+L86/K86</f>
        <v>1.012327683145225</v>
      </c>
      <c r="O86" s="3" t="s">
        <v>35</v>
      </c>
      <c r="P86" s="3" t="s">
        <v>35</v>
      </c>
      <c r="Q86" s="3" t="s">
        <v>366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43</v>
      </c>
      <c r="AC86" s="3" t="s">
        <v>31</v>
      </c>
    </row>
    <row r="87" spans="1:29" x14ac:dyDescent="0.3">
      <c r="A87" s="3">
        <v>14.3</v>
      </c>
      <c r="B87" s="3" t="s">
        <v>365</v>
      </c>
      <c r="C87" s="3" t="s">
        <v>186</v>
      </c>
      <c r="D87" s="3" t="s">
        <v>31</v>
      </c>
      <c r="E87" s="3" t="s">
        <v>32</v>
      </c>
      <c r="F87" s="5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f t="shared" si="20"/>
        <v>1.0205039208124438</v>
      </c>
      <c r="N87" s="3">
        <f t="shared" si="21"/>
        <v>1.0205039208124438</v>
      </c>
      <c r="O87" s="3" t="s">
        <v>35</v>
      </c>
      <c r="P87" s="3" t="s">
        <v>35</v>
      </c>
      <c r="Q87" s="3" t="s">
        <v>367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43</v>
      </c>
      <c r="AC87" s="3" t="s">
        <v>31</v>
      </c>
    </row>
    <row r="88" spans="1:29" x14ac:dyDescent="0.3">
      <c r="A88" s="3">
        <v>14.3</v>
      </c>
      <c r="B88" s="3" t="s">
        <v>365</v>
      </c>
      <c r="C88" s="3" t="s">
        <v>186</v>
      </c>
      <c r="D88" s="3" t="s">
        <v>31</v>
      </c>
      <c r="E88" s="3" t="s">
        <v>32</v>
      </c>
      <c r="F88" s="5">
        <v>44926</v>
      </c>
      <c r="G88" s="3">
        <v>2022</v>
      </c>
      <c r="H88" s="3" t="s">
        <v>44</v>
      </c>
      <c r="I88" s="3" t="s">
        <v>45</v>
      </c>
      <c r="J88" s="3"/>
      <c r="K88" s="3">
        <v>46674</v>
      </c>
      <c r="L88" s="3">
        <v>47631</v>
      </c>
      <c r="M88" s="3">
        <f t="shared" si="20"/>
        <v>1.0205039208124438</v>
      </c>
      <c r="N88" s="3">
        <f t="shared" si="21"/>
        <v>1.0205039208124438</v>
      </c>
      <c r="O88" s="3" t="s">
        <v>35</v>
      </c>
      <c r="P88" s="3" t="s">
        <v>35</v>
      </c>
      <c r="Q88" s="3" t="s">
        <v>367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43</v>
      </c>
      <c r="AC88" s="3" t="s">
        <v>31</v>
      </c>
    </row>
    <row r="89" spans="1:29" x14ac:dyDescent="0.3">
      <c r="A89" s="3">
        <v>14.3</v>
      </c>
      <c r="B89" s="3" t="s">
        <v>365</v>
      </c>
      <c r="C89" s="3" t="s">
        <v>186</v>
      </c>
      <c r="D89" s="3" t="s">
        <v>31</v>
      </c>
      <c r="E89" s="3" t="s">
        <v>32</v>
      </c>
      <c r="F89" s="5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f t="shared" si="20"/>
        <v>0.98042506723827627</v>
      </c>
      <c r="N89" s="3">
        <f t="shared" si="21"/>
        <v>0.98042506723827627</v>
      </c>
      <c r="O89" s="3" t="s">
        <v>35</v>
      </c>
      <c r="P89" s="3" t="s">
        <v>35</v>
      </c>
      <c r="Q89" s="3" t="s">
        <v>368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43</v>
      </c>
      <c r="AC89" s="3" t="s">
        <v>31</v>
      </c>
    </row>
    <row r="90" spans="1:29" x14ac:dyDescent="0.3">
      <c r="A90" s="3">
        <v>14.3</v>
      </c>
      <c r="B90" s="3" t="s">
        <v>365</v>
      </c>
      <c r="C90" s="3" t="s">
        <v>186</v>
      </c>
      <c r="D90" s="3" t="s">
        <v>31</v>
      </c>
      <c r="E90" s="3" t="s">
        <v>32</v>
      </c>
      <c r="F90" s="5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f t="shared" si="20"/>
        <v>0.98273710907938061</v>
      </c>
      <c r="N90" s="3">
        <f t="shared" si="21"/>
        <v>0.98273710907938061</v>
      </c>
      <c r="O90" s="3" t="s">
        <v>35</v>
      </c>
      <c r="P90" s="3" t="s">
        <v>35</v>
      </c>
      <c r="Q90" s="3" t="s">
        <v>369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43</v>
      </c>
      <c r="AC90" s="3" t="s">
        <v>31</v>
      </c>
    </row>
    <row r="91" spans="1:29" x14ac:dyDescent="0.3">
      <c r="A91" s="3">
        <v>14.3</v>
      </c>
      <c r="B91" s="3" t="s">
        <v>365</v>
      </c>
      <c r="C91" s="3" t="s">
        <v>186</v>
      </c>
      <c r="D91" s="3" t="s">
        <v>31</v>
      </c>
      <c r="E91" s="3" t="s">
        <v>32</v>
      </c>
      <c r="F91" s="5">
        <v>45291</v>
      </c>
      <c r="G91" s="3">
        <v>2023</v>
      </c>
      <c r="H91" s="3" t="s">
        <v>44</v>
      </c>
      <c r="I91" s="3" t="s">
        <v>49</v>
      </c>
      <c r="J91" s="3"/>
      <c r="K91" s="3">
        <v>48891</v>
      </c>
      <c r="L91" s="3">
        <v>48047</v>
      </c>
      <c r="M91" s="3">
        <f t="shared" si="20"/>
        <v>0.98273710907938061</v>
      </c>
      <c r="N91" s="3">
        <f t="shared" si="21"/>
        <v>0.98273710907938061</v>
      </c>
      <c r="O91" s="3" t="s">
        <v>35</v>
      </c>
      <c r="P91" s="3" t="s">
        <v>35</v>
      </c>
      <c r="Q91" s="3" t="s">
        <v>369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43</v>
      </c>
      <c r="AC91" s="3" t="s">
        <v>31</v>
      </c>
    </row>
    <row r="92" spans="1:29" x14ac:dyDescent="0.3">
      <c r="A92" s="3">
        <v>14.3</v>
      </c>
      <c r="B92" s="3" t="s">
        <v>365</v>
      </c>
      <c r="C92" s="3" t="s">
        <v>186</v>
      </c>
      <c r="D92" s="3" t="s">
        <v>31</v>
      </c>
      <c r="E92" s="3" t="s">
        <v>32</v>
      </c>
      <c r="F92" s="5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si="20"/>
        <v>0.99574122895964312</v>
      </c>
      <c r="N92" s="3">
        <f t="shared" si="21"/>
        <v>0.99574122895964312</v>
      </c>
      <c r="O92" s="3" t="s">
        <v>35</v>
      </c>
      <c r="P92" s="3" t="s">
        <v>35</v>
      </c>
      <c r="Q92" s="3" t="s">
        <v>370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43</v>
      </c>
      <c r="AC92" s="3" t="s">
        <v>31</v>
      </c>
    </row>
    <row r="93" spans="1:29" x14ac:dyDescent="0.3">
      <c r="A93" s="3">
        <v>14.3</v>
      </c>
      <c r="B93" s="3" t="s">
        <v>365</v>
      </c>
      <c r="C93" s="3" t="s">
        <v>186</v>
      </c>
      <c r="D93" s="3" t="s">
        <v>31</v>
      </c>
      <c r="E93" s="3" t="s">
        <v>32</v>
      </c>
      <c r="F93" s="5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20"/>
        <v>1.0057843157653814</v>
      </c>
      <c r="N93" s="3">
        <f t="shared" si="21"/>
        <v>1.0057843157653814</v>
      </c>
      <c r="O93" s="3" t="s">
        <v>35</v>
      </c>
      <c r="P93" s="3" t="s">
        <v>35</v>
      </c>
      <c r="Q93" s="3" t="s">
        <v>401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43</v>
      </c>
      <c r="AC93" s="3" t="s">
        <v>31</v>
      </c>
    </row>
    <row r="94" spans="1:29" x14ac:dyDescent="0.3">
      <c r="A94" s="3">
        <v>14.3</v>
      </c>
      <c r="B94" s="3" t="s">
        <v>365</v>
      </c>
      <c r="C94" s="3" t="s">
        <v>186</v>
      </c>
      <c r="D94" s="3" t="s">
        <v>31</v>
      </c>
      <c r="E94" s="3" t="s">
        <v>32</v>
      </c>
      <c r="F94" s="5">
        <v>45657</v>
      </c>
      <c r="G94" s="3">
        <v>2024</v>
      </c>
      <c r="H94" s="3" t="s">
        <v>44</v>
      </c>
      <c r="I94" s="3" t="s">
        <v>53</v>
      </c>
      <c r="J94" s="3"/>
      <c r="K94" s="3">
        <v>48061</v>
      </c>
      <c r="L94" s="3">
        <v>48339</v>
      </c>
      <c r="M94" s="3">
        <f t="shared" si="20"/>
        <v>1.0057843157653814</v>
      </c>
      <c r="N94" s="3">
        <f t="shared" si="21"/>
        <v>1.0057843157653814</v>
      </c>
      <c r="O94" s="3" t="s">
        <v>35</v>
      </c>
      <c r="P94" s="3" t="s">
        <v>35</v>
      </c>
      <c r="Q94" s="3" t="s">
        <v>401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43</v>
      </c>
      <c r="AC94" s="3" t="s">
        <v>31</v>
      </c>
    </row>
    <row r="95" spans="1:29" x14ac:dyDescent="0.3">
      <c r="A95" s="3">
        <v>14.3</v>
      </c>
      <c r="B95" s="3" t="s">
        <v>365</v>
      </c>
      <c r="C95" s="3" t="s">
        <v>186</v>
      </c>
      <c r="D95" s="3" t="s">
        <v>31</v>
      </c>
      <c r="E95" s="3" t="s">
        <v>32</v>
      </c>
      <c r="F95" s="5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20"/>
        <v>1.0494762288477035</v>
      </c>
      <c r="N95" s="3">
        <f t="shared" si="21"/>
        <v>1.0494762288477035</v>
      </c>
      <c r="O95" s="3" t="s">
        <v>35</v>
      </c>
      <c r="P95" s="3" t="s">
        <v>35</v>
      </c>
      <c r="Q95" s="3" t="s">
        <v>416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43</v>
      </c>
      <c r="AC95" s="3" t="s">
        <v>31</v>
      </c>
    </row>
    <row r="96" spans="1:29" x14ac:dyDescent="0.3">
      <c r="A96" s="3">
        <v>14.3</v>
      </c>
      <c r="B96" s="3" t="s">
        <v>365</v>
      </c>
      <c r="C96" s="3" t="s">
        <v>186</v>
      </c>
      <c r="D96" s="3" t="s">
        <v>31</v>
      </c>
      <c r="E96" s="3" t="s">
        <v>32</v>
      </c>
      <c r="F96" s="5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6">
        <v>52271</v>
      </c>
      <c r="M96" s="3">
        <f t="shared" si="20"/>
        <v>1.0102823788631401</v>
      </c>
      <c r="N96" s="3">
        <f t="shared" si="21"/>
        <v>1.0102823788631401</v>
      </c>
      <c r="O96" s="3" t="s">
        <v>35</v>
      </c>
      <c r="P96" s="3" t="s">
        <v>35</v>
      </c>
      <c r="Q96" s="3" t="s">
        <v>484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43</v>
      </c>
      <c r="AC96" s="3" t="s">
        <v>31</v>
      </c>
    </row>
    <row r="97" spans="1:29" x14ac:dyDescent="0.3">
      <c r="A97" s="3">
        <v>14.3</v>
      </c>
      <c r="B97" s="3" t="s">
        <v>365</v>
      </c>
      <c r="C97" s="3" t="s">
        <v>186</v>
      </c>
      <c r="D97" s="3" t="s">
        <v>31</v>
      </c>
      <c r="E97" s="3" t="s">
        <v>32</v>
      </c>
      <c r="F97" s="5">
        <v>46022</v>
      </c>
      <c r="G97" s="3">
        <v>2025</v>
      </c>
      <c r="H97" s="3" t="s">
        <v>44</v>
      </c>
      <c r="I97" s="3" t="s">
        <v>465</v>
      </c>
      <c r="J97" s="3"/>
      <c r="K97" s="3">
        <v>51739</v>
      </c>
      <c r="L97" s="6">
        <v>52271</v>
      </c>
      <c r="M97" s="3">
        <f t="shared" ref="M97" si="22">+L97/K97</f>
        <v>1.0102823788631401</v>
      </c>
      <c r="N97" s="3">
        <f t="shared" ref="N97" si="23">+L97/K97</f>
        <v>1.0102823788631401</v>
      </c>
      <c r="O97" s="3" t="s">
        <v>35</v>
      </c>
      <c r="P97" s="3" t="s">
        <v>35</v>
      </c>
      <c r="Q97" s="3" t="s">
        <v>484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43</v>
      </c>
      <c r="AC97" s="3" t="s">
        <v>31</v>
      </c>
    </row>
    <row r="98" spans="1:29" x14ac:dyDescent="0.3">
      <c r="A98" s="3">
        <v>14.4</v>
      </c>
      <c r="B98" s="3" t="s">
        <v>371</v>
      </c>
      <c r="C98" s="3" t="s">
        <v>186</v>
      </c>
      <c r="D98" s="3" t="s">
        <v>31</v>
      </c>
      <c r="E98" s="3" t="s">
        <v>32</v>
      </c>
      <c r="F98" s="5">
        <v>43281</v>
      </c>
      <c r="G98" s="3">
        <f t="shared" ref="G98:G109" si="24">YEAR(F98)</f>
        <v>2018</v>
      </c>
      <c r="H98" s="3" t="str">
        <f t="shared" ref="H98:H109" si="25">PROPER(TEXT(F98,"mmmm"))</f>
        <v>Junio</v>
      </c>
      <c r="I98" s="3" t="str">
        <f t="shared" ref="I98:I109" si="26">IF(H98="Junio",G98&amp;"-1",G98&amp;"-2")</f>
        <v>2018-1</v>
      </c>
      <c r="J98" s="3">
        <v>1</v>
      </c>
      <c r="K98" s="3"/>
      <c r="L98" s="6">
        <v>1707</v>
      </c>
      <c r="M98" s="3"/>
      <c r="N98" s="3"/>
      <c r="O98" s="3" t="s">
        <v>35</v>
      </c>
      <c r="P98" s="3" t="s">
        <v>35</v>
      </c>
      <c r="Q98" s="3" t="str">
        <f t="shared" ref="Q98:Q109" si="27">MID(A98,1,2)&amp;"."&amp;RIGHT(A98,1)&amp;"-"&amp;TEXT(F98,"yyyy-mm-dd")</f>
        <v>14.4-2018-06-30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43</v>
      </c>
      <c r="AC98" s="3" t="s">
        <v>31</v>
      </c>
    </row>
    <row r="99" spans="1:29" x14ac:dyDescent="0.3">
      <c r="A99" s="3">
        <v>14.4</v>
      </c>
      <c r="B99" s="3" t="s">
        <v>371</v>
      </c>
      <c r="C99" s="3" t="s">
        <v>186</v>
      </c>
      <c r="D99" s="3" t="s">
        <v>31</v>
      </c>
      <c r="E99" s="3" t="s">
        <v>32</v>
      </c>
      <c r="F99" s="5">
        <v>43465</v>
      </c>
      <c r="G99" s="3">
        <f t="shared" si="24"/>
        <v>2018</v>
      </c>
      <c r="H99" s="3" t="str">
        <f t="shared" si="25"/>
        <v>Diciembre</v>
      </c>
      <c r="I99" s="3" t="str">
        <f t="shared" si="26"/>
        <v>2018-2</v>
      </c>
      <c r="J99" s="3">
        <v>2</v>
      </c>
      <c r="K99" s="3"/>
      <c r="L99" s="6">
        <v>1776</v>
      </c>
      <c r="M99" s="3"/>
      <c r="N99" s="3"/>
      <c r="O99" s="3" t="s">
        <v>35</v>
      </c>
      <c r="P99" s="3" t="s">
        <v>35</v>
      </c>
      <c r="Q99" s="3" t="str">
        <f t="shared" si="27"/>
        <v>14.4-2018-12-31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43</v>
      </c>
      <c r="AC99" s="3" t="s">
        <v>31</v>
      </c>
    </row>
    <row r="100" spans="1:29" x14ac:dyDescent="0.3">
      <c r="A100" s="3">
        <v>14.4</v>
      </c>
      <c r="B100" s="3" t="s">
        <v>371</v>
      </c>
      <c r="C100" s="3" t="s">
        <v>186</v>
      </c>
      <c r="D100" s="3" t="s">
        <v>31</v>
      </c>
      <c r="E100" s="3" t="s">
        <v>32</v>
      </c>
      <c r="F100" s="5">
        <v>43465</v>
      </c>
      <c r="G100" s="3">
        <f t="shared" si="24"/>
        <v>2018</v>
      </c>
      <c r="H100" s="3" t="str">
        <f t="shared" si="25"/>
        <v>Diciembre</v>
      </c>
      <c r="I100" s="3" t="str">
        <f t="shared" si="26"/>
        <v>2018-2</v>
      </c>
      <c r="J100" s="3"/>
      <c r="K100" s="3"/>
      <c r="L100" s="6">
        <v>1776</v>
      </c>
      <c r="M100" s="3"/>
      <c r="N100" s="3"/>
      <c r="O100" s="3" t="s">
        <v>35</v>
      </c>
      <c r="P100" s="3" t="s">
        <v>35</v>
      </c>
      <c r="Q100" s="3" t="str">
        <f t="shared" si="27"/>
        <v>14.4-2018-12-31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43</v>
      </c>
      <c r="AC100" s="3" t="s">
        <v>31</v>
      </c>
    </row>
    <row r="101" spans="1:29" x14ac:dyDescent="0.3">
      <c r="A101" s="3">
        <v>14.4</v>
      </c>
      <c r="B101" s="3" t="s">
        <v>371</v>
      </c>
      <c r="C101" s="3" t="s">
        <v>186</v>
      </c>
      <c r="D101" s="3" t="s">
        <v>31</v>
      </c>
      <c r="E101" s="3" t="s">
        <v>32</v>
      </c>
      <c r="F101" s="5">
        <v>43646</v>
      </c>
      <c r="G101" s="3">
        <f t="shared" si="24"/>
        <v>2019</v>
      </c>
      <c r="H101" s="3" t="str">
        <f t="shared" si="25"/>
        <v>Junio</v>
      </c>
      <c r="I101" s="3" t="str">
        <f t="shared" si="26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27"/>
        <v>14.4-2019-06-30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43</v>
      </c>
      <c r="AC101" s="3" t="s">
        <v>31</v>
      </c>
    </row>
    <row r="102" spans="1:29" x14ac:dyDescent="0.3">
      <c r="A102" s="3">
        <v>14.4</v>
      </c>
      <c r="B102" s="3" t="s">
        <v>371</v>
      </c>
      <c r="C102" s="3" t="s">
        <v>186</v>
      </c>
      <c r="D102" s="3" t="s">
        <v>31</v>
      </c>
      <c r="E102" s="3" t="s">
        <v>32</v>
      </c>
      <c r="F102" s="5">
        <v>43830</v>
      </c>
      <c r="G102" s="3">
        <f t="shared" si="24"/>
        <v>2019</v>
      </c>
      <c r="H102" s="3" t="str">
        <f t="shared" si="25"/>
        <v>Diciembre</v>
      </c>
      <c r="I102" s="3" t="str">
        <f t="shared" si="26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27"/>
        <v>14.4-2019-12-31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43</v>
      </c>
      <c r="AC102" s="3" t="s">
        <v>31</v>
      </c>
    </row>
    <row r="103" spans="1:29" x14ac:dyDescent="0.3">
      <c r="A103" s="3">
        <v>14.4</v>
      </c>
      <c r="B103" s="3" t="s">
        <v>371</v>
      </c>
      <c r="C103" s="3" t="s">
        <v>186</v>
      </c>
      <c r="D103" s="3" t="s">
        <v>31</v>
      </c>
      <c r="E103" s="3" t="s">
        <v>32</v>
      </c>
      <c r="F103" s="5">
        <v>43830</v>
      </c>
      <c r="G103" s="3">
        <f t="shared" si="24"/>
        <v>2019</v>
      </c>
      <c r="H103" s="3" t="str">
        <f t="shared" si="25"/>
        <v>Diciembre</v>
      </c>
      <c r="I103" s="3" t="str">
        <f t="shared" si="26"/>
        <v>2019-2</v>
      </c>
      <c r="J103" s="3"/>
      <c r="K103" s="3"/>
      <c r="L103" s="3">
        <v>1901</v>
      </c>
      <c r="M103" s="3"/>
      <c r="N103" s="3"/>
      <c r="O103" s="3" t="s">
        <v>35</v>
      </c>
      <c r="P103" s="3" t="s">
        <v>35</v>
      </c>
      <c r="Q103" s="3" t="str">
        <f t="shared" si="27"/>
        <v>14.4-2019-12-31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43</v>
      </c>
      <c r="AC103" s="3" t="s">
        <v>31</v>
      </c>
    </row>
    <row r="104" spans="1:29" x14ac:dyDescent="0.3">
      <c r="A104" s="3">
        <v>14.4</v>
      </c>
      <c r="B104" s="3" t="s">
        <v>371</v>
      </c>
      <c r="C104" s="3" t="s">
        <v>186</v>
      </c>
      <c r="D104" s="3" t="s">
        <v>31</v>
      </c>
      <c r="E104" s="3" t="s">
        <v>32</v>
      </c>
      <c r="F104" s="5">
        <v>44012</v>
      </c>
      <c r="G104" s="3">
        <f t="shared" si="24"/>
        <v>2020</v>
      </c>
      <c r="H104" s="3" t="str">
        <f t="shared" si="25"/>
        <v>Junio</v>
      </c>
      <c r="I104" s="3" t="str">
        <f t="shared" si="26"/>
        <v>2020-1</v>
      </c>
      <c r="J104" s="3">
        <v>1</v>
      </c>
      <c r="K104" s="3"/>
      <c r="L104" s="6">
        <v>2091</v>
      </c>
      <c r="M104" s="3"/>
      <c r="N104" s="3"/>
      <c r="O104" s="3" t="s">
        <v>35</v>
      </c>
      <c r="P104" s="3" t="s">
        <v>35</v>
      </c>
      <c r="Q104" s="3" t="str">
        <f t="shared" si="27"/>
        <v>14.4-2020-06-30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43</v>
      </c>
      <c r="AC104" s="3" t="s">
        <v>31</v>
      </c>
    </row>
    <row r="105" spans="1:29" x14ac:dyDescent="0.3">
      <c r="A105" s="3">
        <v>14.4</v>
      </c>
      <c r="B105" s="3" t="s">
        <v>371</v>
      </c>
      <c r="C105" s="3" t="s">
        <v>186</v>
      </c>
      <c r="D105" s="3" t="s">
        <v>31</v>
      </c>
      <c r="E105" s="3" t="s">
        <v>32</v>
      </c>
      <c r="F105" s="5">
        <v>44196</v>
      </c>
      <c r="G105" s="3">
        <f t="shared" si="24"/>
        <v>2020</v>
      </c>
      <c r="H105" s="3" t="str">
        <f t="shared" si="25"/>
        <v>Diciembre</v>
      </c>
      <c r="I105" s="3" t="str">
        <f t="shared" si="26"/>
        <v>2020-2</v>
      </c>
      <c r="J105" s="3">
        <v>2</v>
      </c>
      <c r="K105" s="3"/>
      <c r="L105" s="6">
        <v>2144</v>
      </c>
      <c r="M105" s="3"/>
      <c r="N105" s="3"/>
      <c r="O105" s="3" t="s">
        <v>35</v>
      </c>
      <c r="P105" s="3" t="s">
        <v>35</v>
      </c>
      <c r="Q105" s="3" t="str">
        <f t="shared" si="27"/>
        <v>14.4-2020-12-31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43</v>
      </c>
      <c r="AC105" s="3" t="s">
        <v>31</v>
      </c>
    </row>
    <row r="106" spans="1:29" x14ac:dyDescent="0.3">
      <c r="A106" s="3">
        <v>14.4</v>
      </c>
      <c r="B106" s="3" t="s">
        <v>371</v>
      </c>
      <c r="C106" s="3" t="s">
        <v>186</v>
      </c>
      <c r="D106" s="3" t="s">
        <v>31</v>
      </c>
      <c r="E106" s="3" t="s">
        <v>32</v>
      </c>
      <c r="F106" s="5">
        <v>44196</v>
      </c>
      <c r="G106" s="3">
        <f t="shared" si="24"/>
        <v>2020</v>
      </c>
      <c r="H106" s="3" t="str">
        <f t="shared" si="25"/>
        <v>Diciembre</v>
      </c>
      <c r="I106" s="3" t="str">
        <f t="shared" si="26"/>
        <v>2020-2</v>
      </c>
      <c r="J106" s="3"/>
      <c r="K106" s="3"/>
      <c r="L106" s="6">
        <v>2144</v>
      </c>
      <c r="M106" s="3"/>
      <c r="N106" s="3"/>
      <c r="O106" s="3" t="s">
        <v>35</v>
      </c>
      <c r="P106" s="3" t="s">
        <v>35</v>
      </c>
      <c r="Q106" s="3" t="str">
        <f t="shared" si="27"/>
        <v>14.4-2020-12-31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43</v>
      </c>
      <c r="AC106" s="3" t="s">
        <v>31</v>
      </c>
    </row>
    <row r="107" spans="1:29" x14ac:dyDescent="0.3">
      <c r="A107" s="3">
        <v>14.4</v>
      </c>
      <c r="B107" s="3" t="s">
        <v>371</v>
      </c>
      <c r="C107" s="3" t="s">
        <v>186</v>
      </c>
      <c r="D107" s="3" t="s">
        <v>31</v>
      </c>
      <c r="E107" s="3" t="s">
        <v>32</v>
      </c>
      <c r="F107" s="5">
        <v>44377</v>
      </c>
      <c r="G107" s="3">
        <f t="shared" si="24"/>
        <v>2021</v>
      </c>
      <c r="H107" s="3" t="str">
        <f t="shared" si="25"/>
        <v>Junio</v>
      </c>
      <c r="I107" s="3" t="str">
        <f t="shared" si="26"/>
        <v>2021-1</v>
      </c>
      <c r="J107" s="3">
        <v>1</v>
      </c>
      <c r="K107" s="3"/>
      <c r="L107" s="6">
        <v>2245</v>
      </c>
      <c r="M107" s="3"/>
      <c r="N107" s="3"/>
      <c r="O107" s="3" t="s">
        <v>35</v>
      </c>
      <c r="P107" s="3" t="s">
        <v>35</v>
      </c>
      <c r="Q107" s="3" t="str">
        <f t="shared" si="27"/>
        <v>14.4-2021-06-30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43</v>
      </c>
      <c r="AC107" s="3" t="s">
        <v>31</v>
      </c>
    </row>
    <row r="108" spans="1:29" x14ac:dyDescent="0.3">
      <c r="A108" s="3">
        <v>14.4</v>
      </c>
      <c r="B108" s="3" t="s">
        <v>371</v>
      </c>
      <c r="C108" s="3" t="s">
        <v>186</v>
      </c>
      <c r="D108" s="3" t="s">
        <v>31</v>
      </c>
      <c r="E108" s="3" t="s">
        <v>32</v>
      </c>
      <c r="F108" s="5">
        <v>44561</v>
      </c>
      <c r="G108" s="3">
        <f t="shared" si="24"/>
        <v>2021</v>
      </c>
      <c r="H108" s="3" t="str">
        <f t="shared" si="25"/>
        <v>Diciembre</v>
      </c>
      <c r="I108" s="3" t="str">
        <f t="shared" si="26"/>
        <v>2021-2</v>
      </c>
      <c r="J108" s="3">
        <v>2</v>
      </c>
      <c r="K108" s="3"/>
      <c r="L108" s="6">
        <v>2087</v>
      </c>
      <c r="M108" s="3"/>
      <c r="N108" s="3"/>
      <c r="O108" s="3" t="s">
        <v>35</v>
      </c>
      <c r="P108" s="3" t="s">
        <v>35</v>
      </c>
      <c r="Q108" s="3" t="str">
        <f t="shared" si="27"/>
        <v>14.4-2021-12-31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43</v>
      </c>
      <c r="AC108" s="3" t="s">
        <v>31</v>
      </c>
    </row>
    <row r="109" spans="1:29" x14ac:dyDescent="0.3">
      <c r="A109" s="3">
        <v>14.4</v>
      </c>
      <c r="B109" s="3" t="s">
        <v>371</v>
      </c>
      <c r="C109" s="3" t="s">
        <v>186</v>
      </c>
      <c r="D109" s="3" t="s">
        <v>31</v>
      </c>
      <c r="E109" s="3" t="s">
        <v>32</v>
      </c>
      <c r="F109" s="5">
        <v>44561</v>
      </c>
      <c r="G109" s="3">
        <f t="shared" si="24"/>
        <v>2021</v>
      </c>
      <c r="H109" s="3" t="str">
        <f t="shared" si="25"/>
        <v>Diciembre</v>
      </c>
      <c r="I109" s="3" t="str">
        <f t="shared" si="26"/>
        <v>2021-2</v>
      </c>
      <c r="J109" s="3"/>
      <c r="K109" s="3"/>
      <c r="L109" s="6">
        <v>2087</v>
      </c>
      <c r="M109" s="3"/>
      <c r="N109" s="3"/>
      <c r="O109" s="3" t="s">
        <v>35</v>
      </c>
      <c r="P109" s="3" t="s">
        <v>35</v>
      </c>
      <c r="Q109" s="3" t="str">
        <f t="shared" si="27"/>
        <v>14.4-2021-12-31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43</v>
      </c>
      <c r="AC109" s="3" t="s">
        <v>31</v>
      </c>
    </row>
    <row r="110" spans="1:29" x14ac:dyDescent="0.3">
      <c r="A110" s="3">
        <v>14.4</v>
      </c>
      <c r="B110" s="3" t="s">
        <v>371</v>
      </c>
      <c r="C110" s="3" t="s">
        <v>186</v>
      </c>
      <c r="D110" s="3" t="s">
        <v>31</v>
      </c>
      <c r="E110" s="3" t="s">
        <v>32</v>
      </c>
      <c r="F110" s="5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f t="shared" ref="M110:M120" si="28">+L110/K110</f>
        <v>0.99584717607973416</v>
      </c>
      <c r="N110" s="3">
        <f t="shared" ref="N110:N120" si="29">+L110/K110</f>
        <v>0.99584717607973416</v>
      </c>
      <c r="O110" s="3" t="s">
        <v>35</v>
      </c>
      <c r="P110" s="3" t="s">
        <v>35</v>
      </c>
      <c r="Q110" s="3" t="s">
        <v>372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43</v>
      </c>
      <c r="AC110" s="3" t="s">
        <v>31</v>
      </c>
    </row>
    <row r="111" spans="1:29" x14ac:dyDescent="0.3">
      <c r="A111" s="3">
        <v>14.4</v>
      </c>
      <c r="B111" s="3" t="s">
        <v>371</v>
      </c>
      <c r="C111" s="3" t="s">
        <v>186</v>
      </c>
      <c r="D111" s="3" t="s">
        <v>31</v>
      </c>
      <c r="E111" s="3" t="s">
        <v>32</v>
      </c>
      <c r="F111" s="5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f t="shared" si="28"/>
        <v>1.1704035874439462</v>
      </c>
      <c r="N111" s="3">
        <f t="shared" si="29"/>
        <v>1.1704035874439462</v>
      </c>
      <c r="O111" s="3" t="s">
        <v>35</v>
      </c>
      <c r="P111" s="3" t="s">
        <v>35</v>
      </c>
      <c r="Q111" s="3" t="s">
        <v>373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43</v>
      </c>
      <c r="AC111" s="3" t="s">
        <v>31</v>
      </c>
    </row>
    <row r="112" spans="1:29" x14ac:dyDescent="0.3">
      <c r="A112" s="3">
        <v>14.4</v>
      </c>
      <c r="B112" s="3" t="s">
        <v>371</v>
      </c>
      <c r="C112" s="3" t="s">
        <v>186</v>
      </c>
      <c r="D112" s="3" t="s">
        <v>31</v>
      </c>
      <c r="E112" s="3" t="s">
        <v>32</v>
      </c>
      <c r="F112" s="5">
        <v>44925</v>
      </c>
      <c r="G112" s="3">
        <v>2022</v>
      </c>
      <c r="H112" s="3" t="s">
        <v>44</v>
      </c>
      <c r="I112" s="3" t="s">
        <v>45</v>
      </c>
      <c r="J112" s="3"/>
      <c r="K112" s="3">
        <v>2230</v>
      </c>
      <c r="L112" s="3">
        <v>2610</v>
      </c>
      <c r="M112" s="3">
        <f t="shared" si="28"/>
        <v>1.1704035874439462</v>
      </c>
      <c r="N112" s="3">
        <f t="shared" si="29"/>
        <v>1.1704035874439462</v>
      </c>
      <c r="O112" s="3" t="s">
        <v>35</v>
      </c>
      <c r="P112" s="3" t="s">
        <v>35</v>
      </c>
      <c r="Q112" s="3" t="s">
        <v>373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43</v>
      </c>
      <c r="AC112" s="3" t="s">
        <v>31</v>
      </c>
    </row>
    <row r="113" spans="1:29" x14ac:dyDescent="0.3">
      <c r="A113" s="3">
        <v>14.4</v>
      </c>
      <c r="B113" s="3" t="s">
        <v>371</v>
      </c>
      <c r="C113" s="3" t="s">
        <v>186</v>
      </c>
      <c r="D113" s="3" t="s">
        <v>31</v>
      </c>
      <c r="E113" s="3" t="s">
        <v>32</v>
      </c>
      <c r="F113" s="5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f t="shared" si="28"/>
        <v>1.0968451944240645</v>
      </c>
      <c r="N113" s="3">
        <f t="shared" si="29"/>
        <v>1.0968451944240645</v>
      </c>
      <c r="O113" s="3" t="s">
        <v>35</v>
      </c>
      <c r="P113" s="3" t="s">
        <v>35</v>
      </c>
      <c r="Q113" s="3" t="s">
        <v>374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43</v>
      </c>
      <c r="AC113" s="3" t="s">
        <v>31</v>
      </c>
    </row>
    <row r="114" spans="1:29" x14ac:dyDescent="0.3">
      <c r="A114" s="3">
        <v>14.4</v>
      </c>
      <c r="B114" s="3" t="s">
        <v>371</v>
      </c>
      <c r="C114" s="3" t="s">
        <v>186</v>
      </c>
      <c r="D114" s="3" t="s">
        <v>31</v>
      </c>
      <c r="E114" s="3" t="s">
        <v>32</v>
      </c>
      <c r="F114" s="5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f t="shared" si="28"/>
        <v>1.1902718168812589</v>
      </c>
      <c r="N114" s="3">
        <f t="shared" si="29"/>
        <v>1.1902718168812589</v>
      </c>
      <c r="O114" s="3" t="s">
        <v>35</v>
      </c>
      <c r="P114" s="3" t="s">
        <v>35</v>
      </c>
      <c r="Q114" s="3" t="s">
        <v>375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43</v>
      </c>
      <c r="AC114" s="3" t="s">
        <v>31</v>
      </c>
    </row>
    <row r="115" spans="1:29" x14ac:dyDescent="0.3">
      <c r="A115" s="3">
        <v>14.4</v>
      </c>
      <c r="B115" s="3" t="s">
        <v>371</v>
      </c>
      <c r="C115" s="3" t="s">
        <v>186</v>
      </c>
      <c r="D115" s="3" t="s">
        <v>31</v>
      </c>
      <c r="E115" s="3" t="s">
        <v>32</v>
      </c>
      <c r="F115" s="5">
        <v>45291</v>
      </c>
      <c r="G115" s="3">
        <v>2023</v>
      </c>
      <c r="H115" s="3" t="s">
        <v>44</v>
      </c>
      <c r="I115" s="3" t="s">
        <v>49</v>
      </c>
      <c r="J115" s="3"/>
      <c r="K115" s="3">
        <v>2796</v>
      </c>
      <c r="L115" s="3">
        <v>3328</v>
      </c>
      <c r="M115" s="3">
        <f t="shared" si="28"/>
        <v>1.1902718168812589</v>
      </c>
      <c r="N115" s="3">
        <f t="shared" si="29"/>
        <v>1.1902718168812589</v>
      </c>
      <c r="O115" s="3" t="s">
        <v>35</v>
      </c>
      <c r="P115" s="3" t="s">
        <v>35</v>
      </c>
      <c r="Q115" s="3" t="s">
        <v>375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43</v>
      </c>
      <c r="AC115" s="3" t="s">
        <v>31</v>
      </c>
    </row>
    <row r="116" spans="1:29" x14ac:dyDescent="0.3">
      <c r="A116" s="3">
        <v>14.4</v>
      </c>
      <c r="B116" s="3" t="s">
        <v>371</v>
      </c>
      <c r="C116" s="3" t="s">
        <v>186</v>
      </c>
      <c r="D116" s="3" t="s">
        <v>31</v>
      </c>
      <c r="E116" s="3" t="s">
        <v>32</v>
      </c>
      <c r="F116" s="5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si="28"/>
        <v>1.1267377950210151</v>
      </c>
      <c r="N116" s="3">
        <f t="shared" si="29"/>
        <v>1.1267377950210151</v>
      </c>
      <c r="O116" s="3" t="s">
        <v>35</v>
      </c>
      <c r="P116" s="3" t="s">
        <v>35</v>
      </c>
      <c r="Q116" s="3" t="s">
        <v>376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43</v>
      </c>
      <c r="AC116" s="3" t="s">
        <v>31</v>
      </c>
    </row>
    <row r="117" spans="1:29" x14ac:dyDescent="0.3">
      <c r="A117" s="3">
        <v>14.4</v>
      </c>
      <c r="B117" s="3" t="s">
        <v>371</v>
      </c>
      <c r="C117" s="3" t="s">
        <v>186</v>
      </c>
      <c r="D117" s="3" t="s">
        <v>31</v>
      </c>
      <c r="E117" s="3" t="s">
        <v>32</v>
      </c>
      <c r="F117" s="5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28"/>
        <v>1.2</v>
      </c>
      <c r="N117" s="3">
        <f t="shared" si="29"/>
        <v>1.2</v>
      </c>
      <c r="O117" s="3" t="s">
        <v>35</v>
      </c>
      <c r="P117" s="3" t="s">
        <v>35</v>
      </c>
      <c r="Q117" s="3" t="s">
        <v>402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43</v>
      </c>
      <c r="AC117" s="3" t="s">
        <v>31</v>
      </c>
    </row>
    <row r="118" spans="1:29" x14ac:dyDescent="0.3">
      <c r="A118" s="3">
        <v>14.4</v>
      </c>
      <c r="B118" s="3" t="s">
        <v>371</v>
      </c>
      <c r="C118" s="3" t="s">
        <v>186</v>
      </c>
      <c r="D118" s="3" t="s">
        <v>31</v>
      </c>
      <c r="E118" s="3" t="s">
        <v>32</v>
      </c>
      <c r="F118" s="5">
        <v>45657</v>
      </c>
      <c r="G118" s="3">
        <v>2024</v>
      </c>
      <c r="H118" s="3" t="s">
        <v>44</v>
      </c>
      <c r="I118" s="3" t="s">
        <v>53</v>
      </c>
      <c r="J118" s="3"/>
      <c r="K118" s="3">
        <v>3055</v>
      </c>
      <c r="L118" s="3">
        <v>3666</v>
      </c>
      <c r="M118" s="3">
        <f t="shared" si="28"/>
        <v>1.2</v>
      </c>
      <c r="N118" s="3">
        <f t="shared" si="29"/>
        <v>1.2</v>
      </c>
      <c r="O118" s="3" t="s">
        <v>35</v>
      </c>
      <c r="P118" s="3" t="s">
        <v>35</v>
      </c>
      <c r="Q118" s="3" t="s">
        <v>402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43</v>
      </c>
      <c r="AC118" s="3" t="s">
        <v>31</v>
      </c>
    </row>
    <row r="119" spans="1:29" x14ac:dyDescent="0.3">
      <c r="A119" s="3">
        <v>14.4</v>
      </c>
      <c r="B119" s="3" t="s">
        <v>371</v>
      </c>
      <c r="C119" s="3" t="s">
        <v>186</v>
      </c>
      <c r="D119" s="3" t="s">
        <v>31</v>
      </c>
      <c r="E119" s="3" t="s">
        <v>32</v>
      </c>
      <c r="F119" s="5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28"/>
        <v>1.1039058587881823</v>
      </c>
      <c r="N119" s="3">
        <f t="shared" si="29"/>
        <v>1.1039058587881823</v>
      </c>
      <c r="O119" s="3" t="s">
        <v>35</v>
      </c>
      <c r="P119" s="3" t="s">
        <v>35</v>
      </c>
      <c r="Q119" s="3" t="s">
        <v>417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43</v>
      </c>
      <c r="AC119" s="3" t="s">
        <v>31</v>
      </c>
    </row>
    <row r="120" spans="1:29" x14ac:dyDescent="0.3">
      <c r="A120" s="3">
        <v>14.4</v>
      </c>
      <c r="B120" s="3" t="s">
        <v>371</v>
      </c>
      <c r="C120" s="3" t="s">
        <v>186</v>
      </c>
      <c r="D120" s="3" t="s">
        <v>31</v>
      </c>
      <c r="E120" s="3" t="s">
        <v>32</v>
      </c>
      <c r="F120" s="5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6">
        <v>4632</v>
      </c>
      <c r="M120" s="3">
        <f t="shared" si="28"/>
        <v>1.1530993278566095</v>
      </c>
      <c r="N120" s="3">
        <f t="shared" si="29"/>
        <v>1.1530993278566095</v>
      </c>
      <c r="O120" s="3" t="s">
        <v>35</v>
      </c>
      <c r="P120" s="3" t="s">
        <v>35</v>
      </c>
      <c r="Q120" s="3" t="s">
        <v>485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43</v>
      </c>
      <c r="AC120" s="3" t="s">
        <v>31</v>
      </c>
    </row>
    <row r="121" spans="1:29" x14ac:dyDescent="0.3">
      <c r="A121" s="3">
        <v>14.4</v>
      </c>
      <c r="B121" s="3" t="s">
        <v>371</v>
      </c>
      <c r="C121" s="3" t="s">
        <v>186</v>
      </c>
      <c r="D121" s="3" t="s">
        <v>31</v>
      </c>
      <c r="E121" s="3" t="s">
        <v>32</v>
      </c>
      <c r="F121" s="5">
        <v>46022</v>
      </c>
      <c r="G121" s="3">
        <v>2025</v>
      </c>
      <c r="H121" s="3" t="s">
        <v>44</v>
      </c>
      <c r="I121" s="3" t="s">
        <v>465</v>
      </c>
      <c r="J121" s="3"/>
      <c r="K121" s="3">
        <v>4017</v>
      </c>
      <c r="L121" s="6">
        <v>4632</v>
      </c>
      <c r="M121" s="3">
        <f t="shared" ref="M121" si="30">+L121/K121</f>
        <v>1.1530993278566095</v>
      </c>
      <c r="N121" s="3">
        <f t="shared" ref="N121" si="31">+L121/K121</f>
        <v>1.1530993278566095</v>
      </c>
      <c r="O121" s="3" t="s">
        <v>35</v>
      </c>
      <c r="P121" s="3" t="s">
        <v>35</v>
      </c>
      <c r="Q121" s="3" t="s">
        <v>485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43</v>
      </c>
      <c r="AC121" s="3" t="s">
        <v>31</v>
      </c>
    </row>
    <row r="122" spans="1:29" x14ac:dyDescent="0.3">
      <c r="A122" s="3">
        <v>77</v>
      </c>
      <c r="B122" s="3" t="s">
        <v>55</v>
      </c>
      <c r="C122" s="3" t="s">
        <v>56</v>
      </c>
      <c r="D122" s="3" t="s">
        <v>31</v>
      </c>
      <c r="E122" s="3" t="s">
        <v>32</v>
      </c>
      <c r="F122" s="5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">
        <v>59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</row>
    <row r="123" spans="1:29" x14ac:dyDescent="0.3">
      <c r="A123" s="3">
        <v>77</v>
      </c>
      <c r="B123" s="3" t="s">
        <v>55</v>
      </c>
      <c r="C123" s="3" t="s">
        <v>56</v>
      </c>
      <c r="D123" s="3" t="s">
        <v>31</v>
      </c>
      <c r="E123" s="3" t="s">
        <v>32</v>
      </c>
      <c r="F123" s="5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">
        <v>67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</row>
    <row r="124" spans="1:29" x14ac:dyDescent="0.3">
      <c r="A124" s="3">
        <v>77</v>
      </c>
      <c r="B124" s="3" t="s">
        <v>55</v>
      </c>
      <c r="C124" s="3" t="s">
        <v>56</v>
      </c>
      <c r="D124" s="3" t="s">
        <v>31</v>
      </c>
      <c r="E124" s="3" t="s">
        <v>32</v>
      </c>
      <c r="F124" s="5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">
        <v>67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</row>
    <row r="125" spans="1:29" x14ac:dyDescent="0.3">
      <c r="A125" s="3">
        <v>77</v>
      </c>
      <c r="B125" s="3" t="s">
        <v>55</v>
      </c>
      <c r="C125" s="3" t="s">
        <v>56</v>
      </c>
      <c r="D125" s="3" t="s">
        <v>31</v>
      </c>
      <c r="E125" s="3" t="s">
        <v>32</v>
      </c>
      <c r="F125" s="5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">
        <v>68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</row>
    <row r="126" spans="1:29" x14ac:dyDescent="0.3">
      <c r="A126" s="3">
        <v>77</v>
      </c>
      <c r="B126" s="3" t="s">
        <v>55</v>
      </c>
      <c r="C126" s="3" t="s">
        <v>56</v>
      </c>
      <c r="D126" s="3" t="s">
        <v>31</v>
      </c>
      <c r="E126" s="3" t="s">
        <v>32</v>
      </c>
      <c r="F126" s="5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">
        <v>69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</row>
    <row r="127" spans="1:29" x14ac:dyDescent="0.3">
      <c r="A127" s="3">
        <v>77</v>
      </c>
      <c r="B127" s="3" t="s">
        <v>55</v>
      </c>
      <c r="C127" s="3" t="s">
        <v>56</v>
      </c>
      <c r="D127" s="3" t="s">
        <v>31</v>
      </c>
      <c r="E127" s="3" t="s">
        <v>32</v>
      </c>
      <c r="F127" s="5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">
        <v>69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</row>
    <row r="128" spans="1:29" x14ac:dyDescent="0.3">
      <c r="A128" s="3">
        <v>77</v>
      </c>
      <c r="B128" s="3" t="s">
        <v>55</v>
      </c>
      <c r="C128" s="3" t="s">
        <v>56</v>
      </c>
      <c r="D128" s="3" t="s">
        <v>31</v>
      </c>
      <c r="E128" s="3" t="s">
        <v>32</v>
      </c>
      <c r="F128" s="5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">
        <v>392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</row>
    <row r="129" spans="1:29" x14ac:dyDescent="0.3">
      <c r="A129" s="3">
        <v>77</v>
      </c>
      <c r="B129" s="3" t="s">
        <v>55</v>
      </c>
      <c r="C129" s="3" t="s">
        <v>56</v>
      </c>
      <c r="D129" s="3" t="s">
        <v>31</v>
      </c>
      <c r="E129" s="3" t="s">
        <v>32</v>
      </c>
      <c r="F129" s="5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">
        <v>393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</row>
    <row r="130" spans="1:29" x14ac:dyDescent="0.3">
      <c r="A130" s="3">
        <v>77</v>
      </c>
      <c r="B130" s="3" t="s">
        <v>55</v>
      </c>
      <c r="C130" s="3" t="s">
        <v>56</v>
      </c>
      <c r="D130" s="3" t="s">
        <v>31</v>
      </c>
      <c r="E130" s="3" t="s">
        <v>32</v>
      </c>
      <c r="F130" s="5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">
        <v>393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</row>
    <row r="131" spans="1:29" x14ac:dyDescent="0.3">
      <c r="A131" s="3">
        <v>77</v>
      </c>
      <c r="B131" s="3" t="s">
        <v>55</v>
      </c>
      <c r="C131" s="3" t="s">
        <v>56</v>
      </c>
      <c r="D131" s="3" t="s">
        <v>31</v>
      </c>
      <c r="E131" s="3" t="s">
        <v>32</v>
      </c>
      <c r="F131" s="5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">
        <v>433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</row>
    <row r="132" spans="1:29" x14ac:dyDescent="0.3">
      <c r="A132" s="3">
        <v>77</v>
      </c>
      <c r="B132" s="3" t="s">
        <v>55</v>
      </c>
      <c r="C132" s="3" t="s">
        <v>56</v>
      </c>
      <c r="D132" s="3" t="s">
        <v>31</v>
      </c>
      <c r="E132" s="3" t="s">
        <v>32</v>
      </c>
      <c r="F132" s="5">
        <v>45991</v>
      </c>
      <c r="G132" s="3">
        <v>2025</v>
      </c>
      <c r="H132" s="3" t="s">
        <v>508</v>
      </c>
      <c r="I132" s="3" t="s">
        <v>465</v>
      </c>
      <c r="J132" s="3">
        <v>2</v>
      </c>
      <c r="K132" s="3">
        <v>97</v>
      </c>
      <c r="L132" s="3">
        <v>95.72</v>
      </c>
      <c r="M132" s="3">
        <f>+L132/K132</f>
        <v>0.98680412371134019</v>
      </c>
      <c r="N132" s="3">
        <f>+L132/K132</f>
        <v>0.98680412371134019</v>
      </c>
      <c r="O132" s="3" t="s">
        <v>58</v>
      </c>
      <c r="P132" s="3" t="s">
        <v>58</v>
      </c>
      <c r="Q132" s="3" t="s">
        <v>503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</row>
    <row r="133" spans="1:29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5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">
        <v>72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75</v>
      </c>
      <c r="Z133" s="3" t="s">
        <v>76</v>
      </c>
      <c r="AA133" s="3" t="s">
        <v>77</v>
      </c>
      <c r="AB133" s="3" t="s">
        <v>78</v>
      </c>
      <c r="AC133" s="3" t="s">
        <v>66</v>
      </c>
    </row>
    <row r="134" spans="1:29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5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">
        <v>72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75</v>
      </c>
      <c r="Z134" s="3" t="s">
        <v>76</v>
      </c>
      <c r="AA134" s="3" t="s">
        <v>77</v>
      </c>
      <c r="AB134" s="3" t="s">
        <v>78</v>
      </c>
      <c r="AC134" s="3" t="s">
        <v>66</v>
      </c>
    </row>
    <row r="135" spans="1:29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5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">
        <v>80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75</v>
      </c>
      <c r="Z135" s="3" t="s">
        <v>76</v>
      </c>
      <c r="AA135" s="3" t="s">
        <v>77</v>
      </c>
      <c r="AB135" s="3" t="s">
        <v>78</v>
      </c>
      <c r="AC135" s="3" t="s">
        <v>66</v>
      </c>
    </row>
    <row r="136" spans="1:29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5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">
        <v>80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75</v>
      </c>
      <c r="Z136" s="3" t="s">
        <v>76</v>
      </c>
      <c r="AA136" s="3" t="s">
        <v>77</v>
      </c>
      <c r="AB136" s="3" t="s">
        <v>78</v>
      </c>
      <c r="AC136" s="3" t="s">
        <v>66</v>
      </c>
    </row>
    <row r="137" spans="1:29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5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">
        <v>394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75</v>
      </c>
      <c r="Z137" s="3" t="s">
        <v>76</v>
      </c>
      <c r="AA137" s="3" t="s">
        <v>77</v>
      </c>
      <c r="AB137" s="3" t="s">
        <v>78</v>
      </c>
      <c r="AC137" s="3" t="s">
        <v>66</v>
      </c>
    </row>
    <row r="138" spans="1:29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5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">
        <v>394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75</v>
      </c>
      <c r="Z138" s="3" t="s">
        <v>76</v>
      </c>
      <c r="AA138" s="3" t="s">
        <v>77</v>
      </c>
      <c r="AB138" s="3" t="s">
        <v>78</v>
      </c>
      <c r="AC138" s="3" t="s">
        <v>66</v>
      </c>
    </row>
    <row r="139" spans="1:29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5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">
        <v>92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</row>
    <row r="140" spans="1:29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5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">
        <v>93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</row>
    <row r="141" spans="1:29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5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">
        <v>93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</row>
    <row r="142" spans="1:29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5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">
        <v>94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</row>
    <row r="143" spans="1:29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5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">
        <v>95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</row>
    <row r="144" spans="1:29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5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">
        <v>95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</row>
    <row r="145" spans="1:29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5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">
        <v>397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</row>
    <row r="146" spans="1:29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5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f>L146/K146</f>
        <v>1</v>
      </c>
      <c r="N146" s="3">
        <f>L146/K146</f>
        <v>1</v>
      </c>
      <c r="O146" s="3" t="s">
        <v>35</v>
      </c>
      <c r="P146" s="3" t="s">
        <v>35</v>
      </c>
      <c r="Q146" s="3" t="s">
        <v>398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</row>
    <row r="147" spans="1:29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5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f>L147/K147</f>
        <v>1</v>
      </c>
      <c r="N147" s="3">
        <f>L147/K147</f>
        <v>1</v>
      </c>
      <c r="O147" s="3" t="s">
        <v>35</v>
      </c>
      <c r="P147" s="3" t="s">
        <v>35</v>
      </c>
      <c r="Q147" s="3" t="s">
        <v>398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</row>
    <row r="148" spans="1:29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5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f>L148/K148</f>
        <v>1</v>
      </c>
      <c r="N148" s="3">
        <f>L148/K148</f>
        <v>1</v>
      </c>
      <c r="O148" s="3" t="s">
        <v>35</v>
      </c>
      <c r="P148" s="3" t="s">
        <v>35</v>
      </c>
      <c r="Q148" s="3" t="s">
        <v>418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</row>
    <row r="149" spans="1:29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5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5</v>
      </c>
      <c r="L149" s="3">
        <v>5</v>
      </c>
      <c r="M149" s="3">
        <f>L149/K149</f>
        <v>1</v>
      </c>
      <c r="N149" s="3">
        <f>L149/K149</f>
        <v>1</v>
      </c>
      <c r="O149" s="3" t="s">
        <v>35</v>
      </c>
      <c r="P149" s="3" t="s">
        <v>35</v>
      </c>
      <c r="Q149" s="3" t="s">
        <v>509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</row>
    <row r="150" spans="1:29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5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">
        <v>98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/>
      <c r="Z150" s="3" t="s">
        <v>101</v>
      </c>
      <c r="AA150" s="3" t="s">
        <v>102</v>
      </c>
      <c r="AB150" s="3" t="s">
        <v>65</v>
      </c>
      <c r="AC150" s="3" t="s">
        <v>66</v>
      </c>
    </row>
    <row r="151" spans="1:29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5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">
        <v>98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/>
      <c r="Z151" s="3" t="s">
        <v>101</v>
      </c>
      <c r="AA151" s="3" t="s">
        <v>102</v>
      </c>
      <c r="AB151" s="3" t="s">
        <v>65</v>
      </c>
      <c r="AC151" s="3" t="s">
        <v>66</v>
      </c>
    </row>
    <row r="152" spans="1:29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5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">
        <v>103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/>
      <c r="Z152" s="3" t="s">
        <v>101</v>
      </c>
      <c r="AA152" s="3" t="s">
        <v>102</v>
      </c>
      <c r="AB152" s="3" t="s">
        <v>65</v>
      </c>
      <c r="AC152" s="3" t="s">
        <v>66</v>
      </c>
    </row>
    <row r="153" spans="1:29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5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">
        <v>103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/>
      <c r="Z153" s="3" t="s">
        <v>101</v>
      </c>
      <c r="AA153" s="3" t="s">
        <v>102</v>
      </c>
      <c r="AB153" s="3" t="s">
        <v>65</v>
      </c>
      <c r="AC153" s="3" t="s">
        <v>66</v>
      </c>
    </row>
    <row r="154" spans="1:29" x14ac:dyDescent="0.3">
      <c r="A154" s="3">
        <v>148</v>
      </c>
      <c r="B154" s="3" t="s">
        <v>104</v>
      </c>
      <c r="C154" s="3" t="s">
        <v>105</v>
      </c>
      <c r="D154" s="3" t="s">
        <v>31</v>
      </c>
      <c r="E154" s="3" t="s">
        <v>32</v>
      </c>
      <c r="F154" s="5">
        <v>44926</v>
      </c>
      <c r="G154" s="3">
        <v>2022</v>
      </c>
      <c r="H154" s="3" t="s">
        <v>44</v>
      </c>
      <c r="I154" s="3" t="s">
        <v>45</v>
      </c>
      <c r="J154" s="3"/>
      <c r="K154" s="3">
        <v>5</v>
      </c>
      <c r="L154" s="3">
        <v>4.66</v>
      </c>
      <c r="M154" s="3">
        <f>IF(+L154/K154&gt;1.3,1.3,L154/K154)</f>
        <v>0.93200000000000005</v>
      </c>
      <c r="N154" s="3">
        <f>+L154/K154</f>
        <v>0.93200000000000005</v>
      </c>
      <c r="O154" s="3" t="s">
        <v>58</v>
      </c>
      <c r="P154" s="3" t="s">
        <v>58</v>
      </c>
      <c r="Q154" s="3" t="s">
        <v>444</v>
      </c>
      <c r="R154" s="3">
        <v>0</v>
      </c>
      <c r="S154" s="3">
        <v>1</v>
      </c>
      <c r="T154" s="3" t="s">
        <v>443</v>
      </c>
      <c r="U154" s="3" t="s">
        <v>37</v>
      </c>
      <c r="V154" s="3" t="s">
        <v>105</v>
      </c>
      <c r="W154" s="3" t="s">
        <v>73</v>
      </c>
      <c r="X154" s="3" t="s">
        <v>74</v>
      </c>
      <c r="Y154" s="3" t="s">
        <v>75</v>
      </c>
      <c r="Z154" s="3" t="s">
        <v>76</v>
      </c>
      <c r="AA154" s="3" t="s">
        <v>77</v>
      </c>
      <c r="AB154" s="3" t="s">
        <v>43</v>
      </c>
      <c r="AC154" s="3" t="s">
        <v>31</v>
      </c>
    </row>
    <row r="155" spans="1:29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5">
        <v>45107</v>
      </c>
      <c r="G155" s="3">
        <v>2023</v>
      </c>
      <c r="H155" s="3" t="s">
        <v>33</v>
      </c>
      <c r="I155" s="3" t="s">
        <v>47</v>
      </c>
      <c r="J155" s="3">
        <v>1</v>
      </c>
      <c r="K155" s="3">
        <v>2.5</v>
      </c>
      <c r="L155" s="3">
        <v>3.57</v>
      </c>
      <c r="M155" s="3">
        <f t="shared" ref="M155:M162" si="32">IF(+L155/K155&gt;1.3,1.3,L155/K155)</f>
        <v>1.3</v>
      </c>
      <c r="N155" s="3">
        <f t="shared" ref="N155:N161" si="33">+L155/K155</f>
        <v>1.4279999999999999</v>
      </c>
      <c r="O155" s="3" t="s">
        <v>58</v>
      </c>
      <c r="P155" s="3" t="s">
        <v>58</v>
      </c>
      <c r="Q155" s="3" t="s">
        <v>106</v>
      </c>
      <c r="R155" s="3">
        <v>1</v>
      </c>
      <c r="S155" s="3">
        <v>1</v>
      </c>
      <c r="T155" s="3" t="s">
        <v>31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75</v>
      </c>
      <c r="Z155" s="3" t="s">
        <v>76</v>
      </c>
      <c r="AA155" s="3" t="s">
        <v>77</v>
      </c>
      <c r="AB155" s="3" t="s">
        <v>43</v>
      </c>
      <c r="AC155" s="3" t="s">
        <v>31</v>
      </c>
    </row>
    <row r="156" spans="1:29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5">
        <v>45291</v>
      </c>
      <c r="G156" s="3">
        <v>2023</v>
      </c>
      <c r="H156" s="3" t="s">
        <v>44</v>
      </c>
      <c r="I156" s="3" t="s">
        <v>49</v>
      </c>
      <c r="J156" s="3">
        <v>2</v>
      </c>
      <c r="K156" s="3">
        <v>5</v>
      </c>
      <c r="L156" s="3">
        <v>5.71</v>
      </c>
      <c r="M156" s="3">
        <f t="shared" si="32"/>
        <v>1.1419999999999999</v>
      </c>
      <c r="N156" s="3">
        <f t="shared" si="33"/>
        <v>1.1419999999999999</v>
      </c>
      <c r="O156" s="3" t="s">
        <v>58</v>
      </c>
      <c r="P156" s="3" t="s">
        <v>58</v>
      </c>
      <c r="Q156" s="3" t="s">
        <v>107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75</v>
      </c>
      <c r="Z156" s="3" t="s">
        <v>76</v>
      </c>
      <c r="AA156" s="3" t="s">
        <v>77</v>
      </c>
      <c r="AB156" s="3" t="s">
        <v>43</v>
      </c>
      <c r="AC156" s="3" t="s">
        <v>31</v>
      </c>
    </row>
    <row r="157" spans="1:29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5">
        <v>45291</v>
      </c>
      <c r="G157" s="3">
        <v>2023</v>
      </c>
      <c r="H157" s="3" t="s">
        <v>44</v>
      </c>
      <c r="I157" s="3" t="s">
        <v>49</v>
      </c>
      <c r="J157" s="3"/>
      <c r="K157" s="3">
        <v>5</v>
      </c>
      <c r="L157" s="3">
        <v>5.71</v>
      </c>
      <c r="M157" s="3">
        <f t="shared" si="32"/>
        <v>1.1419999999999999</v>
      </c>
      <c r="N157" s="3">
        <f t="shared" si="33"/>
        <v>1.1419999999999999</v>
      </c>
      <c r="O157" s="3" t="s">
        <v>58</v>
      </c>
      <c r="P157" s="3" t="s">
        <v>58</v>
      </c>
      <c r="Q157" s="3" t="s">
        <v>107</v>
      </c>
      <c r="R157" s="3">
        <v>0</v>
      </c>
      <c r="S157" s="3">
        <v>1</v>
      </c>
      <c r="T157" s="3" t="s">
        <v>443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75</v>
      </c>
      <c r="Z157" s="3" t="s">
        <v>76</v>
      </c>
      <c r="AA157" s="3" t="s">
        <v>77</v>
      </c>
      <c r="AB157" s="3" t="s">
        <v>43</v>
      </c>
      <c r="AC157" s="3" t="s">
        <v>31</v>
      </c>
    </row>
    <row r="158" spans="1:29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5">
        <v>45473</v>
      </c>
      <c r="G158" s="3">
        <v>2024</v>
      </c>
      <c r="H158" s="3" t="s">
        <v>33</v>
      </c>
      <c r="I158" s="3" t="s">
        <v>51</v>
      </c>
      <c r="J158" s="3">
        <v>1</v>
      </c>
      <c r="K158" s="3">
        <v>5</v>
      </c>
      <c r="L158" s="3">
        <v>4.3</v>
      </c>
      <c r="M158" s="3">
        <f t="shared" si="32"/>
        <v>0.86</v>
      </c>
      <c r="N158" s="3">
        <f t="shared" si="33"/>
        <v>0.86</v>
      </c>
      <c r="O158" s="3" t="s">
        <v>58</v>
      </c>
      <c r="P158" s="3" t="s">
        <v>58</v>
      </c>
      <c r="Q158" s="3" t="s">
        <v>108</v>
      </c>
      <c r="R158" s="3">
        <v>1</v>
      </c>
      <c r="S158" s="3">
        <v>1</v>
      </c>
      <c r="T158" s="3" t="s">
        <v>31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75</v>
      </c>
      <c r="Z158" s="3" t="s">
        <v>76</v>
      </c>
      <c r="AA158" s="3" t="s">
        <v>77</v>
      </c>
      <c r="AB158" s="3" t="s">
        <v>43</v>
      </c>
      <c r="AC158" s="3" t="s">
        <v>31</v>
      </c>
    </row>
    <row r="159" spans="1:29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5">
        <v>45657</v>
      </c>
      <c r="G159" s="3">
        <v>2024</v>
      </c>
      <c r="H159" s="3" t="s">
        <v>44</v>
      </c>
      <c r="I159" s="3" t="s">
        <v>53</v>
      </c>
      <c r="J159" s="3">
        <v>2</v>
      </c>
      <c r="K159" s="3">
        <v>5</v>
      </c>
      <c r="L159" s="3">
        <v>6.3</v>
      </c>
      <c r="M159" s="3">
        <f t="shared" si="32"/>
        <v>1.26</v>
      </c>
      <c r="N159" s="3">
        <f t="shared" si="33"/>
        <v>1.26</v>
      </c>
      <c r="O159" s="3" t="s">
        <v>58</v>
      </c>
      <c r="P159" s="3" t="s">
        <v>58</v>
      </c>
      <c r="Q159" s="3" t="s">
        <v>109</v>
      </c>
      <c r="R159" s="3">
        <v>0</v>
      </c>
      <c r="S159" s="3">
        <v>0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75</v>
      </c>
      <c r="Z159" s="3" t="s">
        <v>76</v>
      </c>
      <c r="AA159" s="3" t="s">
        <v>77</v>
      </c>
      <c r="AB159" s="3" t="s">
        <v>43</v>
      </c>
      <c r="AC159" s="3" t="s">
        <v>31</v>
      </c>
    </row>
    <row r="160" spans="1:29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5">
        <v>45657</v>
      </c>
      <c r="G160" s="3">
        <v>2024</v>
      </c>
      <c r="H160" s="3" t="s">
        <v>44</v>
      </c>
      <c r="I160" s="3" t="s">
        <v>53</v>
      </c>
      <c r="J160" s="3"/>
      <c r="K160" s="3">
        <v>5</v>
      </c>
      <c r="L160" s="3">
        <v>6.3</v>
      </c>
      <c r="M160" s="3">
        <f t="shared" si="32"/>
        <v>1.26</v>
      </c>
      <c r="N160" s="3">
        <f t="shared" si="33"/>
        <v>1.26</v>
      </c>
      <c r="O160" s="3" t="s">
        <v>58</v>
      </c>
      <c r="P160" s="3" t="s">
        <v>58</v>
      </c>
      <c r="Q160" s="3" t="s">
        <v>109</v>
      </c>
      <c r="R160" s="3">
        <v>0</v>
      </c>
      <c r="S160" s="3">
        <v>1</v>
      </c>
      <c r="T160" s="3" t="s">
        <v>443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75</v>
      </c>
      <c r="Z160" s="3" t="s">
        <v>76</v>
      </c>
      <c r="AA160" s="3" t="s">
        <v>77</v>
      </c>
      <c r="AB160" s="3" t="s">
        <v>43</v>
      </c>
      <c r="AC160" s="3" t="s">
        <v>31</v>
      </c>
    </row>
    <row r="161" spans="1:29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5">
        <v>45838</v>
      </c>
      <c r="G161" s="3">
        <v>2025</v>
      </c>
      <c r="H161" s="3" t="s">
        <v>33</v>
      </c>
      <c r="I161" s="3" t="s">
        <v>404</v>
      </c>
      <c r="J161" s="3">
        <v>1</v>
      </c>
      <c r="K161" s="3">
        <v>4</v>
      </c>
      <c r="L161" s="3">
        <v>4.08</v>
      </c>
      <c r="M161" s="3">
        <f t="shared" si="32"/>
        <v>1.02</v>
      </c>
      <c r="N161" s="3">
        <f t="shared" si="33"/>
        <v>1.02</v>
      </c>
      <c r="O161" s="3" t="s">
        <v>58</v>
      </c>
      <c r="P161" s="3" t="s">
        <v>58</v>
      </c>
      <c r="Q161" s="3" t="s">
        <v>406</v>
      </c>
      <c r="R161" s="3">
        <v>0</v>
      </c>
      <c r="S161" s="3">
        <v>1</v>
      </c>
      <c r="T161" s="3" t="s">
        <v>31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75</v>
      </c>
      <c r="Z161" s="3" t="s">
        <v>76</v>
      </c>
      <c r="AA161" s="3" t="s">
        <v>77</v>
      </c>
      <c r="AB161" s="3" t="s">
        <v>43</v>
      </c>
      <c r="AC161" s="3" t="s">
        <v>31</v>
      </c>
    </row>
    <row r="162" spans="1:29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5">
        <v>46022</v>
      </c>
      <c r="G162" s="3">
        <v>2025</v>
      </c>
      <c r="H162" s="3" t="s">
        <v>44</v>
      </c>
      <c r="I162" s="3" t="s">
        <v>465</v>
      </c>
      <c r="J162" s="3">
        <v>2</v>
      </c>
      <c r="K162" s="3">
        <v>5</v>
      </c>
      <c r="L162" s="3">
        <v>6.78</v>
      </c>
      <c r="M162" s="3">
        <f t="shared" si="32"/>
        <v>1.3</v>
      </c>
      <c r="N162" s="3">
        <f>+L162/K162</f>
        <v>1.3560000000000001</v>
      </c>
      <c r="O162" s="3" t="s">
        <v>58</v>
      </c>
      <c r="P162" s="3" t="s">
        <v>58</v>
      </c>
      <c r="Q162" s="3" t="s">
        <v>510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75</v>
      </c>
      <c r="Z162" s="3" t="s">
        <v>76</v>
      </c>
      <c r="AA162" s="3" t="s">
        <v>77</v>
      </c>
      <c r="AB162" s="3" t="s">
        <v>43</v>
      </c>
      <c r="AC162" s="3" t="s">
        <v>31</v>
      </c>
    </row>
    <row r="163" spans="1:29" x14ac:dyDescent="0.3">
      <c r="A163" s="3">
        <v>193</v>
      </c>
      <c r="B163" s="7" t="s">
        <v>478</v>
      </c>
      <c r="C163" s="3" t="s">
        <v>30</v>
      </c>
      <c r="D163" s="3" t="s">
        <v>31</v>
      </c>
      <c r="E163" s="3" t="s">
        <v>32</v>
      </c>
      <c r="F163" s="5">
        <v>44742</v>
      </c>
      <c r="G163" s="3">
        <v>2022</v>
      </c>
      <c r="H163" s="3" t="s">
        <v>33</v>
      </c>
      <c r="I163" s="3" t="s">
        <v>34</v>
      </c>
      <c r="J163" s="3">
        <v>1</v>
      </c>
      <c r="K163" s="3">
        <v>76</v>
      </c>
      <c r="L163" s="3">
        <v>91.8</v>
      </c>
      <c r="M163" s="3">
        <f>+L163/K163</f>
        <v>1.2078947368421051</v>
      </c>
      <c r="N163" s="3">
        <f>+L163/K163</f>
        <v>1.2078947368421051</v>
      </c>
      <c r="O163" s="3" t="s">
        <v>58</v>
      </c>
      <c r="P163" s="3" t="s">
        <v>58</v>
      </c>
      <c r="Q163" s="3" t="s">
        <v>111</v>
      </c>
      <c r="R163" s="3">
        <v>1</v>
      </c>
      <c r="S163" s="3">
        <v>1</v>
      </c>
      <c r="T163" s="3" t="s">
        <v>31</v>
      </c>
      <c r="U163" s="3" t="s">
        <v>37</v>
      </c>
      <c r="V163" s="3" t="s">
        <v>30</v>
      </c>
      <c r="W163" s="3" t="s">
        <v>112</v>
      </c>
      <c r="X163" s="3" t="s">
        <v>113</v>
      </c>
      <c r="Y163" s="3" t="s">
        <v>114</v>
      </c>
      <c r="Z163" s="3" t="s">
        <v>63</v>
      </c>
      <c r="AA163" s="3" t="s">
        <v>115</v>
      </c>
      <c r="AB163" s="3" t="s">
        <v>65</v>
      </c>
      <c r="AC163" s="3" t="s">
        <v>31</v>
      </c>
    </row>
    <row r="164" spans="1:29" x14ac:dyDescent="0.3">
      <c r="A164" s="3">
        <v>193</v>
      </c>
      <c r="B164" s="7" t="s">
        <v>478</v>
      </c>
      <c r="C164" s="3" t="s">
        <v>30</v>
      </c>
      <c r="D164" s="3" t="s">
        <v>31</v>
      </c>
      <c r="E164" s="3" t="s">
        <v>32</v>
      </c>
      <c r="F164" s="5">
        <v>44926</v>
      </c>
      <c r="G164" s="3">
        <v>2022</v>
      </c>
      <c r="H164" s="3" t="s">
        <v>44</v>
      </c>
      <c r="I164" s="3" t="s">
        <v>45</v>
      </c>
      <c r="J164" s="3">
        <v>2</v>
      </c>
      <c r="K164" s="3">
        <v>76</v>
      </c>
      <c r="L164" s="3">
        <v>92.4</v>
      </c>
      <c r="M164" s="3">
        <f t="shared" ref="M164:M173" si="34">+L164/K164</f>
        <v>1.2157894736842105</v>
      </c>
      <c r="N164" s="3">
        <f t="shared" ref="N164:N173" si="35">+L164/K164</f>
        <v>1.2157894736842105</v>
      </c>
      <c r="O164" s="3" t="s">
        <v>58</v>
      </c>
      <c r="P164" s="3" t="s">
        <v>58</v>
      </c>
      <c r="Q164" s="3" t="s">
        <v>116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</row>
    <row r="165" spans="1:29" x14ac:dyDescent="0.3">
      <c r="A165" s="3">
        <v>193</v>
      </c>
      <c r="B165" s="7" t="s">
        <v>478</v>
      </c>
      <c r="C165" s="3" t="s">
        <v>30</v>
      </c>
      <c r="D165" s="3" t="s">
        <v>31</v>
      </c>
      <c r="E165" s="3" t="s">
        <v>32</v>
      </c>
      <c r="F165" s="5">
        <v>44926</v>
      </c>
      <c r="G165" s="3">
        <v>2022</v>
      </c>
      <c r="H165" s="3" t="s">
        <v>44</v>
      </c>
      <c r="I165" s="3" t="s">
        <v>45</v>
      </c>
      <c r="J165" s="3"/>
      <c r="K165" s="3">
        <v>76</v>
      </c>
      <c r="L165" s="3">
        <v>92.4</v>
      </c>
      <c r="M165" s="3">
        <f t="shared" si="34"/>
        <v>1.2157894736842105</v>
      </c>
      <c r="N165" s="3">
        <f t="shared" si="35"/>
        <v>1.2157894736842105</v>
      </c>
      <c r="O165" s="3" t="s">
        <v>58</v>
      </c>
      <c r="P165" s="3" t="s">
        <v>58</v>
      </c>
      <c r="Q165" s="3" t="s">
        <v>116</v>
      </c>
      <c r="R165" s="3">
        <v>1</v>
      </c>
      <c r="S165" s="3">
        <v>1</v>
      </c>
      <c r="T165" s="3" t="s">
        <v>443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</row>
    <row r="166" spans="1:29" x14ac:dyDescent="0.3">
      <c r="A166" s="3">
        <v>193</v>
      </c>
      <c r="B166" s="7" t="s">
        <v>478</v>
      </c>
      <c r="C166" s="3" t="s">
        <v>30</v>
      </c>
      <c r="D166" s="3" t="s">
        <v>31</v>
      </c>
      <c r="E166" s="3" t="s">
        <v>32</v>
      </c>
      <c r="F166" s="5">
        <v>45107</v>
      </c>
      <c r="G166" s="3">
        <v>2023</v>
      </c>
      <c r="H166" s="3" t="s">
        <v>33</v>
      </c>
      <c r="I166" s="3" t="s">
        <v>47</v>
      </c>
      <c r="J166" s="3">
        <v>1</v>
      </c>
      <c r="K166" s="3">
        <v>92</v>
      </c>
      <c r="L166" s="3">
        <v>91.9</v>
      </c>
      <c r="M166" s="3">
        <f t="shared" si="34"/>
        <v>0.99891304347826093</v>
      </c>
      <c r="N166" s="3">
        <f t="shared" si="35"/>
        <v>0.99891304347826093</v>
      </c>
      <c r="O166" s="3" t="s">
        <v>58</v>
      </c>
      <c r="P166" s="3" t="s">
        <v>58</v>
      </c>
      <c r="Q166" s="3" t="s">
        <v>117</v>
      </c>
      <c r="R166" s="3">
        <v>1</v>
      </c>
      <c r="S166" s="3">
        <v>1</v>
      </c>
      <c r="T166" s="3" t="s">
        <v>31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</row>
    <row r="167" spans="1:29" x14ac:dyDescent="0.3">
      <c r="A167" s="3">
        <v>193</v>
      </c>
      <c r="B167" s="7" t="s">
        <v>478</v>
      </c>
      <c r="C167" s="3" t="s">
        <v>30</v>
      </c>
      <c r="D167" s="3" t="s">
        <v>31</v>
      </c>
      <c r="E167" s="3" t="s">
        <v>32</v>
      </c>
      <c r="F167" s="5">
        <v>45291</v>
      </c>
      <c r="G167" s="3">
        <v>2023</v>
      </c>
      <c r="H167" s="3" t="s">
        <v>44</v>
      </c>
      <c r="I167" s="3" t="s">
        <v>49</v>
      </c>
      <c r="J167" s="3">
        <v>2</v>
      </c>
      <c r="K167" s="3">
        <v>92</v>
      </c>
      <c r="L167" s="3">
        <v>91.3</v>
      </c>
      <c r="M167" s="3">
        <f t="shared" si="34"/>
        <v>0.99239130434782608</v>
      </c>
      <c r="N167" s="3">
        <f t="shared" si="35"/>
        <v>0.99239130434782608</v>
      </c>
      <c r="O167" s="3" t="s">
        <v>58</v>
      </c>
      <c r="P167" s="3" t="s">
        <v>58</v>
      </c>
      <c r="Q167" s="3" t="s">
        <v>118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</row>
    <row r="168" spans="1:29" x14ac:dyDescent="0.3">
      <c r="A168" s="3">
        <v>193</v>
      </c>
      <c r="B168" s="7" t="s">
        <v>478</v>
      </c>
      <c r="C168" s="3" t="s">
        <v>30</v>
      </c>
      <c r="D168" s="3" t="s">
        <v>31</v>
      </c>
      <c r="E168" s="3" t="s">
        <v>32</v>
      </c>
      <c r="F168" s="5">
        <v>45291</v>
      </c>
      <c r="G168" s="3">
        <v>2023</v>
      </c>
      <c r="H168" s="3" t="s">
        <v>44</v>
      </c>
      <c r="I168" s="3" t="s">
        <v>49</v>
      </c>
      <c r="J168" s="3"/>
      <c r="K168" s="3">
        <v>92</v>
      </c>
      <c r="L168" s="3">
        <v>91.3</v>
      </c>
      <c r="M168" s="3">
        <f t="shared" si="34"/>
        <v>0.99239130434782608</v>
      </c>
      <c r="N168" s="3">
        <f t="shared" si="35"/>
        <v>0.99239130434782608</v>
      </c>
      <c r="O168" s="3" t="s">
        <v>58</v>
      </c>
      <c r="P168" s="3" t="s">
        <v>58</v>
      </c>
      <c r="Q168" s="3" t="s">
        <v>118</v>
      </c>
      <c r="R168" s="3">
        <v>1</v>
      </c>
      <c r="S168" s="3">
        <v>1</v>
      </c>
      <c r="T168" s="3" t="s">
        <v>443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</row>
    <row r="169" spans="1:29" x14ac:dyDescent="0.3">
      <c r="A169" s="3">
        <v>193</v>
      </c>
      <c r="B169" s="7" t="s">
        <v>478</v>
      </c>
      <c r="C169" s="3" t="s">
        <v>30</v>
      </c>
      <c r="D169" s="3" t="s">
        <v>31</v>
      </c>
      <c r="E169" s="3" t="s">
        <v>32</v>
      </c>
      <c r="F169" s="5">
        <v>45473</v>
      </c>
      <c r="G169" s="3">
        <v>2024</v>
      </c>
      <c r="H169" s="3" t="s">
        <v>33</v>
      </c>
      <c r="I169" s="3" t="s">
        <v>51</v>
      </c>
      <c r="J169" s="3">
        <v>1</v>
      </c>
      <c r="K169" s="3">
        <v>90</v>
      </c>
      <c r="L169" s="3">
        <v>91.7</v>
      </c>
      <c r="M169" s="3">
        <f t="shared" si="34"/>
        <v>1.018888888888889</v>
      </c>
      <c r="N169" s="3">
        <f t="shared" si="35"/>
        <v>1.018888888888889</v>
      </c>
      <c r="O169" s="3" t="s">
        <v>58</v>
      </c>
      <c r="P169" s="3" t="s">
        <v>58</v>
      </c>
      <c r="Q169" s="3" t="s">
        <v>119</v>
      </c>
      <c r="R169" s="3">
        <v>1</v>
      </c>
      <c r="S169" s="3">
        <v>1</v>
      </c>
      <c r="T169" s="3" t="s">
        <v>31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</row>
    <row r="170" spans="1:29" x14ac:dyDescent="0.3">
      <c r="A170" s="3">
        <v>193</v>
      </c>
      <c r="B170" s="7" t="s">
        <v>478</v>
      </c>
      <c r="C170" s="3" t="s">
        <v>30</v>
      </c>
      <c r="D170" s="3" t="s">
        <v>31</v>
      </c>
      <c r="E170" s="3" t="s">
        <v>32</v>
      </c>
      <c r="F170" s="5">
        <v>45657</v>
      </c>
      <c r="G170" s="3">
        <v>2024</v>
      </c>
      <c r="H170" s="3" t="s">
        <v>44</v>
      </c>
      <c r="I170" s="3" t="s">
        <v>53</v>
      </c>
      <c r="J170" s="3">
        <v>2</v>
      </c>
      <c r="K170" s="3">
        <v>90</v>
      </c>
      <c r="L170" s="3">
        <v>93.5</v>
      </c>
      <c r="M170" s="3">
        <f t="shared" si="34"/>
        <v>1.038888888888889</v>
      </c>
      <c r="N170" s="3">
        <f t="shared" si="35"/>
        <v>1.038888888888889</v>
      </c>
      <c r="O170" s="3" t="s">
        <v>58</v>
      </c>
      <c r="P170" s="3" t="s">
        <v>58</v>
      </c>
      <c r="Q170" s="3" t="s">
        <v>120</v>
      </c>
      <c r="R170" s="3">
        <v>0</v>
      </c>
      <c r="S170" s="3">
        <v>0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</row>
    <row r="171" spans="1:29" x14ac:dyDescent="0.3">
      <c r="A171" s="3">
        <v>193</v>
      </c>
      <c r="B171" s="7" t="s">
        <v>478</v>
      </c>
      <c r="C171" s="3" t="s">
        <v>30</v>
      </c>
      <c r="D171" s="3" t="s">
        <v>31</v>
      </c>
      <c r="E171" s="3" t="s">
        <v>32</v>
      </c>
      <c r="F171" s="5">
        <v>45657</v>
      </c>
      <c r="G171" s="3">
        <v>2024</v>
      </c>
      <c r="H171" s="3" t="s">
        <v>44</v>
      </c>
      <c r="I171" s="3" t="s">
        <v>53</v>
      </c>
      <c r="J171" s="3"/>
      <c r="K171" s="3">
        <v>90</v>
      </c>
      <c r="L171" s="3">
        <v>93.5</v>
      </c>
      <c r="M171" s="3">
        <f t="shared" si="34"/>
        <v>1.038888888888889</v>
      </c>
      <c r="N171" s="3">
        <f t="shared" si="35"/>
        <v>1.038888888888889</v>
      </c>
      <c r="O171" s="3" t="s">
        <v>58</v>
      </c>
      <c r="P171" s="3" t="s">
        <v>58</v>
      </c>
      <c r="Q171" s="3" t="s">
        <v>120</v>
      </c>
      <c r="R171" s="3">
        <v>1</v>
      </c>
      <c r="S171" s="3">
        <v>1</v>
      </c>
      <c r="T171" s="3" t="s">
        <v>443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</row>
    <row r="172" spans="1:29" x14ac:dyDescent="0.3">
      <c r="A172" s="3">
        <v>193</v>
      </c>
      <c r="B172" s="7" t="s">
        <v>478</v>
      </c>
      <c r="C172" s="3" t="s">
        <v>30</v>
      </c>
      <c r="D172" s="3" t="s">
        <v>31</v>
      </c>
      <c r="E172" s="3" t="s">
        <v>32</v>
      </c>
      <c r="F172" s="5">
        <v>45838</v>
      </c>
      <c r="G172" s="3">
        <v>2025</v>
      </c>
      <c r="H172" s="3" t="s">
        <v>33</v>
      </c>
      <c r="I172" s="3" t="s">
        <v>404</v>
      </c>
      <c r="J172" s="3">
        <v>1</v>
      </c>
      <c r="K172" s="3">
        <v>93</v>
      </c>
      <c r="L172" s="3">
        <v>96.21</v>
      </c>
      <c r="M172" s="3">
        <f t="shared" si="34"/>
        <v>1.034516129032258</v>
      </c>
      <c r="N172" s="3">
        <f t="shared" si="35"/>
        <v>1.034516129032258</v>
      </c>
      <c r="O172" s="3" t="s">
        <v>58</v>
      </c>
      <c r="P172" s="3" t="s">
        <v>58</v>
      </c>
      <c r="Q172" s="3" t="s">
        <v>420</v>
      </c>
      <c r="R172" s="3">
        <v>1</v>
      </c>
      <c r="S172" s="3">
        <v>1</v>
      </c>
      <c r="T172" s="3" t="s">
        <v>31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</row>
    <row r="173" spans="1:29" x14ac:dyDescent="0.3">
      <c r="A173" s="3">
        <v>193</v>
      </c>
      <c r="B173" s="7" t="s">
        <v>478</v>
      </c>
      <c r="C173" s="3" t="s">
        <v>30</v>
      </c>
      <c r="D173" s="3" t="s">
        <v>31</v>
      </c>
      <c r="E173" s="3" t="s">
        <v>32</v>
      </c>
      <c r="F173" s="5">
        <v>46022</v>
      </c>
      <c r="G173" s="3">
        <v>2025</v>
      </c>
      <c r="H173" s="3" t="s">
        <v>44</v>
      </c>
      <c r="I173" s="3" t="s">
        <v>465</v>
      </c>
      <c r="J173" s="3">
        <v>2</v>
      </c>
      <c r="K173" s="3">
        <v>94</v>
      </c>
      <c r="L173" s="3">
        <v>95</v>
      </c>
      <c r="M173" s="3">
        <f t="shared" si="34"/>
        <v>1.0106382978723405</v>
      </c>
      <c r="N173" s="3">
        <f t="shared" si="35"/>
        <v>1.0106382978723405</v>
      </c>
      <c r="O173" s="3" t="s">
        <v>58</v>
      </c>
      <c r="P173" s="3" t="s">
        <v>58</v>
      </c>
      <c r="Q173" s="3" t="s">
        <v>511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</row>
    <row r="174" spans="1:29" x14ac:dyDescent="0.3">
      <c r="A174" s="3">
        <v>194</v>
      </c>
      <c r="B174" s="3" t="s">
        <v>121</v>
      </c>
      <c r="C174" s="3" t="s">
        <v>30</v>
      </c>
      <c r="D174" s="3" t="s">
        <v>31</v>
      </c>
      <c r="E174" s="3" t="s">
        <v>32</v>
      </c>
      <c r="F174" s="5">
        <v>44742</v>
      </c>
      <c r="G174" s="3">
        <v>2022</v>
      </c>
      <c r="H174" s="3" t="s">
        <v>33</v>
      </c>
      <c r="I174" s="3" t="s">
        <v>34</v>
      </c>
      <c r="J174" s="3">
        <v>1</v>
      </c>
      <c r="K174" s="3">
        <v>73</v>
      </c>
      <c r="L174" s="3">
        <v>83.26</v>
      </c>
      <c r="M174" s="3">
        <f>+L174/K174</f>
        <v>1.1405479452054794</v>
      </c>
      <c r="N174" s="3">
        <f>+L174/K174</f>
        <v>1.1405479452054794</v>
      </c>
      <c r="O174" s="3" t="s">
        <v>58</v>
      </c>
      <c r="P174" s="3" t="s">
        <v>58</v>
      </c>
      <c r="Q174" s="3" t="s">
        <v>122</v>
      </c>
      <c r="R174" s="3">
        <v>0</v>
      </c>
      <c r="S174" s="3">
        <v>0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123</v>
      </c>
      <c r="Z174" s="3" t="s">
        <v>41</v>
      </c>
      <c r="AA174" s="3" t="s">
        <v>124</v>
      </c>
      <c r="AB174" s="3" t="s">
        <v>43</v>
      </c>
      <c r="AC174" s="3" t="s">
        <v>66</v>
      </c>
    </row>
    <row r="175" spans="1:29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5">
        <v>44926</v>
      </c>
      <c r="G175" s="3">
        <v>2022</v>
      </c>
      <c r="H175" s="3" t="s">
        <v>44</v>
      </c>
      <c r="I175" s="3" t="s">
        <v>45</v>
      </c>
      <c r="J175" s="3">
        <v>2</v>
      </c>
      <c r="K175" s="3">
        <v>73</v>
      </c>
      <c r="L175" s="3">
        <v>83.11</v>
      </c>
      <c r="M175" s="3">
        <f t="shared" ref="M175:M184" si="36">+L175/K175</f>
        <v>1.1384931506849314</v>
      </c>
      <c r="N175" s="3">
        <f t="shared" ref="N175:N184" si="37">+L175/K175</f>
        <v>1.1384931506849314</v>
      </c>
      <c r="O175" s="3" t="s">
        <v>58</v>
      </c>
      <c r="P175" s="3" t="s">
        <v>58</v>
      </c>
      <c r="Q175" s="3" t="s">
        <v>125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</row>
    <row r="176" spans="1:29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5">
        <v>44926</v>
      </c>
      <c r="G176" s="3">
        <v>2022</v>
      </c>
      <c r="H176" s="3" t="s">
        <v>44</v>
      </c>
      <c r="I176" s="3" t="s">
        <v>45</v>
      </c>
      <c r="J176" s="3"/>
      <c r="K176" s="3">
        <v>73</v>
      </c>
      <c r="L176" s="3">
        <v>83.11</v>
      </c>
      <c r="M176" s="3">
        <f t="shared" si="36"/>
        <v>1.1384931506849314</v>
      </c>
      <c r="N176" s="3">
        <f t="shared" si="37"/>
        <v>1.1384931506849314</v>
      </c>
      <c r="O176" s="3" t="s">
        <v>58</v>
      </c>
      <c r="P176" s="3" t="s">
        <v>58</v>
      </c>
      <c r="Q176" s="3" t="s">
        <v>125</v>
      </c>
      <c r="R176" s="3">
        <v>0</v>
      </c>
      <c r="S176" s="3">
        <v>0</v>
      </c>
      <c r="T176" s="3" t="s">
        <v>443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</row>
    <row r="177" spans="1:29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5">
        <v>45107</v>
      </c>
      <c r="G177" s="3">
        <v>2023</v>
      </c>
      <c r="H177" s="3" t="s">
        <v>33</v>
      </c>
      <c r="I177" s="3" t="s">
        <v>47</v>
      </c>
      <c r="J177" s="3">
        <v>1</v>
      </c>
      <c r="K177" s="3">
        <v>80</v>
      </c>
      <c r="L177" s="3">
        <v>79.180000000000007</v>
      </c>
      <c r="M177" s="3">
        <f t="shared" si="36"/>
        <v>0.98975000000000013</v>
      </c>
      <c r="N177" s="3">
        <f t="shared" si="37"/>
        <v>0.98975000000000013</v>
      </c>
      <c r="O177" s="3" t="s">
        <v>58</v>
      </c>
      <c r="P177" s="3" t="s">
        <v>58</v>
      </c>
      <c r="Q177" s="3" t="s">
        <v>126</v>
      </c>
      <c r="R177" s="3">
        <v>0</v>
      </c>
      <c r="S177" s="3">
        <v>0</v>
      </c>
      <c r="T177" s="3" t="s">
        <v>31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</row>
    <row r="178" spans="1:29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5">
        <v>45291</v>
      </c>
      <c r="G178" s="3">
        <v>2023</v>
      </c>
      <c r="H178" s="3" t="s">
        <v>44</v>
      </c>
      <c r="I178" s="3" t="s">
        <v>49</v>
      </c>
      <c r="J178" s="3">
        <v>2</v>
      </c>
      <c r="K178" s="3">
        <v>80</v>
      </c>
      <c r="L178" s="3">
        <v>81.91</v>
      </c>
      <c r="M178" s="3">
        <f t="shared" si="36"/>
        <v>1.0238749999999999</v>
      </c>
      <c r="N178" s="3">
        <f t="shared" si="37"/>
        <v>1.0238749999999999</v>
      </c>
      <c r="O178" s="3" t="s">
        <v>58</v>
      </c>
      <c r="P178" s="3" t="s">
        <v>58</v>
      </c>
      <c r="Q178" s="3" t="s">
        <v>127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</row>
    <row r="179" spans="1:29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5">
        <v>45291</v>
      </c>
      <c r="G179" s="3">
        <v>2023</v>
      </c>
      <c r="H179" s="3" t="s">
        <v>44</v>
      </c>
      <c r="I179" s="3" t="s">
        <v>49</v>
      </c>
      <c r="J179" s="3"/>
      <c r="K179" s="3">
        <v>80</v>
      </c>
      <c r="L179" s="3">
        <v>81.91</v>
      </c>
      <c r="M179" s="3">
        <f t="shared" si="36"/>
        <v>1.0238749999999999</v>
      </c>
      <c r="N179" s="3">
        <f t="shared" si="37"/>
        <v>1.0238749999999999</v>
      </c>
      <c r="O179" s="3" t="s">
        <v>58</v>
      </c>
      <c r="P179" s="3" t="s">
        <v>58</v>
      </c>
      <c r="Q179" s="3" t="s">
        <v>127</v>
      </c>
      <c r="R179" s="3">
        <v>0</v>
      </c>
      <c r="S179" s="3">
        <v>0</v>
      </c>
      <c r="T179" s="3" t="s">
        <v>443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</row>
    <row r="180" spans="1:29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5">
        <v>45473</v>
      </c>
      <c r="G180" s="3">
        <v>2024</v>
      </c>
      <c r="H180" s="3" t="s">
        <v>33</v>
      </c>
      <c r="I180" s="3" t="s">
        <v>51</v>
      </c>
      <c r="J180" s="3">
        <v>1</v>
      </c>
      <c r="K180" s="3">
        <v>81</v>
      </c>
      <c r="L180" s="3">
        <v>83.01</v>
      </c>
      <c r="M180" s="3">
        <f t="shared" si="36"/>
        <v>1.0248148148148148</v>
      </c>
      <c r="N180" s="3">
        <f t="shared" si="37"/>
        <v>1.0248148148148148</v>
      </c>
      <c r="O180" s="3" t="s">
        <v>58</v>
      </c>
      <c r="P180" s="3" t="s">
        <v>58</v>
      </c>
      <c r="Q180" s="3" t="s">
        <v>128</v>
      </c>
      <c r="R180" s="3">
        <v>0</v>
      </c>
      <c r="S180" s="3">
        <v>0</v>
      </c>
      <c r="T180" s="3" t="s">
        <v>31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</row>
    <row r="181" spans="1:29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5">
        <v>45657</v>
      </c>
      <c r="G181" s="3">
        <v>2024</v>
      </c>
      <c r="H181" s="3" t="s">
        <v>44</v>
      </c>
      <c r="I181" s="3" t="s">
        <v>53</v>
      </c>
      <c r="J181" s="3">
        <v>2</v>
      </c>
      <c r="K181" s="3">
        <v>81</v>
      </c>
      <c r="L181" s="3">
        <v>89</v>
      </c>
      <c r="M181" s="3">
        <f t="shared" si="36"/>
        <v>1.0987654320987654</v>
      </c>
      <c r="N181" s="3">
        <f t="shared" si="37"/>
        <v>1.0987654320987654</v>
      </c>
      <c r="O181" s="3" t="s">
        <v>58</v>
      </c>
      <c r="P181" s="3" t="s">
        <v>58</v>
      </c>
      <c r="Q181" s="3" t="s">
        <v>403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</row>
    <row r="182" spans="1:29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5">
        <v>45657</v>
      </c>
      <c r="G182" s="3">
        <v>2024</v>
      </c>
      <c r="H182" s="3" t="s">
        <v>44</v>
      </c>
      <c r="I182" s="3" t="s">
        <v>53</v>
      </c>
      <c r="J182" s="3"/>
      <c r="K182" s="3">
        <v>81</v>
      </c>
      <c r="L182" s="3">
        <v>89</v>
      </c>
      <c r="M182" s="3">
        <f t="shared" si="36"/>
        <v>1.0987654320987654</v>
      </c>
      <c r="N182" s="3">
        <f t="shared" si="37"/>
        <v>1.0987654320987654</v>
      </c>
      <c r="O182" s="3" t="s">
        <v>58</v>
      </c>
      <c r="P182" s="3" t="s">
        <v>58</v>
      </c>
      <c r="Q182" s="3" t="s">
        <v>403</v>
      </c>
      <c r="R182" s="3">
        <v>0</v>
      </c>
      <c r="S182" s="3">
        <v>0</v>
      </c>
      <c r="T182" s="3" t="s">
        <v>443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</row>
    <row r="183" spans="1:29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5">
        <v>45838</v>
      </c>
      <c r="G183" s="3">
        <v>2025</v>
      </c>
      <c r="H183" s="3" t="s">
        <v>33</v>
      </c>
      <c r="I183" s="3" t="s">
        <v>404</v>
      </c>
      <c r="J183" s="3">
        <v>1</v>
      </c>
      <c r="K183" s="3">
        <v>80</v>
      </c>
      <c r="L183" s="3">
        <v>90</v>
      </c>
      <c r="M183" s="3">
        <f t="shared" si="36"/>
        <v>1.125</v>
      </c>
      <c r="N183" s="3">
        <f t="shared" si="37"/>
        <v>1.125</v>
      </c>
      <c r="O183" s="3" t="s">
        <v>58</v>
      </c>
      <c r="P183" s="3" t="s">
        <v>58</v>
      </c>
      <c r="Q183" s="3" t="s">
        <v>419</v>
      </c>
      <c r="R183" s="3">
        <v>0</v>
      </c>
      <c r="S183" s="3">
        <v>0</v>
      </c>
      <c r="T183" s="3" t="s">
        <v>31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</row>
    <row r="184" spans="1:29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5">
        <v>46022</v>
      </c>
      <c r="G184" s="3">
        <v>2025</v>
      </c>
      <c r="H184" s="3" t="s">
        <v>44</v>
      </c>
      <c r="I184" s="3" t="s">
        <v>465</v>
      </c>
      <c r="J184" s="3">
        <v>2</v>
      </c>
      <c r="K184" s="3">
        <v>85</v>
      </c>
      <c r="L184" s="3">
        <v>89.9</v>
      </c>
      <c r="M184" s="3">
        <f t="shared" si="36"/>
        <v>1.0576470588235294</v>
      </c>
      <c r="N184" s="3">
        <f t="shared" si="37"/>
        <v>1.0576470588235294</v>
      </c>
      <c r="O184" s="3" t="s">
        <v>58</v>
      </c>
      <c r="P184" s="3" t="s">
        <v>58</v>
      </c>
      <c r="Q184" s="3" t="s">
        <v>419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</row>
    <row r="185" spans="1:29" x14ac:dyDescent="0.3">
      <c r="A185" s="3">
        <v>200</v>
      </c>
      <c r="B185" s="3" t="s">
        <v>129</v>
      </c>
      <c r="C185" s="3" t="s">
        <v>130</v>
      </c>
      <c r="D185" s="3" t="s">
        <v>66</v>
      </c>
      <c r="E185" s="3" t="s">
        <v>32</v>
      </c>
      <c r="F185" s="5">
        <v>45291</v>
      </c>
      <c r="G185" s="3">
        <v>2023</v>
      </c>
      <c r="H185" s="3" t="s">
        <v>44</v>
      </c>
      <c r="I185" s="3" t="s">
        <v>49</v>
      </c>
      <c r="J185" s="3">
        <v>2</v>
      </c>
      <c r="K185" s="3"/>
      <c r="L185" s="3">
        <v>90</v>
      </c>
      <c r="M185" s="3"/>
      <c r="N185" s="3"/>
      <c r="O185" s="3" t="s">
        <v>131</v>
      </c>
      <c r="P185" s="3" t="s">
        <v>58</v>
      </c>
      <c r="Q185" s="3" t="s">
        <v>132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130</v>
      </c>
      <c r="W185" s="3" t="s">
        <v>60</v>
      </c>
      <c r="X185" s="3" t="s">
        <v>100</v>
      </c>
      <c r="Y185" s="3" t="s">
        <v>133</v>
      </c>
      <c r="Z185" s="3" t="s">
        <v>134</v>
      </c>
      <c r="AA185" s="3" t="s">
        <v>135</v>
      </c>
      <c r="AB185" s="3" t="s">
        <v>43</v>
      </c>
      <c r="AC185" s="3" t="s">
        <v>66</v>
      </c>
    </row>
    <row r="186" spans="1:29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5">
        <v>45291</v>
      </c>
      <c r="G186" s="3">
        <v>2023</v>
      </c>
      <c r="H186" s="3" t="s">
        <v>44</v>
      </c>
      <c r="I186" s="3" t="s">
        <v>49</v>
      </c>
      <c r="J186" s="3"/>
      <c r="K186" s="3"/>
      <c r="L186" s="3">
        <v>90</v>
      </c>
      <c r="M186" s="3"/>
      <c r="N186" s="3"/>
      <c r="O186" s="3" t="s">
        <v>284</v>
      </c>
      <c r="P186" s="3" t="s">
        <v>58</v>
      </c>
      <c r="Q186" s="3" t="s">
        <v>132</v>
      </c>
      <c r="R186" s="3">
        <v>0</v>
      </c>
      <c r="S186" s="3">
        <v>0</v>
      </c>
      <c r="T186" s="3" t="s">
        <v>443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</row>
    <row r="187" spans="1:29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5">
        <v>45657</v>
      </c>
      <c r="G187" s="3">
        <v>2024</v>
      </c>
      <c r="H187" s="3" t="s">
        <v>44</v>
      </c>
      <c r="I187" s="3" t="s">
        <v>53</v>
      </c>
      <c r="J187" s="3">
        <v>2</v>
      </c>
      <c r="K187" s="3">
        <v>80</v>
      </c>
      <c r="L187" s="3">
        <v>87.4</v>
      </c>
      <c r="M187" s="3">
        <f>+L187/K187</f>
        <v>1.0925</v>
      </c>
      <c r="N187" s="3">
        <f>L187/K187</f>
        <v>1.0925</v>
      </c>
      <c r="O187" s="3" t="s">
        <v>58</v>
      </c>
      <c r="P187" s="3" t="s">
        <v>58</v>
      </c>
      <c r="Q187" s="3" t="s">
        <v>136</v>
      </c>
      <c r="R187" s="3">
        <v>0</v>
      </c>
      <c r="S187" s="3">
        <v>1</v>
      </c>
      <c r="T187" s="3" t="s">
        <v>31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</row>
    <row r="188" spans="1:29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5">
        <v>45657</v>
      </c>
      <c r="G188" s="3">
        <v>2024</v>
      </c>
      <c r="H188" s="3" t="s">
        <v>44</v>
      </c>
      <c r="I188" s="3" t="s">
        <v>53</v>
      </c>
      <c r="J188" s="3"/>
      <c r="K188" s="3">
        <v>80</v>
      </c>
      <c r="L188" s="3">
        <v>87.4</v>
      </c>
      <c r="M188" s="3">
        <f>+L188/K188</f>
        <v>1.0925</v>
      </c>
      <c r="N188" s="3">
        <f>L188/K188</f>
        <v>1.0925</v>
      </c>
      <c r="O188" s="3" t="s">
        <v>58</v>
      </c>
      <c r="P188" s="3" t="s">
        <v>58</v>
      </c>
      <c r="Q188" s="3" t="s">
        <v>136</v>
      </c>
      <c r="R188" s="3">
        <v>0</v>
      </c>
      <c r="S188" s="3">
        <v>1</v>
      </c>
      <c r="T188" s="3" t="s">
        <v>443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</row>
    <row r="189" spans="1:29" x14ac:dyDescent="0.3">
      <c r="A189" s="3">
        <v>202</v>
      </c>
      <c r="B189" s="3" t="s">
        <v>137</v>
      </c>
      <c r="C189" s="3" t="s">
        <v>130</v>
      </c>
      <c r="D189" s="3" t="s">
        <v>66</v>
      </c>
      <c r="E189" s="3" t="s">
        <v>32</v>
      </c>
      <c r="F189" s="5">
        <v>43100</v>
      </c>
      <c r="G189" s="3">
        <f t="shared" ref="G189:G194" si="38">YEAR(F189)</f>
        <v>2017</v>
      </c>
      <c r="H189" s="3" t="str">
        <f t="shared" ref="H189:H194" si="39">PROPER(TEXT(F189,"mmmm"))</f>
        <v>Diciembre</v>
      </c>
      <c r="I189" s="3" t="str">
        <f t="shared" ref="I189:I194" si="40">IF(H189="Junio",G189&amp;"-1",G189&amp;"-2")</f>
        <v>2017-2</v>
      </c>
      <c r="J189" s="3"/>
      <c r="K189" s="3"/>
      <c r="L189" s="3">
        <v>64.400000000000006</v>
      </c>
      <c r="M189" s="3"/>
      <c r="N189" s="3"/>
      <c r="O189" s="3" t="s">
        <v>245</v>
      </c>
      <c r="P189" s="3" t="s">
        <v>245</v>
      </c>
      <c r="Q189" s="3" t="str">
        <f t="shared" ref="Q189:Q194" si="41">A189&amp;"-"&amp;TEXT(F189,"yyyy-mm-dd")</f>
        <v>202-2017-12-31</v>
      </c>
      <c r="R189" s="3">
        <v>1</v>
      </c>
      <c r="S189" s="3">
        <v>1</v>
      </c>
      <c r="T189" s="3" t="s">
        <v>31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139</v>
      </c>
      <c r="Z189" s="3" t="s">
        <v>63</v>
      </c>
      <c r="AA189" s="3" t="s">
        <v>115</v>
      </c>
      <c r="AB189" s="3" t="s">
        <v>43</v>
      </c>
      <c r="AC189" s="3" t="s">
        <v>66</v>
      </c>
    </row>
    <row r="190" spans="1:29" x14ac:dyDescent="0.3">
      <c r="A190" s="3">
        <v>202</v>
      </c>
      <c r="B190" s="3" t="s">
        <v>137</v>
      </c>
      <c r="C190" s="3" t="s">
        <v>130</v>
      </c>
      <c r="D190" s="3" t="s">
        <v>66</v>
      </c>
      <c r="E190" s="3" t="s">
        <v>32</v>
      </c>
      <c r="F190" s="5">
        <v>43100</v>
      </c>
      <c r="G190" s="3">
        <f t="shared" si="38"/>
        <v>2017</v>
      </c>
      <c r="H190" s="3" t="str">
        <f t="shared" si="39"/>
        <v>Diciembre</v>
      </c>
      <c r="I190" s="3" t="str">
        <f t="shared" si="40"/>
        <v>2017-2</v>
      </c>
      <c r="J190" s="3">
        <v>2</v>
      </c>
      <c r="K190" s="3"/>
      <c r="L190" s="3">
        <v>64.400000000000006</v>
      </c>
      <c r="M190" s="3"/>
      <c r="N190" s="3"/>
      <c r="O190" s="3" t="s">
        <v>245</v>
      </c>
      <c r="P190" s="3" t="s">
        <v>245</v>
      </c>
      <c r="Q190" s="3" t="str">
        <f t="shared" si="41"/>
        <v>202-2017-12-31</v>
      </c>
      <c r="R190" s="3">
        <v>1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139</v>
      </c>
      <c r="Z190" s="3" t="s">
        <v>63</v>
      </c>
      <c r="AA190" s="3" t="s">
        <v>115</v>
      </c>
      <c r="AB190" s="3" t="s">
        <v>43</v>
      </c>
      <c r="AC190" s="3" t="s">
        <v>66</v>
      </c>
    </row>
    <row r="191" spans="1:29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5">
        <v>43830</v>
      </c>
      <c r="G191" s="3">
        <f t="shared" si="38"/>
        <v>2019</v>
      </c>
      <c r="H191" s="3" t="str">
        <f t="shared" si="39"/>
        <v>Diciembre</v>
      </c>
      <c r="I191" s="3" t="str">
        <f t="shared" si="40"/>
        <v>2019-2</v>
      </c>
      <c r="J191" s="3">
        <v>2</v>
      </c>
      <c r="K191" s="3"/>
      <c r="L191" s="3">
        <v>77.099999999999994</v>
      </c>
      <c r="M191" s="3"/>
      <c r="N191" s="3"/>
      <c r="O191" s="3" t="s">
        <v>245</v>
      </c>
      <c r="P191" s="3" t="s">
        <v>245</v>
      </c>
      <c r="Q191" s="3" t="str">
        <f t="shared" si="41"/>
        <v>202-2019-12-31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</row>
    <row r="192" spans="1:29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5">
        <v>43830</v>
      </c>
      <c r="G192" s="3">
        <f t="shared" si="38"/>
        <v>2019</v>
      </c>
      <c r="H192" s="3" t="str">
        <f t="shared" si="39"/>
        <v>Diciembre</v>
      </c>
      <c r="I192" s="3" t="str">
        <f t="shared" si="40"/>
        <v>2019-2</v>
      </c>
      <c r="J192" s="3"/>
      <c r="K192" s="3"/>
      <c r="L192" s="3">
        <v>77.099999999999994</v>
      </c>
      <c r="M192" s="3"/>
      <c r="N192" s="3"/>
      <c r="O192" s="3" t="s">
        <v>245</v>
      </c>
      <c r="P192" s="3" t="s">
        <v>245</v>
      </c>
      <c r="Q192" s="3" t="str">
        <f t="shared" si="41"/>
        <v>202-2019-12-31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</row>
    <row r="193" spans="1:29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5">
        <v>44561</v>
      </c>
      <c r="G193" s="3">
        <f t="shared" si="38"/>
        <v>2021</v>
      </c>
      <c r="H193" s="3" t="str">
        <f t="shared" si="39"/>
        <v>Diciembre</v>
      </c>
      <c r="I193" s="3" t="str">
        <f t="shared" si="40"/>
        <v>2021-2</v>
      </c>
      <c r="J193" s="3">
        <v>2</v>
      </c>
      <c r="K193" s="3"/>
      <c r="L193" s="3">
        <v>61.7</v>
      </c>
      <c r="M193" s="3"/>
      <c r="N193" s="3"/>
      <c r="O193" s="3" t="s">
        <v>245</v>
      </c>
      <c r="P193" s="3" t="s">
        <v>245</v>
      </c>
      <c r="Q193" s="3" t="str">
        <f t="shared" si="41"/>
        <v>202-2021-12-31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</row>
    <row r="194" spans="1:29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5">
        <v>44561</v>
      </c>
      <c r="G194" s="3">
        <f t="shared" si="38"/>
        <v>2021</v>
      </c>
      <c r="H194" s="3" t="str">
        <f t="shared" si="39"/>
        <v>Diciembre</v>
      </c>
      <c r="I194" s="3" t="str">
        <f t="shared" si="40"/>
        <v>2021-2</v>
      </c>
      <c r="J194" s="3"/>
      <c r="K194" s="3"/>
      <c r="L194" s="3">
        <v>61.7</v>
      </c>
      <c r="M194" s="3"/>
      <c r="N194" s="3"/>
      <c r="O194" s="3" t="s">
        <v>245</v>
      </c>
      <c r="P194" s="3" t="s">
        <v>245</v>
      </c>
      <c r="Q194" s="3" t="str">
        <f t="shared" si="41"/>
        <v>202-2021-12-31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</row>
    <row r="195" spans="1:29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5">
        <v>45291</v>
      </c>
      <c r="G195" s="3">
        <v>2023</v>
      </c>
      <c r="H195" s="3" t="s">
        <v>44</v>
      </c>
      <c r="I195" s="3" t="s">
        <v>49</v>
      </c>
      <c r="J195" s="3">
        <v>2</v>
      </c>
      <c r="K195" s="3">
        <v>66</v>
      </c>
      <c r="L195" s="3">
        <v>64.7</v>
      </c>
      <c r="M195" s="3">
        <f>+L195/K195</f>
        <v>0.98030303030303034</v>
      </c>
      <c r="N195" s="3">
        <f>+L195/K195</f>
        <v>0.98030303030303034</v>
      </c>
      <c r="O195" s="3" t="s">
        <v>35</v>
      </c>
      <c r="P195" s="3" t="s">
        <v>245</v>
      </c>
      <c r="Q195" s="3" t="s">
        <v>138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</row>
    <row r="196" spans="1:29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5">
        <v>45291</v>
      </c>
      <c r="G196" s="3">
        <v>2023</v>
      </c>
      <c r="H196" s="3" t="s">
        <v>44</v>
      </c>
      <c r="I196" s="3" t="s">
        <v>49</v>
      </c>
      <c r="J196" s="3"/>
      <c r="K196" s="3">
        <v>66</v>
      </c>
      <c r="L196" s="3">
        <v>64.7</v>
      </c>
      <c r="M196" s="3">
        <f>+L196/K196</f>
        <v>0.98030303030303034</v>
      </c>
      <c r="N196" s="3">
        <f>+L196/K196</f>
        <v>0.98030303030303034</v>
      </c>
      <c r="O196" s="3" t="s">
        <v>35</v>
      </c>
      <c r="P196" s="3" t="s">
        <v>245</v>
      </c>
      <c r="Q196" s="3" t="s">
        <v>138</v>
      </c>
      <c r="R196" s="3">
        <v>1</v>
      </c>
      <c r="S196" s="3">
        <v>1</v>
      </c>
      <c r="T196" s="3" t="s">
        <v>443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</row>
    <row r="197" spans="1:29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5">
        <v>45838</v>
      </c>
      <c r="G197" s="3">
        <v>2025</v>
      </c>
      <c r="H197" s="3" t="s">
        <v>44</v>
      </c>
      <c r="I197" s="3" t="s">
        <v>465</v>
      </c>
      <c r="J197" s="3">
        <v>2</v>
      </c>
      <c r="K197" s="3">
        <v>68.7</v>
      </c>
      <c r="L197" s="3">
        <v>81</v>
      </c>
      <c r="M197" s="3">
        <f>+L197/K197</f>
        <v>1.1790393013100435</v>
      </c>
      <c r="N197" s="3">
        <f>+L197/K197</f>
        <v>1.1790393013100435</v>
      </c>
      <c r="O197" s="3" t="s">
        <v>245</v>
      </c>
      <c r="P197" s="3" t="s">
        <v>35</v>
      </c>
      <c r="Q197" s="3" t="s">
        <v>513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</row>
    <row r="198" spans="1:29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5">
        <v>46022</v>
      </c>
      <c r="G198" s="3">
        <v>2025</v>
      </c>
      <c r="H198" s="3" t="s">
        <v>44</v>
      </c>
      <c r="I198" s="3" t="s">
        <v>465</v>
      </c>
      <c r="J198" s="3"/>
      <c r="K198" s="3">
        <v>68.7</v>
      </c>
      <c r="L198" s="3">
        <v>81</v>
      </c>
      <c r="M198" s="3">
        <f>+L198/K198</f>
        <v>1.1790393013100435</v>
      </c>
      <c r="N198" s="3">
        <f>+L198/K198</f>
        <v>1.1790393013100435</v>
      </c>
      <c r="O198" s="3" t="s">
        <v>245</v>
      </c>
      <c r="P198" s="3" t="s">
        <v>35</v>
      </c>
      <c r="Q198" s="3" t="s">
        <v>513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</row>
    <row r="199" spans="1:29" x14ac:dyDescent="0.3">
      <c r="A199" s="3">
        <v>203</v>
      </c>
      <c r="B199" s="3" t="s">
        <v>141</v>
      </c>
      <c r="C199" s="3" t="s">
        <v>142</v>
      </c>
      <c r="D199" s="3" t="s">
        <v>31</v>
      </c>
      <c r="E199" s="3" t="s">
        <v>32</v>
      </c>
      <c r="F199" s="5">
        <v>44742</v>
      </c>
      <c r="G199" s="3">
        <v>2022</v>
      </c>
      <c r="H199" s="3" t="s">
        <v>33</v>
      </c>
      <c r="I199" s="3" t="s">
        <v>34</v>
      </c>
      <c r="J199" s="3">
        <v>1</v>
      </c>
      <c r="K199" s="3">
        <v>113672</v>
      </c>
      <c r="L199" s="3">
        <v>119144</v>
      </c>
      <c r="M199" s="3">
        <f t="shared" ref="M199:M208" si="42">+L199/K199</f>
        <v>1.0481385037652193</v>
      </c>
      <c r="N199" s="3">
        <f>+L199/K199</f>
        <v>1.0481385037652193</v>
      </c>
      <c r="O199" s="3" t="s">
        <v>143</v>
      </c>
      <c r="P199" s="3" t="s">
        <v>143</v>
      </c>
      <c r="Q199" s="3" t="s">
        <v>144</v>
      </c>
      <c r="R199" s="3">
        <v>0</v>
      </c>
      <c r="S199" s="3">
        <v>0</v>
      </c>
      <c r="T199" s="3" t="s">
        <v>31</v>
      </c>
      <c r="U199" s="3" t="s">
        <v>37</v>
      </c>
      <c r="V199" s="3" t="s">
        <v>142</v>
      </c>
      <c r="W199" s="3" t="s">
        <v>145</v>
      </c>
      <c r="X199" s="3" t="s">
        <v>146</v>
      </c>
      <c r="Y199" s="3" t="s">
        <v>147</v>
      </c>
      <c r="Z199" s="3" t="s">
        <v>63</v>
      </c>
      <c r="AA199" s="3" t="s">
        <v>148</v>
      </c>
      <c r="AB199" s="3" t="s">
        <v>78</v>
      </c>
      <c r="AC199" s="3" t="s">
        <v>66</v>
      </c>
    </row>
    <row r="200" spans="1:29" x14ac:dyDescent="0.3">
      <c r="A200" s="3">
        <v>203</v>
      </c>
      <c r="B200" s="3" t="s">
        <v>141</v>
      </c>
      <c r="C200" s="3" t="s">
        <v>142</v>
      </c>
      <c r="D200" s="3" t="s">
        <v>31</v>
      </c>
      <c r="E200" s="3" t="s">
        <v>32</v>
      </c>
      <c r="F200" s="5">
        <v>44926</v>
      </c>
      <c r="G200" s="3">
        <v>2022</v>
      </c>
      <c r="H200" s="3" t="s">
        <v>44</v>
      </c>
      <c r="I200" s="3" t="s">
        <v>45</v>
      </c>
      <c r="J200" s="3">
        <v>2</v>
      </c>
      <c r="K200" s="3">
        <v>110768</v>
      </c>
      <c r="L200" s="3">
        <v>121738</v>
      </c>
      <c r="M200" s="3">
        <f t="shared" si="42"/>
        <v>1.0990358226202512</v>
      </c>
      <c r="N200" s="3">
        <f t="shared" ref="N200:N208" si="43">+L200/K200</f>
        <v>1.0990358226202512</v>
      </c>
      <c r="O200" s="3" t="s">
        <v>143</v>
      </c>
      <c r="P200" s="3" t="s">
        <v>143</v>
      </c>
      <c r="Q200" s="3" t="s">
        <v>149</v>
      </c>
      <c r="R200" s="3">
        <v>0</v>
      </c>
      <c r="S200" s="3">
        <v>0</v>
      </c>
      <c r="T200" s="3" t="s">
        <v>31</v>
      </c>
      <c r="U200" s="3" t="s">
        <v>37</v>
      </c>
      <c r="V200" s="3" t="s">
        <v>142</v>
      </c>
      <c r="W200" s="3" t="s">
        <v>145</v>
      </c>
      <c r="X200" s="3" t="s">
        <v>146</v>
      </c>
      <c r="Y200" s="3" t="s">
        <v>147</v>
      </c>
      <c r="Z200" s="3" t="s">
        <v>63</v>
      </c>
      <c r="AA200" s="3" t="s">
        <v>148</v>
      </c>
      <c r="AB200" s="3" t="s">
        <v>78</v>
      </c>
      <c r="AC200" s="3" t="s">
        <v>66</v>
      </c>
    </row>
    <row r="201" spans="1:29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5">
        <v>44926</v>
      </c>
      <c r="G201" s="3">
        <v>2022</v>
      </c>
      <c r="H201" s="3" t="s">
        <v>44</v>
      </c>
      <c r="I201" s="3" t="s">
        <v>45</v>
      </c>
      <c r="J201" s="3"/>
      <c r="K201" s="3">
        <v>224440</v>
      </c>
      <c r="L201" s="3">
        <v>241706</v>
      </c>
      <c r="M201" s="3">
        <f t="shared" si="42"/>
        <v>1.0769292461236857</v>
      </c>
      <c r="N201" s="3">
        <f t="shared" si="43"/>
        <v>1.0769292461236857</v>
      </c>
      <c r="O201" s="3" t="s">
        <v>143</v>
      </c>
      <c r="P201" s="3" t="s">
        <v>143</v>
      </c>
      <c r="Q201" s="3" t="s">
        <v>149</v>
      </c>
      <c r="R201" s="3">
        <v>0</v>
      </c>
      <c r="S201" s="3">
        <v>0</v>
      </c>
      <c r="T201" s="3" t="s">
        <v>443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</row>
    <row r="202" spans="1:29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5">
        <v>45107</v>
      </c>
      <c r="G202" s="3">
        <v>2023</v>
      </c>
      <c r="H202" s="3" t="s">
        <v>33</v>
      </c>
      <c r="I202" s="3" t="s">
        <v>47</v>
      </c>
      <c r="J202" s="3">
        <v>1</v>
      </c>
      <c r="K202" s="3">
        <v>123465.69985999999</v>
      </c>
      <c r="L202" s="3">
        <v>129185.069909</v>
      </c>
      <c r="M202" s="3">
        <f t="shared" si="42"/>
        <v>1.0463235542785188</v>
      </c>
      <c r="N202" s="3">
        <f t="shared" si="43"/>
        <v>1.0463235542785188</v>
      </c>
      <c r="O202" s="3" t="s">
        <v>143</v>
      </c>
      <c r="P202" s="3" t="s">
        <v>143</v>
      </c>
      <c r="Q202" s="3" t="s">
        <v>150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</row>
    <row r="203" spans="1:29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5">
        <v>45291</v>
      </c>
      <c r="G203" s="3">
        <v>2023</v>
      </c>
      <c r="H203" s="3" t="s">
        <v>44</v>
      </c>
      <c r="I203" s="3" t="s">
        <v>49</v>
      </c>
      <c r="J203" s="3">
        <v>2</v>
      </c>
      <c r="K203" s="3">
        <v>141378.739416</v>
      </c>
      <c r="L203" s="3">
        <v>144681.981019</v>
      </c>
      <c r="M203" s="3">
        <f t="shared" si="42"/>
        <v>1.0233644861783664</v>
      </c>
      <c r="N203" s="3">
        <f t="shared" si="43"/>
        <v>1.0233644861783664</v>
      </c>
      <c r="O203" s="3" t="s">
        <v>143</v>
      </c>
      <c r="P203" s="3" t="s">
        <v>143</v>
      </c>
      <c r="Q203" s="3" t="s">
        <v>151</v>
      </c>
      <c r="R203" s="3">
        <v>0</v>
      </c>
      <c r="S203" s="3">
        <v>0</v>
      </c>
      <c r="T203" s="3" t="s">
        <v>31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</row>
    <row r="204" spans="1:29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5">
        <v>45291</v>
      </c>
      <c r="G204" s="3">
        <v>2023</v>
      </c>
      <c r="H204" s="3" t="s">
        <v>44</v>
      </c>
      <c r="I204" s="3" t="s">
        <v>49</v>
      </c>
      <c r="J204" s="3"/>
      <c r="K204" s="3">
        <v>264844.43927600002</v>
      </c>
      <c r="L204" s="3">
        <v>273867.05092800001</v>
      </c>
      <c r="M204" s="3">
        <f t="shared" si="42"/>
        <v>1.0340675895505487</v>
      </c>
      <c r="N204" s="3">
        <f t="shared" si="43"/>
        <v>1.0340675895505487</v>
      </c>
      <c r="O204" s="3" t="s">
        <v>143</v>
      </c>
      <c r="P204" s="3" t="s">
        <v>143</v>
      </c>
      <c r="Q204" s="3" t="s">
        <v>151</v>
      </c>
      <c r="R204" s="3">
        <v>0</v>
      </c>
      <c r="S204" s="3">
        <v>0</v>
      </c>
      <c r="T204" s="3" t="s">
        <v>443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</row>
    <row r="205" spans="1:29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5">
        <v>45473</v>
      </c>
      <c r="G205" s="3">
        <v>2024</v>
      </c>
      <c r="H205" s="3" t="s">
        <v>33</v>
      </c>
      <c r="I205" s="3" t="s">
        <v>51</v>
      </c>
      <c r="J205" s="3">
        <v>1</v>
      </c>
      <c r="K205" s="3">
        <v>142872.2583337345</v>
      </c>
      <c r="L205" s="3">
        <v>145741.54103414001</v>
      </c>
      <c r="M205" s="3">
        <f t="shared" si="42"/>
        <v>1.0200828539694751</v>
      </c>
      <c r="N205" s="3">
        <f t="shared" si="43"/>
        <v>1.0200828539694751</v>
      </c>
      <c r="O205" s="3" t="s">
        <v>143</v>
      </c>
      <c r="P205" s="3" t="s">
        <v>143</v>
      </c>
      <c r="Q205" s="3" t="s">
        <v>152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</row>
    <row r="206" spans="1:29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5">
        <v>45657</v>
      </c>
      <c r="G206" s="3">
        <v>2024</v>
      </c>
      <c r="H206" s="3" t="s">
        <v>44</v>
      </c>
      <c r="I206" s="3" t="s">
        <v>53</v>
      </c>
      <c r="J206" s="3">
        <v>2</v>
      </c>
      <c r="K206" s="3">
        <v>146766.19433692191</v>
      </c>
      <c r="L206" s="3">
        <v>152125.58089486</v>
      </c>
      <c r="M206" s="3">
        <f t="shared" si="42"/>
        <v>1.0365164919765848</v>
      </c>
      <c r="N206" s="3">
        <f t="shared" si="43"/>
        <v>1.0365164919765848</v>
      </c>
      <c r="O206" s="3" t="s">
        <v>143</v>
      </c>
      <c r="P206" s="3" t="s">
        <v>143</v>
      </c>
      <c r="Q206" s="3" t="s">
        <v>153</v>
      </c>
      <c r="R206" s="3">
        <v>0</v>
      </c>
      <c r="S206" s="3">
        <v>0</v>
      </c>
      <c r="T206" s="3" t="s">
        <v>31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</row>
    <row r="207" spans="1:29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5">
        <v>45657</v>
      </c>
      <c r="G207" s="3">
        <v>2024</v>
      </c>
      <c r="H207" s="3" t="s">
        <v>44</v>
      </c>
      <c r="I207" s="3" t="s">
        <v>53</v>
      </c>
      <c r="J207" s="3"/>
      <c r="K207" s="3">
        <v>289638.45267000003</v>
      </c>
      <c r="L207" s="3">
        <v>297867.12192900002</v>
      </c>
      <c r="M207" s="3">
        <f t="shared" si="42"/>
        <v>1.0284101409296484</v>
      </c>
      <c r="N207" s="3">
        <f t="shared" si="43"/>
        <v>1.0284101409296484</v>
      </c>
      <c r="O207" s="3" t="s">
        <v>143</v>
      </c>
      <c r="P207" s="3" t="s">
        <v>143</v>
      </c>
      <c r="Q207" s="3" t="s">
        <v>153</v>
      </c>
      <c r="R207" s="3">
        <v>0</v>
      </c>
      <c r="S207" s="3">
        <v>0</v>
      </c>
      <c r="T207" s="3" t="s">
        <v>443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</row>
    <row r="208" spans="1:29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5">
        <v>45838</v>
      </c>
      <c r="G208" s="3">
        <v>2025</v>
      </c>
      <c r="H208" s="3" t="s">
        <v>33</v>
      </c>
      <c r="I208" s="3" t="s">
        <v>404</v>
      </c>
      <c r="J208" s="3">
        <v>1</v>
      </c>
      <c r="K208" s="3">
        <v>149950.76733</v>
      </c>
      <c r="L208" s="3">
        <v>167595.14529690001</v>
      </c>
      <c r="M208" s="3">
        <f t="shared" si="42"/>
        <v>1.1176678071147821</v>
      </c>
      <c r="N208" s="3">
        <f t="shared" si="43"/>
        <v>1.1176678071147821</v>
      </c>
      <c r="O208" s="3" t="s">
        <v>143</v>
      </c>
      <c r="P208" s="3" t="s">
        <v>143</v>
      </c>
      <c r="Q208" s="3" t="s">
        <v>426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</row>
    <row r="209" spans="1:29" x14ac:dyDescent="0.3">
      <c r="A209" s="3">
        <v>204</v>
      </c>
      <c r="B209" s="3" t="s">
        <v>154</v>
      </c>
      <c r="C209" s="3" t="s">
        <v>142</v>
      </c>
      <c r="D209" s="3" t="s">
        <v>31</v>
      </c>
      <c r="E209" s="3" t="s">
        <v>32</v>
      </c>
      <c r="F209" s="5">
        <v>45291</v>
      </c>
      <c r="G209" s="3">
        <v>2023</v>
      </c>
      <c r="H209" s="3" t="s">
        <v>44</v>
      </c>
      <c r="I209" s="3" t="s">
        <v>49</v>
      </c>
      <c r="J209" s="3">
        <v>2</v>
      </c>
      <c r="K209" s="3">
        <v>86846.60702431656</v>
      </c>
      <c r="L209" s="3">
        <v>141016.76289899999</v>
      </c>
      <c r="M209" s="3">
        <v>1.3</v>
      </c>
      <c r="N209" s="3">
        <f>L209/K209</f>
        <v>1.6237452185036554</v>
      </c>
      <c r="O209" s="3" t="s">
        <v>143</v>
      </c>
      <c r="P209" s="3" t="s">
        <v>143</v>
      </c>
      <c r="Q209" s="3" t="s">
        <v>158</v>
      </c>
      <c r="R209" s="3">
        <v>0</v>
      </c>
      <c r="S209" s="3">
        <v>0</v>
      </c>
      <c r="T209" s="3" t="s">
        <v>31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43</v>
      </c>
      <c r="AC209" s="3" t="s">
        <v>66</v>
      </c>
    </row>
    <row r="210" spans="1:29" x14ac:dyDescent="0.3">
      <c r="A210" s="3">
        <v>204</v>
      </c>
      <c r="B210" s="3" t="s">
        <v>154</v>
      </c>
      <c r="C210" s="3" t="s">
        <v>142</v>
      </c>
      <c r="D210" s="3" t="s">
        <v>31</v>
      </c>
      <c r="E210" s="3" t="s">
        <v>32</v>
      </c>
      <c r="F210" s="5">
        <v>45291</v>
      </c>
      <c r="G210" s="3">
        <v>2023</v>
      </c>
      <c r="H210" s="3" t="s">
        <v>44</v>
      </c>
      <c r="I210" s="3" t="s">
        <v>49</v>
      </c>
      <c r="J210" s="3"/>
      <c r="K210" s="3">
        <v>86846.60702431656</v>
      </c>
      <c r="L210" s="3">
        <v>141016.76289899999</v>
      </c>
      <c r="M210" s="3">
        <v>1.3</v>
      </c>
      <c r="N210" s="3">
        <v>1.6237452185036549</v>
      </c>
      <c r="O210" s="3" t="s">
        <v>143</v>
      </c>
      <c r="P210" s="3" t="s">
        <v>143</v>
      </c>
      <c r="Q210" s="3" t="s">
        <v>158</v>
      </c>
      <c r="R210" s="3">
        <v>0</v>
      </c>
      <c r="S210" s="3">
        <v>0</v>
      </c>
      <c r="T210" s="3" t="s">
        <v>443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43</v>
      </c>
      <c r="AC210" s="3" t="s">
        <v>66</v>
      </c>
    </row>
    <row r="211" spans="1:29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5">
        <v>45657</v>
      </c>
      <c r="G211" s="3">
        <v>2024</v>
      </c>
      <c r="H211" s="3" t="s">
        <v>44</v>
      </c>
      <c r="I211" s="3" t="s">
        <v>53</v>
      </c>
      <c r="J211" s="3">
        <v>2</v>
      </c>
      <c r="K211" s="3">
        <v>122440.821151</v>
      </c>
      <c r="L211" s="3">
        <v>176962.74882400001</v>
      </c>
      <c r="M211" s="3">
        <v>1.3</v>
      </c>
      <c r="N211" s="3">
        <f>L211/K211</f>
        <v>1.4452920779235947</v>
      </c>
      <c r="O211" s="3" t="s">
        <v>143</v>
      </c>
      <c r="P211" s="3" t="s">
        <v>143</v>
      </c>
      <c r="Q211" s="3" t="s">
        <v>160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</row>
    <row r="212" spans="1:29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5">
        <v>45657</v>
      </c>
      <c r="G212" s="3">
        <v>2024</v>
      </c>
      <c r="H212" s="3" t="s">
        <v>44</v>
      </c>
      <c r="I212" s="3" t="s">
        <v>53</v>
      </c>
      <c r="J212" s="3"/>
      <c r="K212" s="3">
        <v>122440.821151</v>
      </c>
      <c r="L212" s="3">
        <v>176962.74882400001</v>
      </c>
      <c r="M212" s="3">
        <v>1.3</v>
      </c>
      <c r="N212" s="3">
        <f>L212/K212</f>
        <v>1.4452920779235947</v>
      </c>
      <c r="O212" s="3" t="s">
        <v>143</v>
      </c>
      <c r="P212" s="3" t="s">
        <v>143</v>
      </c>
      <c r="Q212" s="3" t="s">
        <v>160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</row>
    <row r="213" spans="1:29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5">
        <v>46022</v>
      </c>
      <c r="G213" s="3">
        <v>2025</v>
      </c>
      <c r="H213" s="3" t="s">
        <v>44</v>
      </c>
      <c r="I213" s="3" t="s">
        <v>465</v>
      </c>
      <c r="J213" s="3">
        <v>2</v>
      </c>
      <c r="K213" s="3">
        <f>128448131182/1000000</f>
        <v>128448.131182</v>
      </c>
      <c r="L213" s="3">
        <f>195548387375/1000000</f>
        <v>195548.38737499999</v>
      </c>
      <c r="M213" s="3">
        <v>1.3</v>
      </c>
      <c r="N213" s="3">
        <f>L213/K213</f>
        <v>1.5223918446732765</v>
      </c>
      <c r="O213" s="3" t="s">
        <v>143</v>
      </c>
      <c r="P213" s="3" t="s">
        <v>143</v>
      </c>
      <c r="Q213" s="3" t="s">
        <v>496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</row>
    <row r="214" spans="1:29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5">
        <v>46022</v>
      </c>
      <c r="G214" s="3">
        <v>2025</v>
      </c>
      <c r="H214" s="3" t="s">
        <v>44</v>
      </c>
      <c r="I214" s="3" t="s">
        <v>465</v>
      </c>
      <c r="J214" s="3"/>
      <c r="K214" s="3">
        <f>128448131182/1000000</f>
        <v>128448.131182</v>
      </c>
      <c r="L214" s="3">
        <f>195548387375/1000000</f>
        <v>195548.38737499999</v>
      </c>
      <c r="M214" s="3">
        <v>1.3</v>
      </c>
      <c r="N214" s="3">
        <f>L214/K214</f>
        <v>1.5223918446732765</v>
      </c>
      <c r="O214" s="3" t="s">
        <v>143</v>
      </c>
      <c r="P214" s="3" t="s">
        <v>143</v>
      </c>
      <c r="Q214" s="3" t="s">
        <v>496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</row>
    <row r="215" spans="1:29" x14ac:dyDescent="0.3">
      <c r="A215" s="3">
        <v>205</v>
      </c>
      <c r="B215" s="3" t="s">
        <v>161</v>
      </c>
      <c r="C215" s="3" t="s">
        <v>142</v>
      </c>
      <c r="D215" s="3" t="s">
        <v>31</v>
      </c>
      <c r="E215" s="3" t="s">
        <v>32</v>
      </c>
      <c r="F215" s="5">
        <v>44926</v>
      </c>
      <c r="G215" s="3">
        <v>2022</v>
      </c>
      <c r="H215" s="3" t="s">
        <v>44</v>
      </c>
      <c r="I215" s="3" t="s">
        <v>45</v>
      </c>
      <c r="J215" s="3">
        <v>2</v>
      </c>
      <c r="K215" s="3"/>
      <c r="L215" s="3">
        <v>2605</v>
      </c>
      <c r="M215" s="3">
        <v>1.3</v>
      </c>
      <c r="N215" s="3"/>
      <c r="O215" s="3" t="s">
        <v>143</v>
      </c>
      <c r="P215" s="3" t="s">
        <v>143</v>
      </c>
      <c r="Q215" s="3" t="s">
        <v>163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78</v>
      </c>
      <c r="AC215" s="3" t="s">
        <v>66</v>
      </c>
    </row>
    <row r="216" spans="1:29" x14ac:dyDescent="0.3">
      <c r="A216" s="3">
        <v>205</v>
      </c>
      <c r="B216" s="3" t="s">
        <v>161</v>
      </c>
      <c r="C216" s="3" t="s">
        <v>142</v>
      </c>
      <c r="D216" s="3" t="s">
        <v>31</v>
      </c>
      <c r="E216" s="3" t="s">
        <v>32</v>
      </c>
      <c r="F216" s="5">
        <v>44926</v>
      </c>
      <c r="G216" s="3">
        <v>2022</v>
      </c>
      <c r="H216" s="3" t="s">
        <v>44</v>
      </c>
      <c r="I216" s="3" t="s">
        <v>45</v>
      </c>
      <c r="J216" s="3"/>
      <c r="K216" s="3"/>
      <c r="L216" s="3">
        <v>2605</v>
      </c>
      <c r="M216" s="3">
        <v>1.3</v>
      </c>
      <c r="N216" s="3"/>
      <c r="O216" s="3" t="s">
        <v>143</v>
      </c>
      <c r="P216" s="3" t="s">
        <v>143</v>
      </c>
      <c r="Q216" s="3" t="s">
        <v>518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78</v>
      </c>
      <c r="AC216" s="3" t="s">
        <v>66</v>
      </c>
    </row>
    <row r="217" spans="1:29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5">
        <v>45107</v>
      </c>
      <c r="G217" s="3">
        <v>2023</v>
      </c>
      <c r="H217" s="3" t="s">
        <v>33</v>
      </c>
      <c r="I217" s="3" t="s">
        <v>47</v>
      </c>
      <c r="J217" s="3">
        <v>1</v>
      </c>
      <c r="K217" s="3">
        <v>2622.5539939999999</v>
      </c>
      <c r="L217" s="3">
        <v>4338.4199079999999</v>
      </c>
      <c r="M217" s="3">
        <f t="shared" ref="M217:M224" si="44">IF(L217/K217&gt;1.3,1.3,L217/K217)</f>
        <v>1.3</v>
      </c>
      <c r="N217" s="3">
        <f t="shared" ref="N217:N223" si="45">L217/K217</f>
        <v>1.6542728645151394</v>
      </c>
      <c r="O217" s="3" t="s">
        <v>143</v>
      </c>
      <c r="P217" s="3" t="s">
        <v>143</v>
      </c>
      <c r="Q217" s="3" t="s">
        <v>162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</row>
    <row r="218" spans="1:29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5">
        <v>45291</v>
      </c>
      <c r="G218" s="3">
        <v>2023</v>
      </c>
      <c r="H218" s="3" t="s">
        <v>44</v>
      </c>
      <c r="I218" s="3" t="s">
        <v>49</v>
      </c>
      <c r="J218" s="3">
        <v>2</v>
      </c>
      <c r="K218" s="3">
        <v>2041.786670711695</v>
      </c>
      <c r="L218" s="3">
        <v>7345.4747770000004</v>
      </c>
      <c r="M218" s="3">
        <f t="shared" si="44"/>
        <v>1.3</v>
      </c>
      <c r="N218" s="3">
        <f t="shared" si="45"/>
        <v>3.5975721079811076</v>
      </c>
      <c r="O218" s="3" t="s">
        <v>143</v>
      </c>
      <c r="P218" s="3" t="s">
        <v>143</v>
      </c>
      <c r="Q218" s="3" t="s">
        <v>163</v>
      </c>
      <c r="R218" s="3">
        <v>0</v>
      </c>
      <c r="S218" s="3">
        <v>0</v>
      </c>
      <c r="T218" s="3" t="s">
        <v>31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</row>
    <row r="219" spans="1:29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5">
        <v>45291</v>
      </c>
      <c r="G219" s="3">
        <v>2023</v>
      </c>
      <c r="H219" s="3" t="s">
        <v>44</v>
      </c>
      <c r="I219" s="3" t="s">
        <v>49</v>
      </c>
      <c r="J219" s="3"/>
      <c r="K219" s="3">
        <v>2041.7866710000001</v>
      </c>
      <c r="L219" s="3">
        <v>8708.3762700000007</v>
      </c>
      <c r="M219" s="3">
        <f t="shared" si="44"/>
        <v>1.3</v>
      </c>
      <c r="N219" s="3">
        <f t="shared" si="45"/>
        <v>4.2650764615555667</v>
      </c>
      <c r="O219" s="3" t="s">
        <v>143</v>
      </c>
      <c r="P219" s="3" t="s">
        <v>143</v>
      </c>
      <c r="Q219" s="3" t="s">
        <v>163</v>
      </c>
      <c r="R219" s="3">
        <v>0</v>
      </c>
      <c r="S219" s="3">
        <v>0</v>
      </c>
      <c r="T219" s="3" t="s">
        <v>443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</row>
    <row r="220" spans="1:29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5">
        <v>45473</v>
      </c>
      <c r="G220" s="3">
        <v>2024</v>
      </c>
      <c r="H220" s="3" t="s">
        <v>33</v>
      </c>
      <c r="I220" s="3" t="s">
        <v>51</v>
      </c>
      <c r="J220" s="3">
        <v>1</v>
      </c>
      <c r="K220" s="3">
        <v>2039.2370430000001</v>
      </c>
      <c r="L220" s="3">
        <v>4385.721681</v>
      </c>
      <c r="M220" s="3">
        <f t="shared" si="44"/>
        <v>1.3</v>
      </c>
      <c r="N220" s="3">
        <f t="shared" si="45"/>
        <v>2.1506679157553927</v>
      </c>
      <c r="O220" s="3" t="s">
        <v>143</v>
      </c>
      <c r="P220" s="3" t="s">
        <v>143</v>
      </c>
      <c r="Q220" s="3" t="s">
        <v>164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</row>
    <row r="221" spans="1:29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5">
        <v>45657</v>
      </c>
      <c r="G221" s="3">
        <v>2024</v>
      </c>
      <c r="H221" s="3" t="s">
        <v>44</v>
      </c>
      <c r="I221" s="3" t="s">
        <v>53</v>
      </c>
      <c r="J221" s="3">
        <v>2</v>
      </c>
      <c r="K221" s="3">
        <v>2783.2196537144901</v>
      </c>
      <c r="L221" s="3">
        <v>5092.3929009999993</v>
      </c>
      <c r="M221" s="3">
        <f t="shared" si="44"/>
        <v>1.3</v>
      </c>
      <c r="N221" s="3">
        <f t="shared" si="45"/>
        <v>1.829676969334304</v>
      </c>
      <c r="O221" s="3" t="s">
        <v>143</v>
      </c>
      <c r="P221" s="3" t="s">
        <v>143</v>
      </c>
      <c r="Q221" s="3" t="s">
        <v>165</v>
      </c>
      <c r="R221" s="3">
        <v>0</v>
      </c>
      <c r="S221" s="3">
        <v>0</v>
      </c>
      <c r="T221" s="3" t="s">
        <v>31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</row>
    <row r="222" spans="1:29" x14ac:dyDescent="0.3">
      <c r="A222" s="3">
        <v>205</v>
      </c>
      <c r="B222" s="3" t="s">
        <v>161</v>
      </c>
      <c r="C222" s="3" t="s">
        <v>142</v>
      </c>
      <c r="D222" s="3" t="s">
        <v>31</v>
      </c>
      <c r="E222" s="3" t="s">
        <v>32</v>
      </c>
      <c r="F222" s="5">
        <v>45657</v>
      </c>
      <c r="G222" s="3">
        <v>2024</v>
      </c>
      <c r="H222" s="3" t="s">
        <v>44</v>
      </c>
      <c r="I222" s="3" t="s">
        <v>53</v>
      </c>
      <c r="J222" s="3"/>
      <c r="K222" s="3">
        <v>2783.219654</v>
      </c>
      <c r="L222" s="3">
        <v>5141.1028649999998</v>
      </c>
      <c r="M222" s="3">
        <f t="shared" si="44"/>
        <v>1.3</v>
      </c>
      <c r="N222" s="3">
        <f t="shared" si="45"/>
        <v>1.8471782698182972</v>
      </c>
      <c r="O222" s="3" t="s">
        <v>143</v>
      </c>
      <c r="P222" s="3" t="s">
        <v>143</v>
      </c>
      <c r="Q222" s="3" t="s">
        <v>165</v>
      </c>
      <c r="R222" s="3">
        <v>0</v>
      </c>
      <c r="S222" s="3">
        <v>0</v>
      </c>
      <c r="T222" s="3" t="s">
        <v>443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78</v>
      </c>
      <c r="AC222" s="3" t="s">
        <v>66</v>
      </c>
    </row>
    <row r="223" spans="1:29" x14ac:dyDescent="0.3">
      <c r="A223" s="3">
        <v>205</v>
      </c>
      <c r="B223" s="3" t="s">
        <v>161</v>
      </c>
      <c r="C223" s="3" t="s">
        <v>142</v>
      </c>
      <c r="D223" s="3" t="s">
        <v>31</v>
      </c>
      <c r="E223" s="3" t="s">
        <v>32</v>
      </c>
      <c r="F223" s="5">
        <v>45838</v>
      </c>
      <c r="G223" s="3">
        <v>2025</v>
      </c>
      <c r="H223" s="3" t="s">
        <v>33</v>
      </c>
      <c r="I223" s="3" t="s">
        <v>404</v>
      </c>
      <c r="J223" s="3">
        <v>1</v>
      </c>
      <c r="K223" s="3">
        <v>4817.8363419999996</v>
      </c>
      <c r="L223" s="3">
        <v>8976.1202028999996</v>
      </c>
      <c r="M223" s="3">
        <f t="shared" si="44"/>
        <v>1.3</v>
      </c>
      <c r="N223" s="3">
        <f t="shared" si="45"/>
        <v>1.8631019332578234</v>
      </c>
      <c r="O223" s="3" t="s">
        <v>143</v>
      </c>
      <c r="P223" s="3" t="s">
        <v>143</v>
      </c>
      <c r="Q223" s="3" t="s">
        <v>422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78</v>
      </c>
      <c r="AC223" s="3" t="s">
        <v>66</v>
      </c>
    </row>
    <row r="224" spans="1:29" x14ac:dyDescent="0.3">
      <c r="A224" s="3">
        <v>205</v>
      </c>
      <c r="B224" s="3" t="s">
        <v>161</v>
      </c>
      <c r="C224" s="3" t="s">
        <v>142</v>
      </c>
      <c r="D224" s="3" t="s">
        <v>31</v>
      </c>
      <c r="E224" s="3" t="s">
        <v>32</v>
      </c>
      <c r="F224" s="5">
        <v>46022</v>
      </c>
      <c r="G224" s="3">
        <v>2025</v>
      </c>
      <c r="H224" s="3" t="s">
        <v>44</v>
      </c>
      <c r="I224" s="3" t="s">
        <v>465</v>
      </c>
      <c r="J224" s="3"/>
      <c r="K224" s="3">
        <f>4684155397/1000000</f>
        <v>4684.1553970000004</v>
      </c>
      <c r="L224" s="3">
        <f>5763937302/1000000</f>
        <v>5763.9373020000003</v>
      </c>
      <c r="M224" s="3">
        <f t="shared" si="44"/>
        <v>1.230517951153276</v>
      </c>
      <c r="N224" s="3">
        <f t="shared" ref="N224:N232" si="46">L224/K224</f>
        <v>1.230517951153276</v>
      </c>
      <c r="O224" s="3" t="s">
        <v>143</v>
      </c>
      <c r="P224" s="3" t="s">
        <v>143</v>
      </c>
      <c r="Q224" s="3" t="s">
        <v>422</v>
      </c>
      <c r="R224" s="3">
        <v>0</v>
      </c>
      <c r="S224" s="3">
        <v>0</v>
      </c>
      <c r="T224" s="3" t="s">
        <v>443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78</v>
      </c>
      <c r="AC224" s="3" t="s">
        <v>66</v>
      </c>
    </row>
    <row r="225" spans="1:29" x14ac:dyDescent="0.3">
      <c r="A225" s="3">
        <v>207</v>
      </c>
      <c r="B225" s="3" t="s">
        <v>170</v>
      </c>
      <c r="C225" s="3" t="s">
        <v>142</v>
      </c>
      <c r="D225" s="3" t="s">
        <v>31</v>
      </c>
      <c r="E225" s="3" t="s">
        <v>171</v>
      </c>
      <c r="F225" s="5">
        <v>45107</v>
      </c>
      <c r="G225" s="3">
        <v>2023</v>
      </c>
      <c r="H225" s="3" t="s">
        <v>33</v>
      </c>
      <c r="I225" s="3" t="s">
        <v>47</v>
      </c>
      <c r="J225" s="3">
        <v>1</v>
      </c>
      <c r="K225" s="3">
        <v>114640.77968199999</v>
      </c>
      <c r="L225" s="3">
        <v>116015.126638</v>
      </c>
      <c r="M225" s="3">
        <f t="shared" ref="M225:M232" si="47">L225/K225</f>
        <v>1.0119882903781034</v>
      </c>
      <c r="N225" s="3">
        <f t="shared" si="46"/>
        <v>1.0119882903781034</v>
      </c>
      <c r="O225" s="3" t="s">
        <v>143</v>
      </c>
      <c r="P225" s="3" t="s">
        <v>143</v>
      </c>
      <c r="Q225" s="3" t="s">
        <v>172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43</v>
      </c>
      <c r="AC225" s="3" t="s">
        <v>66</v>
      </c>
    </row>
    <row r="226" spans="1:29" x14ac:dyDescent="0.3">
      <c r="A226" s="3">
        <v>207</v>
      </c>
      <c r="B226" s="3" t="s">
        <v>170</v>
      </c>
      <c r="C226" s="3" t="s">
        <v>142</v>
      </c>
      <c r="D226" s="3" t="s">
        <v>31</v>
      </c>
      <c r="E226" s="3" t="s">
        <v>171</v>
      </c>
      <c r="F226" s="5">
        <v>45291</v>
      </c>
      <c r="G226" s="3">
        <v>2023</v>
      </c>
      <c r="H226" s="3" t="s">
        <v>44</v>
      </c>
      <c r="I226" s="3" t="s">
        <v>49</v>
      </c>
      <c r="J226" s="3">
        <v>2</v>
      </c>
      <c r="K226" s="3">
        <v>238770.96657245801</v>
      </c>
      <c r="L226" s="3">
        <v>247359.733075</v>
      </c>
      <c r="M226" s="3">
        <f t="shared" si="47"/>
        <v>1.0359707322286005</v>
      </c>
      <c r="N226" s="3">
        <f t="shared" si="46"/>
        <v>1.0359707322286005</v>
      </c>
      <c r="O226" s="3" t="s">
        <v>143</v>
      </c>
      <c r="P226" s="3" t="s">
        <v>143</v>
      </c>
      <c r="Q226" s="3" t="s">
        <v>173</v>
      </c>
      <c r="R226" s="3">
        <v>0</v>
      </c>
      <c r="S226" s="3">
        <v>0</v>
      </c>
      <c r="T226" s="3" t="s">
        <v>31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43</v>
      </c>
      <c r="AC226" s="3" t="s">
        <v>66</v>
      </c>
    </row>
    <row r="227" spans="1:29" x14ac:dyDescent="0.3">
      <c r="A227" s="3">
        <v>207</v>
      </c>
      <c r="B227" s="3" t="s">
        <v>170</v>
      </c>
      <c r="C227" s="3" t="s">
        <v>142</v>
      </c>
      <c r="D227" s="3" t="s">
        <v>31</v>
      </c>
      <c r="E227" s="3" t="s">
        <v>171</v>
      </c>
      <c r="F227" s="5">
        <v>45291</v>
      </c>
      <c r="G227" s="3">
        <v>2023</v>
      </c>
      <c r="H227" s="3" t="s">
        <v>44</v>
      </c>
      <c r="I227" s="3" t="s">
        <v>49</v>
      </c>
      <c r="J227" s="3"/>
      <c r="K227" s="3">
        <v>238770.96657245801</v>
      </c>
      <c r="L227" s="3">
        <v>247359.73307500011</v>
      </c>
      <c r="M227" s="3">
        <f t="shared" si="47"/>
        <v>1.0359707322286009</v>
      </c>
      <c r="N227" s="3">
        <f t="shared" si="46"/>
        <v>1.0359707322286009</v>
      </c>
      <c r="O227" s="3" t="s">
        <v>143</v>
      </c>
      <c r="P227" s="3" t="s">
        <v>143</v>
      </c>
      <c r="Q227" s="3" t="s">
        <v>173</v>
      </c>
      <c r="R227" s="3">
        <v>0</v>
      </c>
      <c r="S227" s="3">
        <v>0</v>
      </c>
      <c r="T227" s="3" t="s">
        <v>443</v>
      </c>
      <c r="U227" s="3" t="s">
        <v>37</v>
      </c>
      <c r="V227" s="3" t="s">
        <v>142</v>
      </c>
      <c r="W227" s="3" t="s">
        <v>145</v>
      </c>
      <c r="X227" s="3" t="s">
        <v>146</v>
      </c>
      <c r="Y227" s="3" t="s">
        <v>147</v>
      </c>
      <c r="Z227" s="3" t="s">
        <v>63</v>
      </c>
      <c r="AA227" s="3" t="s">
        <v>148</v>
      </c>
      <c r="AB227" s="3" t="s">
        <v>43</v>
      </c>
      <c r="AC227" s="3" t="s">
        <v>66</v>
      </c>
    </row>
    <row r="228" spans="1:29" x14ac:dyDescent="0.3">
      <c r="A228" s="3">
        <v>207</v>
      </c>
      <c r="B228" s="3" t="s">
        <v>170</v>
      </c>
      <c r="C228" s="3" t="s">
        <v>142</v>
      </c>
      <c r="D228" s="3" t="s">
        <v>31</v>
      </c>
      <c r="E228" s="3" t="s">
        <v>171</v>
      </c>
      <c r="F228" s="5">
        <v>45473</v>
      </c>
      <c r="G228" s="3">
        <v>2024</v>
      </c>
      <c r="H228" s="3" t="s">
        <v>33</v>
      </c>
      <c r="I228" s="3" t="s">
        <v>51</v>
      </c>
      <c r="J228" s="3">
        <v>1</v>
      </c>
      <c r="K228" s="3">
        <v>128735.29679399999</v>
      </c>
      <c r="L228" s="3">
        <v>131039.3223</v>
      </c>
      <c r="M228" s="3">
        <f t="shared" si="47"/>
        <v>1.0178973876114712</v>
      </c>
      <c r="N228" s="3">
        <f t="shared" si="46"/>
        <v>1.0178973876114712</v>
      </c>
      <c r="O228" s="3" t="s">
        <v>143</v>
      </c>
      <c r="P228" s="3" t="s">
        <v>143</v>
      </c>
      <c r="Q228" s="3" t="s">
        <v>174</v>
      </c>
      <c r="R228" s="3">
        <v>0</v>
      </c>
      <c r="S228" s="3">
        <v>0</v>
      </c>
      <c r="T228" s="3" t="s">
        <v>31</v>
      </c>
      <c r="U228" s="3" t="s">
        <v>37</v>
      </c>
      <c r="V228" s="3" t="s">
        <v>142</v>
      </c>
      <c r="W228" s="3" t="s">
        <v>145</v>
      </c>
      <c r="X228" s="3" t="s">
        <v>146</v>
      </c>
      <c r="Y228" s="3" t="s">
        <v>147</v>
      </c>
      <c r="Z228" s="3" t="s">
        <v>63</v>
      </c>
      <c r="AA228" s="3" t="s">
        <v>148</v>
      </c>
      <c r="AB228" s="3" t="s">
        <v>43</v>
      </c>
      <c r="AC228" s="3" t="s">
        <v>66</v>
      </c>
    </row>
    <row r="229" spans="1:29" x14ac:dyDescent="0.3">
      <c r="A229" s="3">
        <v>207</v>
      </c>
      <c r="B229" s="3" t="s">
        <v>170</v>
      </c>
      <c r="C229" s="3" t="s">
        <v>142</v>
      </c>
      <c r="D229" s="3" t="s">
        <v>31</v>
      </c>
      <c r="E229" s="3" t="s">
        <v>171</v>
      </c>
      <c r="F229" s="5">
        <v>45657</v>
      </c>
      <c r="G229" s="3">
        <v>2024</v>
      </c>
      <c r="H229" s="3" t="s">
        <v>44</v>
      </c>
      <c r="I229" s="3" t="s">
        <v>53</v>
      </c>
      <c r="J229" s="3">
        <v>2</v>
      </c>
      <c r="K229" s="3">
        <v>262628.34438982193</v>
      </c>
      <c r="L229" s="3">
        <v>268399.19981700002</v>
      </c>
      <c r="M229" s="3">
        <f t="shared" si="47"/>
        <v>1.0219734676414529</v>
      </c>
      <c r="N229" s="3">
        <f t="shared" si="46"/>
        <v>1.0219734676414529</v>
      </c>
      <c r="O229" s="3" t="s">
        <v>143</v>
      </c>
      <c r="P229" s="3" t="s">
        <v>143</v>
      </c>
      <c r="Q229" s="3" t="s">
        <v>175</v>
      </c>
      <c r="R229" s="3">
        <v>0</v>
      </c>
      <c r="S229" s="3">
        <v>0</v>
      </c>
      <c r="T229" s="3" t="s">
        <v>31</v>
      </c>
      <c r="U229" s="3" t="s">
        <v>37</v>
      </c>
      <c r="V229" s="3" t="s">
        <v>142</v>
      </c>
      <c r="W229" s="3" t="s">
        <v>145</v>
      </c>
      <c r="X229" s="3" t="s">
        <v>146</v>
      </c>
      <c r="Y229" s="3" t="s">
        <v>147</v>
      </c>
      <c r="Z229" s="3" t="s">
        <v>63</v>
      </c>
      <c r="AA229" s="3" t="s">
        <v>148</v>
      </c>
      <c r="AB229" s="3" t="s">
        <v>43</v>
      </c>
      <c r="AC229" s="3" t="s">
        <v>66</v>
      </c>
    </row>
    <row r="230" spans="1:29" x14ac:dyDescent="0.3">
      <c r="A230" s="3">
        <v>207</v>
      </c>
      <c r="B230" s="3" t="s">
        <v>170</v>
      </c>
      <c r="C230" s="3" t="s">
        <v>142</v>
      </c>
      <c r="D230" s="3" t="s">
        <v>31</v>
      </c>
      <c r="E230" s="3" t="s">
        <v>171</v>
      </c>
      <c r="F230" s="5">
        <v>45657</v>
      </c>
      <c r="G230" s="3">
        <v>2024</v>
      </c>
      <c r="H230" s="3" t="s">
        <v>44</v>
      </c>
      <c r="I230" s="3" t="s">
        <v>53</v>
      </c>
      <c r="J230" s="3"/>
      <c r="K230" s="3">
        <v>262628.34438999998</v>
      </c>
      <c r="L230" s="3">
        <v>268399.19981700002</v>
      </c>
      <c r="M230" s="3">
        <f t="shared" si="47"/>
        <v>1.0219734676407599</v>
      </c>
      <c r="N230" s="3">
        <f t="shared" si="46"/>
        <v>1.0219734676407599</v>
      </c>
      <c r="O230" s="3" t="s">
        <v>143</v>
      </c>
      <c r="P230" s="3" t="s">
        <v>143</v>
      </c>
      <c r="Q230" s="3" t="s">
        <v>175</v>
      </c>
      <c r="R230" s="3">
        <v>0</v>
      </c>
      <c r="S230" s="3">
        <v>0</v>
      </c>
      <c r="T230" s="3" t="s">
        <v>443</v>
      </c>
      <c r="U230" s="3" t="s">
        <v>37</v>
      </c>
      <c r="V230" s="3" t="s">
        <v>142</v>
      </c>
      <c r="W230" s="3" t="s">
        <v>145</v>
      </c>
      <c r="X230" s="3" t="s">
        <v>146</v>
      </c>
      <c r="Y230" s="3" t="s">
        <v>147</v>
      </c>
      <c r="Z230" s="3" t="s">
        <v>63</v>
      </c>
      <c r="AA230" s="3" t="s">
        <v>148</v>
      </c>
      <c r="AB230" s="3" t="s">
        <v>43</v>
      </c>
      <c r="AC230" s="3" t="s">
        <v>66</v>
      </c>
    </row>
    <row r="231" spans="1:29" x14ac:dyDescent="0.3">
      <c r="A231" s="3">
        <v>207</v>
      </c>
      <c r="B231" s="3" t="s">
        <v>170</v>
      </c>
      <c r="C231" s="3" t="s">
        <v>142</v>
      </c>
      <c r="D231" s="3" t="s">
        <v>31</v>
      </c>
      <c r="E231" s="3" t="s">
        <v>171</v>
      </c>
      <c r="F231" s="5">
        <v>45838</v>
      </c>
      <c r="G231" s="3">
        <v>2025</v>
      </c>
      <c r="H231" s="3" t="s">
        <v>33</v>
      </c>
      <c r="I231" s="3" t="s">
        <v>404</v>
      </c>
      <c r="J231" s="3">
        <v>1</v>
      </c>
      <c r="K231" s="3">
        <v>131244.07283600001</v>
      </c>
      <c r="L231" s="3">
        <v>145546.91852800001</v>
      </c>
      <c r="M231" s="3">
        <f t="shared" si="47"/>
        <v>1.1089789838347408</v>
      </c>
      <c r="N231" s="3">
        <f t="shared" si="46"/>
        <v>1.1089789838347408</v>
      </c>
      <c r="O231" s="3" t="s">
        <v>143</v>
      </c>
      <c r="P231" s="3" t="s">
        <v>143</v>
      </c>
      <c r="Q231" s="3" t="s">
        <v>427</v>
      </c>
      <c r="R231" s="3">
        <v>0</v>
      </c>
      <c r="S231" s="3">
        <v>0</v>
      </c>
      <c r="T231" s="3" t="s">
        <v>31</v>
      </c>
      <c r="U231" s="3" t="s">
        <v>37</v>
      </c>
      <c r="V231" s="3" t="s">
        <v>142</v>
      </c>
      <c r="W231" s="3" t="s">
        <v>145</v>
      </c>
      <c r="X231" s="3" t="s">
        <v>146</v>
      </c>
      <c r="Y231" s="3" t="s">
        <v>147</v>
      </c>
      <c r="Z231" s="3" t="s">
        <v>63</v>
      </c>
      <c r="AA231" s="3" t="s">
        <v>148</v>
      </c>
      <c r="AB231" s="3" t="s">
        <v>43</v>
      </c>
      <c r="AC231" s="3" t="s">
        <v>66</v>
      </c>
    </row>
    <row r="232" spans="1:29" x14ac:dyDescent="0.3">
      <c r="A232" s="3">
        <v>207</v>
      </c>
      <c r="B232" s="3" t="s">
        <v>170</v>
      </c>
      <c r="C232" s="3" t="s">
        <v>142</v>
      </c>
      <c r="D232" s="3" t="s">
        <v>31</v>
      </c>
      <c r="E232" s="3" t="s">
        <v>171</v>
      </c>
      <c r="F232" s="5">
        <v>46022</v>
      </c>
      <c r="G232" s="3">
        <v>2025</v>
      </c>
      <c r="H232" s="3" t="s">
        <v>44</v>
      </c>
      <c r="I232" s="3" t="s">
        <v>465</v>
      </c>
      <c r="J232" s="3">
        <v>2</v>
      </c>
      <c r="K232" s="3">
        <v>277178.213544</v>
      </c>
      <c r="L232" s="3">
        <f>170629020928/1000000</f>
        <v>170629.02092800001</v>
      </c>
      <c r="M232" s="3">
        <f t="shared" si="47"/>
        <v>0.6155931909161898</v>
      </c>
      <c r="N232" s="3">
        <f t="shared" si="46"/>
        <v>0.6155931909161898</v>
      </c>
      <c r="O232" s="3" t="s">
        <v>143</v>
      </c>
      <c r="P232" s="3" t="s">
        <v>143</v>
      </c>
      <c r="Q232" s="3" t="s">
        <v>502</v>
      </c>
      <c r="R232" s="3">
        <v>0</v>
      </c>
      <c r="S232" s="3">
        <v>0</v>
      </c>
      <c r="T232" s="3" t="s">
        <v>31</v>
      </c>
      <c r="U232" s="3" t="s">
        <v>37</v>
      </c>
      <c r="V232" s="3" t="s">
        <v>142</v>
      </c>
      <c r="W232" s="3" t="s">
        <v>145</v>
      </c>
      <c r="X232" s="3" t="s">
        <v>146</v>
      </c>
      <c r="Y232" s="3" t="s">
        <v>147</v>
      </c>
      <c r="Z232" s="3" t="s">
        <v>63</v>
      </c>
      <c r="AA232" s="3" t="s">
        <v>148</v>
      </c>
      <c r="AB232" s="3" t="s">
        <v>43</v>
      </c>
      <c r="AC232" s="3" t="s">
        <v>66</v>
      </c>
    </row>
    <row r="233" spans="1:29" x14ac:dyDescent="0.3">
      <c r="A233" s="3">
        <v>228</v>
      </c>
      <c r="B233" s="3" t="s">
        <v>176</v>
      </c>
      <c r="C233" s="3" t="s">
        <v>177</v>
      </c>
      <c r="D233" s="3" t="s">
        <v>66</v>
      </c>
      <c r="E233" s="3" t="s">
        <v>32</v>
      </c>
      <c r="F233" s="5">
        <v>44926</v>
      </c>
      <c r="G233" s="3">
        <v>2022</v>
      </c>
      <c r="H233" s="3" t="s">
        <v>44</v>
      </c>
      <c r="I233" s="3" t="s">
        <v>45</v>
      </c>
      <c r="J233" s="3">
        <v>2</v>
      </c>
      <c r="K233" s="3">
        <v>170.99</v>
      </c>
      <c r="L233" s="3">
        <v>235</v>
      </c>
      <c r="M233" s="3">
        <f>+L233/K233</f>
        <v>1.3743493771565587</v>
      </c>
      <c r="N233" s="3">
        <f>+L233/K233</f>
        <v>1.3743493771565587</v>
      </c>
      <c r="O233" s="3" t="s">
        <v>445</v>
      </c>
      <c r="P233" s="3" t="s">
        <v>445</v>
      </c>
      <c r="Q233" s="3" t="s">
        <v>178</v>
      </c>
      <c r="R233" s="3">
        <v>1</v>
      </c>
      <c r="S233" s="3">
        <v>0</v>
      </c>
      <c r="T233" s="3" t="s">
        <v>31</v>
      </c>
      <c r="U233" s="3" t="s">
        <v>37</v>
      </c>
      <c r="V233" s="3" t="s">
        <v>177</v>
      </c>
      <c r="W233" s="3" t="s">
        <v>145</v>
      </c>
      <c r="X233" s="3" t="s">
        <v>179</v>
      </c>
      <c r="Y233" s="3" t="s">
        <v>180</v>
      </c>
      <c r="Z233" s="3" t="s">
        <v>63</v>
      </c>
      <c r="AA233" s="3" t="s">
        <v>64</v>
      </c>
      <c r="AB233" s="3" t="s">
        <v>43</v>
      </c>
      <c r="AC233" s="3" t="s">
        <v>66</v>
      </c>
    </row>
    <row r="234" spans="1:29" x14ac:dyDescent="0.3">
      <c r="A234" s="3">
        <v>228</v>
      </c>
      <c r="B234" s="3" t="s">
        <v>176</v>
      </c>
      <c r="C234" s="3" t="s">
        <v>177</v>
      </c>
      <c r="D234" s="3" t="s">
        <v>66</v>
      </c>
      <c r="E234" s="3" t="s">
        <v>32</v>
      </c>
      <c r="F234" s="5">
        <v>44926</v>
      </c>
      <c r="G234" s="3">
        <v>2022</v>
      </c>
      <c r="H234" s="3" t="s">
        <v>44</v>
      </c>
      <c r="I234" s="3" t="s">
        <v>45</v>
      </c>
      <c r="J234" s="3"/>
      <c r="K234" s="3">
        <v>170.99</v>
      </c>
      <c r="L234" s="3">
        <v>235</v>
      </c>
      <c r="M234" s="3">
        <f t="shared" ref="M234:M238" si="48">+L234/K234</f>
        <v>1.3743493771565587</v>
      </c>
      <c r="N234" s="3">
        <f t="shared" ref="N234:N238" si="49">+L234/K234</f>
        <v>1.3743493771565587</v>
      </c>
      <c r="O234" s="3" t="s">
        <v>445</v>
      </c>
      <c r="P234" s="3" t="s">
        <v>445</v>
      </c>
      <c r="Q234" s="3" t="s">
        <v>178</v>
      </c>
      <c r="R234" s="3">
        <v>1</v>
      </c>
      <c r="S234" s="3">
        <v>0</v>
      </c>
      <c r="T234" s="3" t="s">
        <v>443</v>
      </c>
      <c r="U234" s="3" t="s">
        <v>37</v>
      </c>
      <c r="V234" s="3" t="s">
        <v>177</v>
      </c>
      <c r="W234" s="3" t="s">
        <v>145</v>
      </c>
      <c r="X234" s="3" t="s">
        <v>179</v>
      </c>
      <c r="Y234" s="3" t="s">
        <v>180</v>
      </c>
      <c r="Z234" s="3" t="s">
        <v>63</v>
      </c>
      <c r="AA234" s="3" t="s">
        <v>64</v>
      </c>
      <c r="AB234" s="3" t="s">
        <v>43</v>
      </c>
      <c r="AC234" s="3" t="s">
        <v>66</v>
      </c>
    </row>
    <row r="235" spans="1:29" x14ac:dyDescent="0.3">
      <c r="A235" s="3">
        <v>228</v>
      </c>
      <c r="B235" s="3" t="s">
        <v>176</v>
      </c>
      <c r="C235" s="3" t="s">
        <v>177</v>
      </c>
      <c r="D235" s="3" t="s">
        <v>66</v>
      </c>
      <c r="E235" s="3" t="s">
        <v>32</v>
      </c>
      <c r="F235" s="5">
        <v>45291</v>
      </c>
      <c r="G235" s="3">
        <v>2023</v>
      </c>
      <c r="H235" s="3" t="s">
        <v>44</v>
      </c>
      <c r="I235" s="3" t="s">
        <v>49</v>
      </c>
      <c r="J235" s="3">
        <v>2</v>
      </c>
      <c r="K235" s="3">
        <v>476.48</v>
      </c>
      <c r="L235" s="3">
        <v>477</v>
      </c>
      <c r="M235" s="3">
        <f t="shared" si="48"/>
        <v>1.0010913364674279</v>
      </c>
      <c r="N235" s="3">
        <f t="shared" si="49"/>
        <v>1.0010913364674279</v>
      </c>
      <c r="O235" s="3" t="s">
        <v>445</v>
      </c>
      <c r="P235" s="3" t="s">
        <v>445</v>
      </c>
      <c r="Q235" s="3" t="s">
        <v>453</v>
      </c>
      <c r="R235" s="3">
        <v>1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</row>
    <row r="236" spans="1:29" x14ac:dyDescent="0.3">
      <c r="A236" s="3">
        <v>228</v>
      </c>
      <c r="B236" s="3" t="s">
        <v>176</v>
      </c>
      <c r="C236" s="3" t="s">
        <v>177</v>
      </c>
      <c r="D236" s="3" t="s">
        <v>66</v>
      </c>
      <c r="E236" s="3" t="s">
        <v>32</v>
      </c>
      <c r="F236" s="5">
        <v>45657</v>
      </c>
      <c r="G236" s="3">
        <v>2023</v>
      </c>
      <c r="H236" s="3" t="s">
        <v>44</v>
      </c>
      <c r="I236" s="3" t="s">
        <v>49</v>
      </c>
      <c r="J236" s="3"/>
      <c r="K236" s="3">
        <v>476.48</v>
      </c>
      <c r="L236" s="3">
        <v>477</v>
      </c>
      <c r="M236" s="3">
        <f t="shared" si="48"/>
        <v>1.0010913364674279</v>
      </c>
      <c r="N236" s="3">
        <f t="shared" si="49"/>
        <v>1.0010913364674279</v>
      </c>
      <c r="O236" s="3" t="s">
        <v>445</v>
      </c>
      <c r="P236" s="3" t="s">
        <v>445</v>
      </c>
      <c r="Q236" s="3" t="s">
        <v>453</v>
      </c>
      <c r="R236" s="3">
        <v>1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</row>
    <row r="237" spans="1:29" x14ac:dyDescent="0.3">
      <c r="A237" s="3">
        <v>228</v>
      </c>
      <c r="B237" s="3" t="s">
        <v>176</v>
      </c>
      <c r="C237" s="3" t="s">
        <v>177</v>
      </c>
      <c r="D237" s="3" t="s">
        <v>66</v>
      </c>
      <c r="E237" s="3" t="s">
        <v>32</v>
      </c>
      <c r="F237" s="5">
        <v>45657</v>
      </c>
      <c r="G237" s="3">
        <v>2024</v>
      </c>
      <c r="H237" s="3" t="s">
        <v>44</v>
      </c>
      <c r="I237" s="3" t="s">
        <v>53</v>
      </c>
      <c r="J237" s="3">
        <v>2</v>
      </c>
      <c r="K237" s="3">
        <v>622.69000000000005</v>
      </c>
      <c r="L237" s="3">
        <v>622.68999999999994</v>
      </c>
      <c r="M237" s="3">
        <f t="shared" si="48"/>
        <v>0.99999999999999978</v>
      </c>
      <c r="N237" s="3">
        <f t="shared" si="49"/>
        <v>0.99999999999999978</v>
      </c>
      <c r="O237" s="3" t="s">
        <v>445</v>
      </c>
      <c r="P237" s="3" t="s">
        <v>445</v>
      </c>
      <c r="Q237" s="3" t="s">
        <v>181</v>
      </c>
      <c r="R237" s="3">
        <v>1</v>
      </c>
      <c r="S237" s="3">
        <v>1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</row>
    <row r="238" spans="1:29" x14ac:dyDescent="0.3">
      <c r="A238" s="3">
        <v>228</v>
      </c>
      <c r="B238" s="3" t="s">
        <v>176</v>
      </c>
      <c r="C238" s="3" t="s">
        <v>177</v>
      </c>
      <c r="D238" s="3" t="s">
        <v>66</v>
      </c>
      <c r="E238" s="3" t="s">
        <v>32</v>
      </c>
      <c r="F238" s="5">
        <v>45657</v>
      </c>
      <c r="G238" s="3">
        <v>2024</v>
      </c>
      <c r="H238" s="3" t="s">
        <v>44</v>
      </c>
      <c r="I238" s="3" t="s">
        <v>53</v>
      </c>
      <c r="J238" s="3"/>
      <c r="K238" s="3">
        <v>622.69000000000005</v>
      </c>
      <c r="L238" s="3">
        <v>622.68999999999994</v>
      </c>
      <c r="M238" s="3">
        <f t="shared" si="48"/>
        <v>0.99999999999999978</v>
      </c>
      <c r="N238" s="3">
        <f t="shared" si="49"/>
        <v>0.99999999999999978</v>
      </c>
      <c r="O238" s="3" t="s">
        <v>445</v>
      </c>
      <c r="P238" s="3" t="s">
        <v>445</v>
      </c>
      <c r="Q238" s="3" t="s">
        <v>181</v>
      </c>
      <c r="R238" s="3">
        <v>1</v>
      </c>
      <c r="S238" s="3">
        <v>1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</row>
    <row r="239" spans="1:29" x14ac:dyDescent="0.3">
      <c r="A239" s="3">
        <v>244</v>
      </c>
      <c r="B239" s="3" t="s">
        <v>182</v>
      </c>
      <c r="C239" s="3" t="s">
        <v>177</v>
      </c>
      <c r="D239" s="3" t="s">
        <v>66</v>
      </c>
      <c r="E239" s="3" t="s">
        <v>171</v>
      </c>
      <c r="F239" s="5">
        <v>44926</v>
      </c>
      <c r="G239" s="3">
        <v>2022</v>
      </c>
      <c r="H239" s="3" t="s">
        <v>44</v>
      </c>
      <c r="I239" s="3" t="s">
        <v>45</v>
      </c>
      <c r="J239" s="3">
        <v>2</v>
      </c>
      <c r="K239" s="3">
        <v>27</v>
      </c>
      <c r="L239" s="3">
        <v>27</v>
      </c>
      <c r="M239" s="3">
        <f>IF(K239/L239&gt;1.3,1.3,K239/L239)</f>
        <v>1</v>
      </c>
      <c r="N239" s="3">
        <f>+K239/L239</f>
        <v>1</v>
      </c>
      <c r="O239" s="3" t="s">
        <v>35</v>
      </c>
      <c r="P239" s="3" t="s">
        <v>35</v>
      </c>
      <c r="Q239" s="3" t="s">
        <v>446</v>
      </c>
      <c r="R239" s="3">
        <v>0</v>
      </c>
      <c r="S239" s="3">
        <v>0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</row>
    <row r="240" spans="1:29" x14ac:dyDescent="0.3">
      <c r="A240" s="3">
        <v>244</v>
      </c>
      <c r="B240" s="3" t="s">
        <v>182</v>
      </c>
      <c r="C240" s="3" t="s">
        <v>177</v>
      </c>
      <c r="D240" s="3" t="s">
        <v>66</v>
      </c>
      <c r="E240" s="3" t="s">
        <v>171</v>
      </c>
      <c r="F240" s="5">
        <v>44926</v>
      </c>
      <c r="G240" s="3">
        <v>2022</v>
      </c>
      <c r="H240" s="3" t="s">
        <v>44</v>
      </c>
      <c r="I240" s="3" t="s">
        <v>45</v>
      </c>
      <c r="J240" s="3"/>
      <c r="K240" s="3">
        <v>27</v>
      </c>
      <c r="L240" s="3">
        <v>27</v>
      </c>
      <c r="M240" s="3">
        <f t="shared" ref="M240:M245" si="50">IF(K240/L240&gt;1.3,1.3,K240/L240)</f>
        <v>1</v>
      </c>
      <c r="N240" s="3">
        <f t="shared" ref="N240:N245" si="51">+K240/L240</f>
        <v>1</v>
      </c>
      <c r="O240" s="3" t="s">
        <v>35</v>
      </c>
      <c r="P240" s="3" t="s">
        <v>35</v>
      </c>
      <c r="Q240" s="3" t="s">
        <v>446</v>
      </c>
      <c r="R240" s="3">
        <v>0</v>
      </c>
      <c r="S240" s="3">
        <v>0</v>
      </c>
      <c r="T240" s="3" t="s">
        <v>443</v>
      </c>
      <c r="U240" s="3" t="s">
        <v>37</v>
      </c>
      <c r="V240" s="3" t="s">
        <v>177</v>
      </c>
      <c r="W240" s="3" t="s">
        <v>145</v>
      </c>
      <c r="X240" s="3" t="s">
        <v>179</v>
      </c>
      <c r="Y240" s="3" t="s">
        <v>180</v>
      </c>
      <c r="Z240" s="3" t="s">
        <v>63</v>
      </c>
      <c r="AA240" s="3" t="s">
        <v>64</v>
      </c>
      <c r="AB240" s="3" t="s">
        <v>43</v>
      </c>
      <c r="AC240" s="3" t="s">
        <v>66</v>
      </c>
    </row>
    <row r="241" spans="1:29" x14ac:dyDescent="0.3">
      <c r="A241" s="3">
        <v>244</v>
      </c>
      <c r="B241" s="3" t="s">
        <v>182</v>
      </c>
      <c r="C241" s="3" t="s">
        <v>177</v>
      </c>
      <c r="D241" s="3" t="s">
        <v>66</v>
      </c>
      <c r="E241" s="3" t="s">
        <v>171</v>
      </c>
      <c r="F241" s="5">
        <v>45291</v>
      </c>
      <c r="G241" s="3">
        <v>2023</v>
      </c>
      <c r="H241" s="3" t="s">
        <v>44</v>
      </c>
      <c r="I241" s="3" t="s">
        <v>49</v>
      </c>
      <c r="J241" s="3">
        <v>2</v>
      </c>
      <c r="K241" s="3">
        <v>25</v>
      </c>
      <c r="L241" s="3">
        <v>24</v>
      </c>
      <c r="M241" s="3">
        <f t="shared" si="50"/>
        <v>1.0416666666666667</v>
      </c>
      <c r="N241" s="3">
        <f t="shared" si="51"/>
        <v>1.0416666666666667</v>
      </c>
      <c r="O241" s="3" t="s">
        <v>35</v>
      </c>
      <c r="P241" s="3" t="s">
        <v>35</v>
      </c>
      <c r="Q241" s="3" t="s">
        <v>183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177</v>
      </c>
      <c r="W241" s="3" t="s">
        <v>145</v>
      </c>
      <c r="X241" s="3" t="s">
        <v>179</v>
      </c>
      <c r="Y241" s="3" t="s">
        <v>180</v>
      </c>
      <c r="Z241" s="3" t="s">
        <v>63</v>
      </c>
      <c r="AA241" s="3" t="s">
        <v>64</v>
      </c>
      <c r="AB241" s="3" t="s">
        <v>43</v>
      </c>
      <c r="AC241" s="3" t="s">
        <v>66</v>
      </c>
    </row>
    <row r="242" spans="1:29" x14ac:dyDescent="0.3">
      <c r="A242" s="3">
        <v>244</v>
      </c>
      <c r="B242" s="3" t="s">
        <v>182</v>
      </c>
      <c r="C242" s="3" t="s">
        <v>177</v>
      </c>
      <c r="D242" s="3" t="s">
        <v>66</v>
      </c>
      <c r="E242" s="3" t="s">
        <v>171</v>
      </c>
      <c r="F242" s="5">
        <v>45291</v>
      </c>
      <c r="G242" s="3">
        <v>2023</v>
      </c>
      <c r="H242" s="3" t="s">
        <v>44</v>
      </c>
      <c r="I242" s="3" t="s">
        <v>49</v>
      </c>
      <c r="J242" s="3"/>
      <c r="K242" s="3">
        <v>25</v>
      </c>
      <c r="L242" s="3">
        <v>24</v>
      </c>
      <c r="M242" s="3">
        <f t="shared" si="50"/>
        <v>1.0416666666666667</v>
      </c>
      <c r="N242" s="3">
        <f t="shared" si="51"/>
        <v>1.0416666666666667</v>
      </c>
      <c r="O242" s="3" t="s">
        <v>35</v>
      </c>
      <c r="P242" s="3" t="s">
        <v>35</v>
      </c>
      <c r="Q242" s="3" t="s">
        <v>183</v>
      </c>
      <c r="R242" s="3">
        <v>0</v>
      </c>
      <c r="S242" s="3">
        <v>0</v>
      </c>
      <c r="T242" s="3" t="s">
        <v>443</v>
      </c>
      <c r="U242" s="3" t="s">
        <v>37</v>
      </c>
      <c r="V242" s="3" t="s">
        <v>177</v>
      </c>
      <c r="W242" s="3" t="s">
        <v>145</v>
      </c>
      <c r="X242" s="3" t="s">
        <v>179</v>
      </c>
      <c r="Y242" s="3" t="s">
        <v>180</v>
      </c>
      <c r="Z242" s="3" t="s">
        <v>63</v>
      </c>
      <c r="AA242" s="3" t="s">
        <v>64</v>
      </c>
      <c r="AB242" s="3" t="s">
        <v>43</v>
      </c>
      <c r="AC242" s="3" t="s">
        <v>66</v>
      </c>
    </row>
    <row r="243" spans="1:29" x14ac:dyDescent="0.3">
      <c r="A243" s="3">
        <v>244</v>
      </c>
      <c r="B243" s="3" t="s">
        <v>182</v>
      </c>
      <c r="C243" s="3" t="s">
        <v>177</v>
      </c>
      <c r="D243" s="3" t="s">
        <v>66</v>
      </c>
      <c r="E243" s="3" t="s">
        <v>171</v>
      </c>
      <c r="F243" s="5">
        <v>45657</v>
      </c>
      <c r="G243" s="3">
        <v>2024</v>
      </c>
      <c r="H243" s="3" t="s">
        <v>44</v>
      </c>
      <c r="I243" s="3" t="s">
        <v>53</v>
      </c>
      <c r="J243" s="3">
        <v>2</v>
      </c>
      <c r="K243" s="3">
        <v>25</v>
      </c>
      <c r="L243" s="3">
        <v>25</v>
      </c>
      <c r="M243" s="3">
        <f t="shared" si="50"/>
        <v>1</v>
      </c>
      <c r="N243" s="3">
        <f t="shared" si="51"/>
        <v>1</v>
      </c>
      <c r="O243" s="3" t="s">
        <v>35</v>
      </c>
      <c r="P243" s="3" t="s">
        <v>35</v>
      </c>
      <c r="Q243" s="3" t="s">
        <v>184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177</v>
      </c>
      <c r="W243" s="3" t="s">
        <v>145</v>
      </c>
      <c r="X243" s="3" t="s">
        <v>179</v>
      </c>
      <c r="Y243" s="3" t="s">
        <v>180</v>
      </c>
      <c r="Z243" s="3" t="s">
        <v>63</v>
      </c>
      <c r="AA243" s="3" t="s">
        <v>64</v>
      </c>
      <c r="AB243" s="3" t="s">
        <v>43</v>
      </c>
      <c r="AC243" s="3" t="s">
        <v>66</v>
      </c>
    </row>
    <row r="244" spans="1:29" x14ac:dyDescent="0.3">
      <c r="A244" s="3">
        <v>244</v>
      </c>
      <c r="B244" s="3" t="s">
        <v>182</v>
      </c>
      <c r="C244" s="3" t="s">
        <v>177</v>
      </c>
      <c r="D244" s="3" t="s">
        <v>66</v>
      </c>
      <c r="E244" s="3" t="s">
        <v>171</v>
      </c>
      <c r="F244" s="5">
        <v>45657</v>
      </c>
      <c r="G244" s="3">
        <v>2024</v>
      </c>
      <c r="H244" s="3" t="s">
        <v>44</v>
      </c>
      <c r="I244" s="3" t="s">
        <v>53</v>
      </c>
      <c r="J244" s="3"/>
      <c r="K244" s="3">
        <v>25</v>
      </c>
      <c r="L244" s="3">
        <v>25</v>
      </c>
      <c r="M244" s="3">
        <f t="shared" si="50"/>
        <v>1</v>
      </c>
      <c r="N244" s="3">
        <f t="shared" si="51"/>
        <v>1</v>
      </c>
      <c r="O244" s="3" t="s">
        <v>35</v>
      </c>
      <c r="P244" s="3" t="s">
        <v>35</v>
      </c>
      <c r="Q244" s="3" t="s">
        <v>184</v>
      </c>
      <c r="R244" s="3">
        <v>0</v>
      </c>
      <c r="S244" s="3">
        <v>0</v>
      </c>
      <c r="T244" s="3" t="s">
        <v>443</v>
      </c>
      <c r="U244" s="3" t="s">
        <v>37</v>
      </c>
      <c r="V244" s="3" t="s">
        <v>177</v>
      </c>
      <c r="W244" s="3" t="s">
        <v>145</v>
      </c>
      <c r="X244" s="3" t="s">
        <v>179</v>
      </c>
      <c r="Y244" s="3" t="s">
        <v>180</v>
      </c>
      <c r="Z244" s="3" t="s">
        <v>63</v>
      </c>
      <c r="AA244" s="3" t="s">
        <v>64</v>
      </c>
      <c r="AB244" s="3" t="s">
        <v>43</v>
      </c>
      <c r="AC244" s="3" t="s">
        <v>66</v>
      </c>
    </row>
    <row r="245" spans="1:29" x14ac:dyDescent="0.3">
      <c r="A245" s="3">
        <v>244</v>
      </c>
      <c r="B245" s="3" t="s">
        <v>182</v>
      </c>
      <c r="C245" s="3" t="s">
        <v>177</v>
      </c>
      <c r="D245" s="3" t="s">
        <v>66</v>
      </c>
      <c r="E245" s="3" t="s">
        <v>171</v>
      </c>
      <c r="F245" s="5">
        <v>46022</v>
      </c>
      <c r="G245" s="3">
        <v>2025</v>
      </c>
      <c r="H245" s="3" t="s">
        <v>44</v>
      </c>
      <c r="I245" s="3" t="s">
        <v>465</v>
      </c>
      <c r="J245" s="3">
        <v>2</v>
      </c>
      <c r="K245" s="3">
        <v>25</v>
      </c>
      <c r="L245" s="3">
        <v>13</v>
      </c>
      <c r="M245" s="3">
        <f t="shared" si="50"/>
        <v>1.3</v>
      </c>
      <c r="N245" s="3">
        <f t="shared" si="51"/>
        <v>1.9230769230769231</v>
      </c>
      <c r="O245" s="3" t="s">
        <v>35</v>
      </c>
      <c r="P245" s="3" t="s">
        <v>35</v>
      </c>
      <c r="Q245" s="3" t="s">
        <v>501</v>
      </c>
      <c r="R245" s="3">
        <v>0</v>
      </c>
      <c r="S245" s="3">
        <v>0</v>
      </c>
      <c r="T245" s="3" t="s">
        <v>31</v>
      </c>
      <c r="U245" s="3" t="s">
        <v>37</v>
      </c>
      <c r="V245" s="3" t="s">
        <v>177</v>
      </c>
      <c r="W245" s="3" t="s">
        <v>145</v>
      </c>
      <c r="X245" s="3" t="s">
        <v>179</v>
      </c>
      <c r="Y245" s="3" t="s">
        <v>180</v>
      </c>
      <c r="Z245" s="3" t="s">
        <v>63</v>
      </c>
      <c r="AA245" s="3" t="s">
        <v>64</v>
      </c>
      <c r="AB245" s="3" t="s">
        <v>43</v>
      </c>
      <c r="AC245" s="3" t="s">
        <v>66</v>
      </c>
    </row>
    <row r="246" spans="1:29" x14ac:dyDescent="0.3">
      <c r="A246" s="3">
        <v>245</v>
      </c>
      <c r="B246" s="3" t="s">
        <v>185</v>
      </c>
      <c r="C246" s="3" t="s">
        <v>186</v>
      </c>
      <c r="D246" s="3" t="s">
        <v>31</v>
      </c>
      <c r="E246" s="3" t="s">
        <v>32</v>
      </c>
      <c r="F246" s="5">
        <v>44742</v>
      </c>
      <c r="G246" s="3">
        <v>2022</v>
      </c>
      <c r="H246" s="3" t="s">
        <v>33</v>
      </c>
      <c r="I246" s="3" t="s">
        <v>34</v>
      </c>
      <c r="J246" s="3">
        <v>1</v>
      </c>
      <c r="K246" s="3">
        <v>88.5</v>
      </c>
      <c r="L246" s="3">
        <v>87</v>
      </c>
      <c r="M246" s="3">
        <f>+L246/K246</f>
        <v>0.98305084745762716</v>
      </c>
      <c r="N246" s="3">
        <f>+L246/K246</f>
        <v>0.98305084745762716</v>
      </c>
      <c r="O246" s="3" t="s">
        <v>58</v>
      </c>
      <c r="P246" s="3" t="s">
        <v>58</v>
      </c>
      <c r="Q246" s="3" t="s">
        <v>187</v>
      </c>
      <c r="R246" s="3">
        <v>0</v>
      </c>
      <c r="S246" s="3">
        <v>0</v>
      </c>
      <c r="T246" s="3" t="s">
        <v>31</v>
      </c>
      <c r="U246" s="3" t="s">
        <v>37</v>
      </c>
      <c r="V246" s="3" t="s">
        <v>186</v>
      </c>
      <c r="W246" s="3" t="s">
        <v>112</v>
      </c>
      <c r="X246" s="3" t="s">
        <v>113</v>
      </c>
      <c r="Y246" s="3" t="s">
        <v>123</v>
      </c>
      <c r="Z246" s="3" t="s">
        <v>41</v>
      </c>
      <c r="AA246" s="3" t="s">
        <v>42</v>
      </c>
      <c r="AB246" s="3" t="s">
        <v>65</v>
      </c>
      <c r="AC246" s="3" t="s">
        <v>31</v>
      </c>
    </row>
    <row r="247" spans="1:29" x14ac:dyDescent="0.3">
      <c r="A247" s="3">
        <v>245</v>
      </c>
      <c r="B247" s="3" t="s">
        <v>185</v>
      </c>
      <c r="C247" s="3" t="s">
        <v>186</v>
      </c>
      <c r="D247" s="3" t="s">
        <v>31</v>
      </c>
      <c r="E247" s="3" t="s">
        <v>32</v>
      </c>
      <c r="F247" s="5">
        <v>44926</v>
      </c>
      <c r="G247" s="3">
        <v>2022</v>
      </c>
      <c r="H247" s="3" t="s">
        <v>44</v>
      </c>
      <c r="I247" s="3" t="s">
        <v>45</v>
      </c>
      <c r="J247" s="3">
        <v>2</v>
      </c>
      <c r="K247" s="3">
        <v>88.5</v>
      </c>
      <c r="L247" s="3">
        <v>85.9</v>
      </c>
      <c r="M247" s="3">
        <f t="shared" ref="M247:M256" si="52">+L247/K247</f>
        <v>0.97062146892655377</v>
      </c>
      <c r="N247" s="3">
        <f t="shared" ref="N247:N256" si="53">+L247/K247</f>
        <v>0.97062146892655377</v>
      </c>
      <c r="O247" s="3" t="s">
        <v>58</v>
      </c>
      <c r="P247" s="3" t="s">
        <v>58</v>
      </c>
      <c r="Q247" s="3" t="s">
        <v>188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186</v>
      </c>
      <c r="W247" s="3" t="s">
        <v>112</v>
      </c>
      <c r="X247" s="3" t="s">
        <v>113</v>
      </c>
      <c r="Y247" s="3" t="s">
        <v>123</v>
      </c>
      <c r="Z247" s="3" t="s">
        <v>41</v>
      </c>
      <c r="AA247" s="3" t="s">
        <v>42</v>
      </c>
      <c r="AB247" s="3" t="s">
        <v>65</v>
      </c>
      <c r="AC247" s="3" t="s">
        <v>31</v>
      </c>
    </row>
    <row r="248" spans="1:29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5">
        <v>44926</v>
      </c>
      <c r="G248" s="3">
        <v>2022</v>
      </c>
      <c r="H248" s="3" t="s">
        <v>44</v>
      </c>
      <c r="I248" s="3" t="s">
        <v>45</v>
      </c>
      <c r="J248" s="3"/>
      <c r="K248" s="3">
        <v>88.5</v>
      </c>
      <c r="L248" s="3">
        <v>85.9</v>
      </c>
      <c r="M248" s="3">
        <f t="shared" si="52"/>
        <v>0.97062146892655377</v>
      </c>
      <c r="N248" s="3">
        <f t="shared" si="53"/>
        <v>0.97062146892655377</v>
      </c>
      <c r="O248" s="3" t="s">
        <v>58</v>
      </c>
      <c r="P248" s="3" t="s">
        <v>58</v>
      </c>
      <c r="Q248" s="3" t="s">
        <v>188</v>
      </c>
      <c r="R248" s="3">
        <v>1</v>
      </c>
      <c r="S248" s="3">
        <v>0</v>
      </c>
      <c r="T248" s="3" t="s">
        <v>443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</row>
    <row r="249" spans="1:29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5">
        <v>45107</v>
      </c>
      <c r="G249" s="3">
        <v>2023</v>
      </c>
      <c r="H249" s="3" t="s">
        <v>33</v>
      </c>
      <c r="I249" s="3" t="s">
        <v>47</v>
      </c>
      <c r="J249" s="3">
        <v>1</v>
      </c>
      <c r="K249" s="3">
        <v>87</v>
      </c>
      <c r="L249" s="3">
        <v>85.12</v>
      </c>
      <c r="M249" s="3">
        <f t="shared" si="52"/>
        <v>0.97839080459770122</v>
      </c>
      <c r="N249" s="3">
        <f t="shared" si="53"/>
        <v>0.97839080459770122</v>
      </c>
      <c r="O249" s="3" t="s">
        <v>58</v>
      </c>
      <c r="P249" s="3" t="s">
        <v>58</v>
      </c>
      <c r="Q249" s="3" t="s">
        <v>189</v>
      </c>
      <c r="R249" s="3">
        <v>0</v>
      </c>
      <c r="S249" s="3">
        <v>0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</row>
    <row r="250" spans="1:29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5">
        <v>45291</v>
      </c>
      <c r="G250" s="3">
        <v>2023</v>
      </c>
      <c r="H250" s="3" t="s">
        <v>44</v>
      </c>
      <c r="I250" s="3" t="s">
        <v>49</v>
      </c>
      <c r="J250" s="3">
        <v>2</v>
      </c>
      <c r="K250" s="3">
        <v>87</v>
      </c>
      <c r="L250" s="3">
        <v>85.38</v>
      </c>
      <c r="M250" s="3">
        <f t="shared" si="52"/>
        <v>0.9813793103448275</v>
      </c>
      <c r="N250" s="3">
        <f t="shared" si="53"/>
        <v>0.9813793103448275</v>
      </c>
      <c r="O250" s="3" t="s">
        <v>58</v>
      </c>
      <c r="P250" s="3" t="s">
        <v>58</v>
      </c>
      <c r="Q250" s="3" t="s">
        <v>190</v>
      </c>
      <c r="R250" s="3">
        <v>0</v>
      </c>
      <c r="S250" s="3">
        <v>0</v>
      </c>
      <c r="T250" s="3" t="s">
        <v>31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</row>
    <row r="251" spans="1:29" x14ac:dyDescent="0.3">
      <c r="A251" s="3">
        <v>245</v>
      </c>
      <c r="B251" s="3" t="s">
        <v>185</v>
      </c>
      <c r="C251" s="3" t="s">
        <v>186</v>
      </c>
      <c r="D251" s="3" t="s">
        <v>31</v>
      </c>
      <c r="E251" s="3" t="s">
        <v>32</v>
      </c>
      <c r="F251" s="5">
        <v>45291</v>
      </c>
      <c r="G251" s="3">
        <v>2023</v>
      </c>
      <c r="H251" s="3" t="s">
        <v>44</v>
      </c>
      <c r="I251" s="3" t="s">
        <v>49</v>
      </c>
      <c r="J251" s="3"/>
      <c r="K251" s="3">
        <v>87</v>
      </c>
      <c r="L251" s="3">
        <v>85.38</v>
      </c>
      <c r="M251" s="3">
        <f t="shared" si="52"/>
        <v>0.9813793103448275</v>
      </c>
      <c r="N251" s="3">
        <f t="shared" si="53"/>
        <v>0.9813793103448275</v>
      </c>
      <c r="O251" s="3" t="s">
        <v>58</v>
      </c>
      <c r="P251" s="3" t="s">
        <v>58</v>
      </c>
      <c r="Q251" s="3" t="s">
        <v>190</v>
      </c>
      <c r="R251" s="3">
        <v>0</v>
      </c>
      <c r="S251" s="3">
        <v>1</v>
      </c>
      <c r="T251" s="3" t="s">
        <v>443</v>
      </c>
      <c r="U251" s="3" t="s">
        <v>37</v>
      </c>
      <c r="V251" s="3" t="s">
        <v>186</v>
      </c>
      <c r="W251" s="3" t="s">
        <v>112</v>
      </c>
      <c r="X251" s="3" t="s">
        <v>113</v>
      </c>
      <c r="Y251" s="3" t="s">
        <v>123</v>
      </c>
      <c r="Z251" s="3" t="s">
        <v>41</v>
      </c>
      <c r="AA251" s="3" t="s">
        <v>42</v>
      </c>
      <c r="AB251" s="3" t="s">
        <v>65</v>
      </c>
      <c r="AC251" s="3" t="s">
        <v>31</v>
      </c>
    </row>
    <row r="252" spans="1:29" x14ac:dyDescent="0.3">
      <c r="A252" s="3">
        <v>245</v>
      </c>
      <c r="B252" s="3" t="s">
        <v>185</v>
      </c>
      <c r="C252" s="3" t="s">
        <v>186</v>
      </c>
      <c r="D252" s="3" t="s">
        <v>31</v>
      </c>
      <c r="E252" s="3" t="s">
        <v>32</v>
      </c>
      <c r="F252" s="5">
        <v>45473</v>
      </c>
      <c r="G252" s="3">
        <v>2024</v>
      </c>
      <c r="H252" s="3" t="s">
        <v>33</v>
      </c>
      <c r="I252" s="3" t="s">
        <v>51</v>
      </c>
      <c r="J252" s="3">
        <v>1</v>
      </c>
      <c r="K252" s="3">
        <v>85</v>
      </c>
      <c r="L252" s="3">
        <v>85.13</v>
      </c>
      <c r="M252" s="3">
        <f t="shared" si="52"/>
        <v>1.0015294117647058</v>
      </c>
      <c r="N252" s="3">
        <f t="shared" si="53"/>
        <v>1.0015294117647058</v>
      </c>
      <c r="O252" s="3" t="s">
        <v>58</v>
      </c>
      <c r="P252" s="3" t="s">
        <v>58</v>
      </c>
      <c r="Q252" s="3" t="s">
        <v>191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186</v>
      </c>
      <c r="W252" s="3" t="s">
        <v>112</v>
      </c>
      <c r="X252" s="3" t="s">
        <v>113</v>
      </c>
      <c r="Y252" s="3" t="s">
        <v>123</v>
      </c>
      <c r="Z252" s="3" t="s">
        <v>41</v>
      </c>
      <c r="AA252" s="3" t="s">
        <v>42</v>
      </c>
      <c r="AB252" s="3" t="s">
        <v>65</v>
      </c>
      <c r="AC252" s="3" t="s">
        <v>31</v>
      </c>
    </row>
    <row r="253" spans="1:29" x14ac:dyDescent="0.3">
      <c r="A253" s="3">
        <v>245</v>
      </c>
      <c r="B253" s="3" t="s">
        <v>185</v>
      </c>
      <c r="C253" s="3" t="s">
        <v>186</v>
      </c>
      <c r="D253" s="3" t="s">
        <v>31</v>
      </c>
      <c r="E253" s="3" t="s">
        <v>32</v>
      </c>
      <c r="F253" s="5">
        <v>45657</v>
      </c>
      <c r="G253" s="3">
        <v>2024</v>
      </c>
      <c r="H253" s="3" t="s">
        <v>44</v>
      </c>
      <c r="I253" s="3" t="s">
        <v>53</v>
      </c>
      <c r="J253" s="3">
        <v>2</v>
      </c>
      <c r="K253" s="3">
        <v>85</v>
      </c>
      <c r="L253" s="3">
        <v>85.19</v>
      </c>
      <c r="M253" s="3">
        <f t="shared" si="52"/>
        <v>1.0022352941176471</v>
      </c>
      <c r="N253" s="3">
        <f t="shared" si="53"/>
        <v>1.0022352941176471</v>
      </c>
      <c r="O253" s="3" t="s">
        <v>58</v>
      </c>
      <c r="P253" s="3" t="s">
        <v>58</v>
      </c>
      <c r="Q253" s="3" t="s">
        <v>192</v>
      </c>
      <c r="R253" s="3">
        <v>0</v>
      </c>
      <c r="S253" s="3">
        <v>0</v>
      </c>
      <c r="T253" s="3" t="s">
        <v>31</v>
      </c>
      <c r="U253" s="3" t="s">
        <v>37</v>
      </c>
      <c r="V253" s="3" t="s">
        <v>186</v>
      </c>
      <c r="W253" s="3" t="s">
        <v>112</v>
      </c>
      <c r="X253" s="3" t="s">
        <v>113</v>
      </c>
      <c r="Y253" s="3" t="s">
        <v>123</v>
      </c>
      <c r="Z253" s="3" t="s">
        <v>41</v>
      </c>
      <c r="AA253" s="3" t="s">
        <v>42</v>
      </c>
      <c r="AB253" s="3" t="s">
        <v>65</v>
      </c>
      <c r="AC253" s="3" t="s">
        <v>31</v>
      </c>
    </row>
    <row r="254" spans="1:29" x14ac:dyDescent="0.3">
      <c r="A254" s="3">
        <v>245</v>
      </c>
      <c r="B254" s="3" t="s">
        <v>185</v>
      </c>
      <c r="C254" s="3" t="s">
        <v>186</v>
      </c>
      <c r="D254" s="3" t="s">
        <v>31</v>
      </c>
      <c r="E254" s="3" t="s">
        <v>32</v>
      </c>
      <c r="F254" s="5">
        <v>45657</v>
      </c>
      <c r="G254" s="3">
        <v>2024</v>
      </c>
      <c r="H254" s="3" t="s">
        <v>44</v>
      </c>
      <c r="I254" s="3" t="s">
        <v>53</v>
      </c>
      <c r="J254" s="3"/>
      <c r="K254" s="3">
        <v>85</v>
      </c>
      <c r="L254" s="3">
        <v>85.19</v>
      </c>
      <c r="M254" s="3">
        <f t="shared" si="52"/>
        <v>1.0022352941176471</v>
      </c>
      <c r="N254" s="3">
        <f t="shared" si="53"/>
        <v>1.0022352941176471</v>
      </c>
      <c r="O254" s="3" t="s">
        <v>58</v>
      </c>
      <c r="P254" s="3" t="s">
        <v>58</v>
      </c>
      <c r="Q254" s="3" t="s">
        <v>192</v>
      </c>
      <c r="R254" s="3">
        <v>0</v>
      </c>
      <c r="S254" s="3">
        <v>1</v>
      </c>
      <c r="T254" s="3" t="s">
        <v>443</v>
      </c>
      <c r="U254" s="3" t="s">
        <v>37</v>
      </c>
      <c r="V254" s="3" t="s">
        <v>186</v>
      </c>
      <c r="W254" s="3" t="s">
        <v>112</v>
      </c>
      <c r="X254" s="3" t="s">
        <v>113</v>
      </c>
      <c r="Y254" s="3" t="s">
        <v>123</v>
      </c>
      <c r="Z254" s="3" t="s">
        <v>41</v>
      </c>
      <c r="AA254" s="3" t="s">
        <v>42</v>
      </c>
      <c r="AB254" s="3" t="s">
        <v>65</v>
      </c>
      <c r="AC254" s="3" t="s">
        <v>31</v>
      </c>
    </row>
    <row r="255" spans="1:29" x14ac:dyDescent="0.3">
      <c r="A255" s="3">
        <v>245</v>
      </c>
      <c r="B255" s="3" t="s">
        <v>185</v>
      </c>
      <c r="C255" s="3" t="s">
        <v>186</v>
      </c>
      <c r="D255" s="3" t="s">
        <v>31</v>
      </c>
      <c r="E255" s="3" t="s">
        <v>32</v>
      </c>
      <c r="F255" s="5">
        <v>45838</v>
      </c>
      <c r="G255" s="3">
        <v>2025</v>
      </c>
      <c r="H255" s="3" t="s">
        <v>33</v>
      </c>
      <c r="I255" s="3" t="s">
        <v>404</v>
      </c>
      <c r="J255" s="3">
        <v>1</v>
      </c>
      <c r="K255" s="3">
        <v>85.7</v>
      </c>
      <c r="L255" s="3">
        <v>86.5</v>
      </c>
      <c r="M255" s="3">
        <f t="shared" si="52"/>
        <v>1.0093348891481912</v>
      </c>
      <c r="N255" s="3">
        <f t="shared" si="53"/>
        <v>1.0093348891481912</v>
      </c>
      <c r="O255" s="3" t="s">
        <v>58</v>
      </c>
      <c r="P255" s="3" t="s">
        <v>58</v>
      </c>
      <c r="Q255" s="3" t="s">
        <v>421</v>
      </c>
      <c r="R255" s="3">
        <v>1</v>
      </c>
      <c r="S255" s="3">
        <v>1</v>
      </c>
      <c r="T255" s="3" t="s">
        <v>31</v>
      </c>
      <c r="U255" s="3" t="s">
        <v>37</v>
      </c>
      <c r="V255" s="3" t="s">
        <v>186</v>
      </c>
      <c r="W255" s="3" t="s">
        <v>112</v>
      </c>
      <c r="X255" s="3" t="s">
        <v>113</v>
      </c>
      <c r="Y255" s="3" t="s">
        <v>123</v>
      </c>
      <c r="Z255" s="3" t="s">
        <v>41</v>
      </c>
      <c r="AA255" s="3" t="s">
        <v>42</v>
      </c>
      <c r="AB255" s="3" t="s">
        <v>65</v>
      </c>
      <c r="AC255" s="3" t="s">
        <v>31</v>
      </c>
    </row>
    <row r="256" spans="1:29" x14ac:dyDescent="0.3">
      <c r="A256" s="3">
        <v>245</v>
      </c>
      <c r="B256" s="3" t="s">
        <v>185</v>
      </c>
      <c r="C256" s="3" t="s">
        <v>186</v>
      </c>
      <c r="D256" s="3" t="s">
        <v>31</v>
      </c>
      <c r="E256" s="3" t="s">
        <v>32</v>
      </c>
      <c r="F256" s="5">
        <v>46022</v>
      </c>
      <c r="G256" s="3">
        <v>2025</v>
      </c>
      <c r="H256" s="3" t="s">
        <v>44</v>
      </c>
      <c r="I256" s="3" t="s">
        <v>465</v>
      </c>
      <c r="J256" s="3">
        <v>2</v>
      </c>
      <c r="K256" s="3">
        <v>86.1</v>
      </c>
      <c r="L256" s="3">
        <v>86.2</v>
      </c>
      <c r="M256" s="3">
        <f t="shared" si="52"/>
        <v>1.0011614401858304</v>
      </c>
      <c r="N256" s="3">
        <f t="shared" si="53"/>
        <v>1.0011614401858304</v>
      </c>
      <c r="O256" s="3" t="s">
        <v>58</v>
      </c>
      <c r="P256" s="3" t="s">
        <v>58</v>
      </c>
      <c r="Q256" s="3" t="s">
        <v>421</v>
      </c>
      <c r="R256" s="3">
        <v>1</v>
      </c>
      <c r="S256" s="3">
        <v>1</v>
      </c>
      <c r="T256" s="3" t="s">
        <v>31</v>
      </c>
      <c r="U256" s="3" t="s">
        <v>37</v>
      </c>
      <c r="V256" s="3" t="s">
        <v>186</v>
      </c>
      <c r="W256" s="3" t="s">
        <v>112</v>
      </c>
      <c r="X256" s="3" t="s">
        <v>113</v>
      </c>
      <c r="Y256" s="3" t="s">
        <v>123</v>
      </c>
      <c r="Z256" s="3" t="s">
        <v>41</v>
      </c>
      <c r="AA256" s="3" t="s">
        <v>42</v>
      </c>
      <c r="AB256" s="3" t="s">
        <v>65</v>
      </c>
      <c r="AC256" s="3" t="s">
        <v>31</v>
      </c>
    </row>
    <row r="257" spans="1:29" x14ac:dyDescent="0.3">
      <c r="A257" s="3">
        <v>274</v>
      </c>
      <c r="B257" s="3" t="s">
        <v>480</v>
      </c>
      <c r="C257" s="3" t="s">
        <v>194</v>
      </c>
      <c r="D257" s="3" t="s">
        <v>31</v>
      </c>
      <c r="E257" s="3" t="s">
        <v>32</v>
      </c>
      <c r="F257" s="5">
        <v>43281</v>
      </c>
      <c r="G257" s="3">
        <f t="shared" ref="G257:G268" si="54">YEAR(F257)</f>
        <v>2018</v>
      </c>
      <c r="H257" s="3" t="str">
        <f t="shared" ref="H257:H268" si="55">PROPER(TEXT(F257,"mmmm"))</f>
        <v>Junio</v>
      </c>
      <c r="I257" s="3" t="str">
        <f t="shared" ref="I257:I268" si="56">IF(H257="Junio",G257&amp;"-1",G257&amp;"-2")</f>
        <v>2018-1</v>
      </c>
      <c r="J257" s="3">
        <v>1</v>
      </c>
      <c r="K257" s="3"/>
      <c r="L257" s="6">
        <v>37269</v>
      </c>
      <c r="M257" s="3"/>
      <c r="N257" s="3"/>
      <c r="O257" s="3" t="s">
        <v>35</v>
      </c>
      <c r="P257" s="3" t="s">
        <v>35</v>
      </c>
      <c r="Q257" s="3" t="str">
        <f t="shared" ref="Q257:Q268" si="57">A257&amp;"-"&amp;TEXT(F257,"yyyy-mm-dd")</f>
        <v>274-2018-06-30</v>
      </c>
      <c r="R257" s="3">
        <v>0</v>
      </c>
      <c r="S257" s="3">
        <v>0</v>
      </c>
      <c r="T257" s="3" t="s">
        <v>31</v>
      </c>
      <c r="U257" s="3" t="s">
        <v>37</v>
      </c>
      <c r="V257" s="3" t="s">
        <v>194</v>
      </c>
      <c r="W257" s="3" t="s">
        <v>38</v>
      </c>
      <c r="X257" s="3" t="s">
        <v>39</v>
      </c>
      <c r="Y257" s="3" t="s">
        <v>40</v>
      </c>
      <c r="Z257" s="3" t="s">
        <v>41</v>
      </c>
      <c r="AA257" s="3" t="s">
        <v>42</v>
      </c>
      <c r="AB257" s="3" t="s">
        <v>43</v>
      </c>
      <c r="AC257" s="3" t="s">
        <v>31</v>
      </c>
    </row>
    <row r="258" spans="1:29" x14ac:dyDescent="0.3">
      <c r="A258" s="3">
        <v>274</v>
      </c>
      <c r="B258" s="3" t="s">
        <v>480</v>
      </c>
      <c r="C258" s="3" t="s">
        <v>194</v>
      </c>
      <c r="D258" s="3" t="s">
        <v>31</v>
      </c>
      <c r="E258" s="3" t="s">
        <v>32</v>
      </c>
      <c r="F258" s="5">
        <v>43465</v>
      </c>
      <c r="G258" s="3">
        <f t="shared" si="54"/>
        <v>2018</v>
      </c>
      <c r="H258" s="3" t="str">
        <f t="shared" si="55"/>
        <v>Diciembre</v>
      </c>
      <c r="I258" s="3" t="str">
        <f t="shared" si="56"/>
        <v>2018-2</v>
      </c>
      <c r="J258" s="3">
        <v>2</v>
      </c>
      <c r="K258" s="3"/>
      <c r="L258" s="6">
        <v>39789</v>
      </c>
      <c r="M258" s="3"/>
      <c r="N258" s="3"/>
      <c r="O258" s="3" t="s">
        <v>35</v>
      </c>
      <c r="P258" s="3" t="s">
        <v>35</v>
      </c>
      <c r="Q258" s="3" t="str">
        <f t="shared" si="57"/>
        <v>274-2018-12-31</v>
      </c>
      <c r="R258" s="3">
        <v>0</v>
      </c>
      <c r="S258" s="3">
        <v>0</v>
      </c>
      <c r="T258" s="3" t="s">
        <v>31</v>
      </c>
      <c r="U258" s="3" t="s">
        <v>37</v>
      </c>
      <c r="V258" s="3" t="s">
        <v>194</v>
      </c>
      <c r="W258" s="3" t="s">
        <v>38</v>
      </c>
      <c r="X258" s="3" t="s">
        <v>39</v>
      </c>
      <c r="Y258" s="3" t="s">
        <v>40</v>
      </c>
      <c r="Z258" s="3" t="s">
        <v>41</v>
      </c>
      <c r="AA258" s="3" t="s">
        <v>42</v>
      </c>
      <c r="AB258" s="3" t="s">
        <v>43</v>
      </c>
      <c r="AC258" s="3" t="s">
        <v>31</v>
      </c>
    </row>
    <row r="259" spans="1:29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5">
        <v>43465</v>
      </c>
      <c r="G259" s="3">
        <f t="shared" si="54"/>
        <v>2018</v>
      </c>
      <c r="H259" s="3" t="str">
        <f t="shared" si="55"/>
        <v>Diciembre</v>
      </c>
      <c r="I259" s="3" t="str">
        <f t="shared" si="56"/>
        <v>2018-2</v>
      </c>
      <c r="J259" s="3"/>
      <c r="K259" s="3"/>
      <c r="L259" s="6">
        <v>39789</v>
      </c>
      <c r="M259" s="3"/>
      <c r="N259" s="3"/>
      <c r="O259" s="3" t="s">
        <v>35</v>
      </c>
      <c r="P259" s="3" t="s">
        <v>35</v>
      </c>
      <c r="Q259" s="3" t="str">
        <f t="shared" si="57"/>
        <v>274-2018-12-31</v>
      </c>
      <c r="R259" s="3">
        <v>0</v>
      </c>
      <c r="S259" s="3">
        <v>0</v>
      </c>
      <c r="T259" s="3" t="s">
        <v>443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43</v>
      </c>
      <c r="AC259" s="3" t="s">
        <v>31</v>
      </c>
    </row>
    <row r="260" spans="1:29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5">
        <v>43646</v>
      </c>
      <c r="G260" s="3">
        <f t="shared" si="54"/>
        <v>2019</v>
      </c>
      <c r="H260" s="3" t="str">
        <f t="shared" si="55"/>
        <v>Junio</v>
      </c>
      <c r="I260" s="3" t="str">
        <f t="shared" si="56"/>
        <v>2019-1</v>
      </c>
      <c r="J260" s="3">
        <v>1</v>
      </c>
      <c r="K260" s="3"/>
      <c r="L260" s="6">
        <v>41502</v>
      </c>
      <c r="M260" s="3"/>
      <c r="N260" s="3"/>
      <c r="O260" s="3" t="s">
        <v>35</v>
      </c>
      <c r="P260" s="3" t="s">
        <v>35</v>
      </c>
      <c r="Q260" s="3" t="str">
        <f t="shared" si="57"/>
        <v>274-2019-06-30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43</v>
      </c>
      <c r="AC260" s="3" t="s">
        <v>31</v>
      </c>
    </row>
    <row r="261" spans="1:29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5">
        <v>43830</v>
      </c>
      <c r="G261" s="3">
        <f t="shared" si="54"/>
        <v>2019</v>
      </c>
      <c r="H261" s="3" t="str">
        <f t="shared" si="55"/>
        <v>Diciembre</v>
      </c>
      <c r="I261" s="3" t="str">
        <f t="shared" si="56"/>
        <v>2019-2</v>
      </c>
      <c r="J261" s="3">
        <v>2</v>
      </c>
      <c r="K261" s="3"/>
      <c r="L261" s="6">
        <v>43581</v>
      </c>
      <c r="M261" s="3"/>
      <c r="N261" s="3"/>
      <c r="O261" s="3" t="s">
        <v>35</v>
      </c>
      <c r="P261" s="3" t="s">
        <v>35</v>
      </c>
      <c r="Q261" s="3" t="str">
        <f t="shared" si="57"/>
        <v>274-2019-12-31</v>
      </c>
      <c r="R261" s="3">
        <v>0</v>
      </c>
      <c r="S261" s="3">
        <v>0</v>
      </c>
      <c r="T261" s="3" t="s">
        <v>31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43</v>
      </c>
      <c r="AC261" s="3" t="s">
        <v>31</v>
      </c>
    </row>
    <row r="262" spans="1:29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5">
        <v>43830</v>
      </c>
      <c r="G262" s="3">
        <f t="shared" si="54"/>
        <v>2019</v>
      </c>
      <c r="H262" s="3" t="str">
        <f t="shared" si="55"/>
        <v>Diciembre</v>
      </c>
      <c r="I262" s="3" t="str">
        <f t="shared" si="56"/>
        <v>2019-2</v>
      </c>
      <c r="J262" s="3"/>
      <c r="K262" s="3"/>
      <c r="L262" s="6">
        <v>43581</v>
      </c>
      <c r="M262" s="3"/>
      <c r="N262" s="3"/>
      <c r="O262" s="3" t="s">
        <v>35</v>
      </c>
      <c r="P262" s="3" t="s">
        <v>35</v>
      </c>
      <c r="Q262" s="3" t="str">
        <f t="shared" si="57"/>
        <v>274-2019-12-31</v>
      </c>
      <c r="R262" s="3">
        <v>0</v>
      </c>
      <c r="S262" s="3">
        <v>0</v>
      </c>
      <c r="T262" s="3" t="s">
        <v>443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43</v>
      </c>
      <c r="AC262" s="3" t="s">
        <v>31</v>
      </c>
    </row>
    <row r="263" spans="1:29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5">
        <v>44012</v>
      </c>
      <c r="G263" s="3">
        <f t="shared" si="54"/>
        <v>2020</v>
      </c>
      <c r="H263" s="3" t="str">
        <f t="shared" si="55"/>
        <v>Junio</v>
      </c>
      <c r="I263" s="3" t="str">
        <f t="shared" si="56"/>
        <v>2020-1</v>
      </c>
      <c r="J263" s="3">
        <v>1</v>
      </c>
      <c r="K263" s="3"/>
      <c r="L263" s="6">
        <v>43711</v>
      </c>
      <c r="M263" s="3"/>
      <c r="N263" s="3"/>
      <c r="O263" s="3" t="s">
        <v>35</v>
      </c>
      <c r="P263" s="3" t="s">
        <v>35</v>
      </c>
      <c r="Q263" s="3" t="str">
        <f t="shared" si="57"/>
        <v>274-2020-06-30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43</v>
      </c>
      <c r="AC263" s="3" t="s">
        <v>31</v>
      </c>
    </row>
    <row r="264" spans="1:29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5">
        <v>44196</v>
      </c>
      <c r="G264" s="3">
        <f t="shared" si="54"/>
        <v>2020</v>
      </c>
      <c r="H264" s="3" t="str">
        <f t="shared" si="55"/>
        <v>Diciembre</v>
      </c>
      <c r="I264" s="3" t="str">
        <f t="shared" si="56"/>
        <v>2020-2</v>
      </c>
      <c r="J264" s="3">
        <v>2</v>
      </c>
      <c r="K264" s="3"/>
      <c r="L264" s="6">
        <v>41013</v>
      </c>
      <c r="M264" s="3"/>
      <c r="N264" s="3"/>
      <c r="O264" s="3" t="s">
        <v>35</v>
      </c>
      <c r="P264" s="3" t="s">
        <v>35</v>
      </c>
      <c r="Q264" s="3" t="str">
        <f t="shared" si="57"/>
        <v>274-2020-12-31</v>
      </c>
      <c r="R264" s="3">
        <v>0</v>
      </c>
      <c r="S264" s="3">
        <v>0</v>
      </c>
      <c r="T264" s="3" t="s">
        <v>31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43</v>
      </c>
      <c r="AC264" s="3" t="s">
        <v>31</v>
      </c>
    </row>
    <row r="265" spans="1:29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5">
        <v>44196</v>
      </c>
      <c r="G265" s="3">
        <f t="shared" si="54"/>
        <v>2020</v>
      </c>
      <c r="H265" s="3" t="str">
        <f t="shared" si="55"/>
        <v>Diciembre</v>
      </c>
      <c r="I265" s="3" t="str">
        <f t="shared" si="56"/>
        <v>2020-2</v>
      </c>
      <c r="J265" s="3"/>
      <c r="K265" s="3"/>
      <c r="L265" s="6">
        <v>41013</v>
      </c>
      <c r="M265" s="3"/>
      <c r="N265" s="3"/>
      <c r="O265" s="3" t="s">
        <v>35</v>
      </c>
      <c r="P265" s="3" t="s">
        <v>35</v>
      </c>
      <c r="Q265" s="3" t="str">
        <f t="shared" si="57"/>
        <v>274-2020-12-31</v>
      </c>
      <c r="R265" s="3">
        <v>0</v>
      </c>
      <c r="S265" s="3">
        <v>0</v>
      </c>
      <c r="T265" s="3" t="s">
        <v>443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43</v>
      </c>
      <c r="AC265" s="3" t="s">
        <v>31</v>
      </c>
    </row>
    <row r="266" spans="1:29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5">
        <v>44377</v>
      </c>
      <c r="G266" s="3">
        <f t="shared" si="54"/>
        <v>2021</v>
      </c>
      <c r="H266" s="3" t="str">
        <f t="shared" si="55"/>
        <v>Junio</v>
      </c>
      <c r="I266" s="3" t="str">
        <f t="shared" si="56"/>
        <v>2021-1</v>
      </c>
      <c r="J266" s="3">
        <v>1</v>
      </c>
      <c r="K266" s="3"/>
      <c r="L266" s="6">
        <v>41394</v>
      </c>
      <c r="M266" s="3"/>
      <c r="N266" s="3"/>
      <c r="O266" s="3" t="s">
        <v>35</v>
      </c>
      <c r="P266" s="3" t="s">
        <v>35</v>
      </c>
      <c r="Q266" s="3" t="str">
        <f t="shared" si="57"/>
        <v>274-2021-06-30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43</v>
      </c>
      <c r="AC266" s="3" t="s">
        <v>31</v>
      </c>
    </row>
    <row r="267" spans="1:29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5">
        <v>44561</v>
      </c>
      <c r="G267" s="3">
        <f t="shared" si="54"/>
        <v>2021</v>
      </c>
      <c r="H267" s="3" t="str">
        <f t="shared" si="55"/>
        <v>Diciembre</v>
      </c>
      <c r="I267" s="3" t="str">
        <f t="shared" si="56"/>
        <v>2021-2</v>
      </c>
      <c r="J267" s="3">
        <v>2</v>
      </c>
      <c r="K267" s="3"/>
      <c r="L267" s="6">
        <v>40937</v>
      </c>
      <c r="M267" s="3"/>
      <c r="N267" s="3"/>
      <c r="O267" s="3" t="s">
        <v>35</v>
      </c>
      <c r="P267" s="3" t="s">
        <v>35</v>
      </c>
      <c r="Q267" s="3" t="str">
        <f t="shared" si="57"/>
        <v>274-2021-12-31</v>
      </c>
      <c r="R267" s="3">
        <v>0</v>
      </c>
      <c r="S267" s="3">
        <v>0</v>
      </c>
      <c r="T267" s="3" t="s">
        <v>31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43</v>
      </c>
      <c r="AC267" s="3" t="s">
        <v>31</v>
      </c>
    </row>
    <row r="268" spans="1:29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5">
        <v>44561</v>
      </c>
      <c r="G268" s="3">
        <f t="shared" si="54"/>
        <v>2021</v>
      </c>
      <c r="H268" s="3" t="str">
        <f t="shared" si="55"/>
        <v>Diciembre</v>
      </c>
      <c r="I268" s="3" t="str">
        <f t="shared" si="56"/>
        <v>2021-2</v>
      </c>
      <c r="J268" s="3"/>
      <c r="K268" s="3"/>
      <c r="L268" s="6">
        <v>40937</v>
      </c>
      <c r="M268" s="3"/>
      <c r="N268" s="3"/>
      <c r="O268" s="3" t="s">
        <v>35</v>
      </c>
      <c r="P268" s="3" t="s">
        <v>35</v>
      </c>
      <c r="Q268" s="3" t="str">
        <f t="shared" si="57"/>
        <v>274-2021-12-31</v>
      </c>
      <c r="R268" s="3">
        <v>0</v>
      </c>
      <c r="S268" s="3">
        <v>0</v>
      </c>
      <c r="T268" s="3" t="s">
        <v>443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43</v>
      </c>
      <c r="AC268" s="3" t="s">
        <v>31</v>
      </c>
    </row>
    <row r="269" spans="1:29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5">
        <v>44742</v>
      </c>
      <c r="G269" s="3">
        <v>2022</v>
      </c>
      <c r="H269" s="3" t="s">
        <v>33</v>
      </c>
      <c r="I269" s="3" t="s">
        <v>34</v>
      </c>
      <c r="J269" s="3">
        <v>1</v>
      </c>
      <c r="K269" s="3">
        <v>39623</v>
      </c>
      <c r="L269" s="3">
        <v>40000</v>
      </c>
      <c r="M269" s="3">
        <f t="shared" ref="M269:M280" si="58">+L269/K269</f>
        <v>1.0095146758195996</v>
      </c>
      <c r="N269" s="3">
        <f t="shared" ref="N269:N280" si="59">+L269/K269</f>
        <v>1.0095146758195996</v>
      </c>
      <c r="O269" s="3" t="s">
        <v>35</v>
      </c>
      <c r="P269" s="3" t="s">
        <v>35</v>
      </c>
      <c r="Q269" s="3" t="s">
        <v>195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43</v>
      </c>
      <c r="AC269" s="3" t="s">
        <v>31</v>
      </c>
    </row>
    <row r="270" spans="1:29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5">
        <v>44926</v>
      </c>
      <c r="G270" s="3">
        <v>2022</v>
      </c>
      <c r="H270" s="3" t="s">
        <v>44</v>
      </c>
      <c r="I270" s="3" t="s">
        <v>45</v>
      </c>
      <c r="J270" s="3">
        <v>2</v>
      </c>
      <c r="K270" s="3">
        <v>39817</v>
      </c>
      <c r="L270" s="3">
        <v>40663</v>
      </c>
      <c r="M270" s="3">
        <f t="shared" si="58"/>
        <v>1.0212472059673003</v>
      </c>
      <c r="N270" s="3">
        <f t="shared" si="59"/>
        <v>1.0212472059673003</v>
      </c>
      <c r="O270" s="3" t="s">
        <v>35</v>
      </c>
      <c r="P270" s="3" t="s">
        <v>35</v>
      </c>
      <c r="Q270" s="3" t="s">
        <v>196</v>
      </c>
      <c r="R270" s="3">
        <v>0</v>
      </c>
      <c r="S270" s="3">
        <v>0</v>
      </c>
      <c r="T270" s="3" t="s">
        <v>31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43</v>
      </c>
      <c r="AC270" s="3" t="s">
        <v>31</v>
      </c>
    </row>
    <row r="271" spans="1:29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5">
        <v>44926</v>
      </c>
      <c r="G271" s="3">
        <v>2022</v>
      </c>
      <c r="H271" s="3" t="s">
        <v>44</v>
      </c>
      <c r="I271" s="3" t="s">
        <v>45</v>
      </c>
      <c r="J271" s="3"/>
      <c r="K271" s="3">
        <v>39817</v>
      </c>
      <c r="L271" s="3">
        <v>40663</v>
      </c>
      <c r="M271" s="3">
        <f t="shared" si="58"/>
        <v>1.0212472059673003</v>
      </c>
      <c r="N271" s="3">
        <f t="shared" si="59"/>
        <v>1.0212472059673003</v>
      </c>
      <c r="O271" s="3" t="s">
        <v>35</v>
      </c>
      <c r="P271" s="3" t="s">
        <v>35</v>
      </c>
      <c r="Q271" s="3" t="s">
        <v>196</v>
      </c>
      <c r="R271" s="3">
        <v>0</v>
      </c>
      <c r="S271" s="3">
        <v>0</v>
      </c>
      <c r="T271" s="3" t="s">
        <v>443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43</v>
      </c>
      <c r="AC271" s="3" t="s">
        <v>31</v>
      </c>
    </row>
    <row r="272" spans="1:29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5">
        <v>45107</v>
      </c>
      <c r="G272" s="3">
        <v>2023</v>
      </c>
      <c r="H272" s="3" t="s">
        <v>33</v>
      </c>
      <c r="I272" s="3" t="s">
        <v>47</v>
      </c>
      <c r="J272" s="3">
        <v>1</v>
      </c>
      <c r="K272" s="3">
        <v>40047</v>
      </c>
      <c r="L272" s="3">
        <v>39091</v>
      </c>
      <c r="M272" s="3">
        <f t="shared" si="58"/>
        <v>0.97612804954178845</v>
      </c>
      <c r="N272" s="3">
        <f t="shared" si="59"/>
        <v>0.97612804954178845</v>
      </c>
      <c r="O272" s="3" t="s">
        <v>35</v>
      </c>
      <c r="P272" s="3" t="s">
        <v>35</v>
      </c>
      <c r="Q272" s="3" t="s">
        <v>197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43</v>
      </c>
      <c r="AC272" s="3" t="s">
        <v>31</v>
      </c>
    </row>
    <row r="273" spans="1:29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5">
        <v>45291</v>
      </c>
      <c r="G273" s="3">
        <v>2023</v>
      </c>
      <c r="H273" s="3" t="s">
        <v>44</v>
      </c>
      <c r="I273" s="3" t="s">
        <v>49</v>
      </c>
      <c r="J273" s="3">
        <v>2</v>
      </c>
      <c r="K273" s="3">
        <v>41811</v>
      </c>
      <c r="L273" s="3">
        <v>40771</v>
      </c>
      <c r="M273" s="3">
        <f t="shared" si="58"/>
        <v>0.97512616297146681</v>
      </c>
      <c r="N273" s="3">
        <f t="shared" si="59"/>
        <v>0.97512616297146681</v>
      </c>
      <c r="O273" s="3" t="s">
        <v>35</v>
      </c>
      <c r="P273" s="3" t="s">
        <v>35</v>
      </c>
      <c r="Q273" s="3" t="s">
        <v>198</v>
      </c>
      <c r="R273" s="3">
        <v>0</v>
      </c>
      <c r="S273" s="3">
        <v>0</v>
      </c>
      <c r="T273" s="3" t="s">
        <v>31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43</v>
      </c>
      <c r="AC273" s="3" t="s">
        <v>31</v>
      </c>
    </row>
    <row r="274" spans="1:29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5">
        <v>45291</v>
      </c>
      <c r="G274" s="3">
        <v>2023</v>
      </c>
      <c r="H274" s="3" t="s">
        <v>44</v>
      </c>
      <c r="I274" s="3" t="s">
        <v>49</v>
      </c>
      <c r="J274" s="3"/>
      <c r="K274" s="3">
        <v>41811</v>
      </c>
      <c r="L274" s="3">
        <v>40770</v>
      </c>
      <c r="M274" s="3">
        <f t="shared" si="58"/>
        <v>0.97510224582047789</v>
      </c>
      <c r="N274" s="3">
        <f t="shared" si="59"/>
        <v>0.97510224582047789</v>
      </c>
      <c r="O274" s="3" t="s">
        <v>35</v>
      </c>
      <c r="P274" s="3" t="s">
        <v>35</v>
      </c>
      <c r="Q274" s="3" t="s">
        <v>198</v>
      </c>
      <c r="R274" s="3">
        <v>0</v>
      </c>
      <c r="S274" s="3">
        <v>0</v>
      </c>
      <c r="T274" s="3" t="s">
        <v>443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43</v>
      </c>
      <c r="AC274" s="3" t="s">
        <v>31</v>
      </c>
    </row>
    <row r="275" spans="1:29" x14ac:dyDescent="0.3">
      <c r="A275" s="3">
        <v>274</v>
      </c>
      <c r="B275" s="3" t="s">
        <v>480</v>
      </c>
      <c r="C275" s="3" t="s">
        <v>194</v>
      </c>
      <c r="D275" s="3" t="s">
        <v>31</v>
      </c>
      <c r="E275" s="3" t="s">
        <v>32</v>
      </c>
      <c r="F275" s="5">
        <v>45473</v>
      </c>
      <c r="G275" s="3">
        <v>2024</v>
      </c>
      <c r="H275" s="3" t="s">
        <v>33</v>
      </c>
      <c r="I275" s="3" t="s">
        <v>51</v>
      </c>
      <c r="J275" s="3">
        <v>1</v>
      </c>
      <c r="K275" s="3">
        <v>38813</v>
      </c>
      <c r="L275" s="3">
        <v>39598</v>
      </c>
      <c r="M275" s="3">
        <f t="shared" si="58"/>
        <v>1.0202251822842863</v>
      </c>
      <c r="N275" s="3">
        <f t="shared" si="59"/>
        <v>1.0202251822842863</v>
      </c>
      <c r="O275" s="3" t="s">
        <v>35</v>
      </c>
      <c r="P275" s="3" t="s">
        <v>35</v>
      </c>
      <c r="Q275" s="3" t="s">
        <v>199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194</v>
      </c>
      <c r="W275" s="3" t="s">
        <v>38</v>
      </c>
      <c r="X275" s="3" t="s">
        <v>39</v>
      </c>
      <c r="Y275" s="3" t="s">
        <v>40</v>
      </c>
      <c r="Z275" s="3" t="s">
        <v>41</v>
      </c>
      <c r="AA275" s="3" t="s">
        <v>42</v>
      </c>
      <c r="AB275" s="3" t="s">
        <v>43</v>
      </c>
      <c r="AC275" s="3" t="s">
        <v>31</v>
      </c>
    </row>
    <row r="276" spans="1:29" x14ac:dyDescent="0.3">
      <c r="A276" s="3">
        <v>274</v>
      </c>
      <c r="B276" s="3" t="s">
        <v>480</v>
      </c>
      <c r="C276" s="3" t="s">
        <v>194</v>
      </c>
      <c r="D276" s="3" t="s">
        <v>31</v>
      </c>
      <c r="E276" s="3" t="s">
        <v>32</v>
      </c>
      <c r="F276" s="5">
        <v>45657</v>
      </c>
      <c r="G276" s="3">
        <v>2024</v>
      </c>
      <c r="H276" s="3" t="s">
        <v>44</v>
      </c>
      <c r="I276" s="3" t="s">
        <v>53</v>
      </c>
      <c r="J276" s="3">
        <v>2</v>
      </c>
      <c r="K276" s="3">
        <v>40441</v>
      </c>
      <c r="L276" s="3">
        <v>41436</v>
      </c>
      <c r="M276" s="3">
        <f t="shared" si="58"/>
        <v>1.0246037437254272</v>
      </c>
      <c r="N276" s="3">
        <f t="shared" si="59"/>
        <v>1.0246037437254272</v>
      </c>
      <c r="O276" s="3" t="s">
        <v>35</v>
      </c>
      <c r="P276" s="3" t="s">
        <v>35</v>
      </c>
      <c r="Q276" s="3" t="s">
        <v>200</v>
      </c>
      <c r="R276" s="3">
        <v>0</v>
      </c>
      <c r="S276" s="3">
        <v>0</v>
      </c>
      <c r="T276" s="3" t="s">
        <v>31</v>
      </c>
      <c r="U276" s="3" t="s">
        <v>37</v>
      </c>
      <c r="V276" s="3" t="s">
        <v>194</v>
      </c>
      <c r="W276" s="3" t="s">
        <v>38</v>
      </c>
      <c r="X276" s="3" t="s">
        <v>39</v>
      </c>
      <c r="Y276" s="3" t="s">
        <v>40</v>
      </c>
      <c r="Z276" s="3" t="s">
        <v>41</v>
      </c>
      <c r="AA276" s="3" t="s">
        <v>42</v>
      </c>
      <c r="AB276" s="3" t="s">
        <v>43</v>
      </c>
      <c r="AC276" s="3" t="s">
        <v>31</v>
      </c>
    </row>
    <row r="277" spans="1:29" x14ac:dyDescent="0.3">
      <c r="A277" s="3">
        <v>274</v>
      </c>
      <c r="B277" s="3" t="s">
        <v>480</v>
      </c>
      <c r="C277" s="3" t="s">
        <v>194</v>
      </c>
      <c r="D277" s="3" t="s">
        <v>31</v>
      </c>
      <c r="E277" s="3" t="s">
        <v>32</v>
      </c>
      <c r="F277" s="5">
        <v>45657</v>
      </c>
      <c r="G277" s="3">
        <v>2024</v>
      </c>
      <c r="H277" s="3" t="s">
        <v>44</v>
      </c>
      <c r="I277" s="3" t="s">
        <v>53</v>
      </c>
      <c r="J277" s="3"/>
      <c r="K277" s="3">
        <v>40441.334115206948</v>
      </c>
      <c r="L277" s="3">
        <v>41436</v>
      </c>
      <c r="M277" s="3">
        <f t="shared" si="58"/>
        <v>1.0245952787304076</v>
      </c>
      <c r="N277" s="3">
        <f t="shared" si="59"/>
        <v>1.0245952787304076</v>
      </c>
      <c r="O277" s="3" t="s">
        <v>35</v>
      </c>
      <c r="P277" s="3" t="s">
        <v>35</v>
      </c>
      <c r="Q277" s="3" t="s">
        <v>200</v>
      </c>
      <c r="R277" s="3">
        <v>0</v>
      </c>
      <c r="S277" s="3">
        <v>0</v>
      </c>
      <c r="T277" s="3" t="s">
        <v>443</v>
      </c>
      <c r="U277" s="3" t="s">
        <v>37</v>
      </c>
      <c r="V277" s="3" t="s">
        <v>194</v>
      </c>
      <c r="W277" s="3" t="s">
        <v>38</v>
      </c>
      <c r="X277" s="3" t="s">
        <v>39</v>
      </c>
      <c r="Y277" s="3" t="s">
        <v>40</v>
      </c>
      <c r="Z277" s="3" t="s">
        <v>41</v>
      </c>
      <c r="AA277" s="3" t="s">
        <v>42</v>
      </c>
      <c r="AB277" s="3" t="s">
        <v>43</v>
      </c>
      <c r="AC277" s="3" t="s">
        <v>31</v>
      </c>
    </row>
    <row r="278" spans="1:29" x14ac:dyDescent="0.3">
      <c r="A278" s="3">
        <v>274</v>
      </c>
      <c r="B278" s="3" t="s">
        <v>480</v>
      </c>
      <c r="C278" s="3" t="s">
        <v>194</v>
      </c>
      <c r="D278" s="3" t="s">
        <v>31</v>
      </c>
      <c r="E278" s="3" t="s">
        <v>32</v>
      </c>
      <c r="F278" s="5">
        <v>45838</v>
      </c>
      <c r="G278" s="3">
        <v>2025</v>
      </c>
      <c r="H278" s="3" t="s">
        <v>33</v>
      </c>
      <c r="I278" s="3" t="s">
        <v>404</v>
      </c>
      <c r="J278" s="3">
        <v>1</v>
      </c>
      <c r="K278" s="3">
        <v>40026</v>
      </c>
      <c r="L278" s="3">
        <v>42364</v>
      </c>
      <c r="M278" s="3">
        <f t="shared" si="58"/>
        <v>1.0584120321790835</v>
      </c>
      <c r="N278" s="3">
        <f t="shared" si="59"/>
        <v>1.0584120321790835</v>
      </c>
      <c r="O278" s="3" t="s">
        <v>35</v>
      </c>
      <c r="P278" s="3" t="s">
        <v>35</v>
      </c>
      <c r="Q278" s="3" t="s">
        <v>413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194</v>
      </c>
      <c r="W278" s="3" t="s">
        <v>38</v>
      </c>
      <c r="X278" s="3" t="s">
        <v>39</v>
      </c>
      <c r="Y278" s="3" t="s">
        <v>40</v>
      </c>
      <c r="Z278" s="3" t="s">
        <v>41</v>
      </c>
      <c r="AA278" s="3" t="s">
        <v>42</v>
      </c>
      <c r="AB278" s="3" t="s">
        <v>43</v>
      </c>
      <c r="AC278" s="3" t="s">
        <v>31</v>
      </c>
    </row>
    <row r="279" spans="1:29" x14ac:dyDescent="0.3">
      <c r="A279" s="3">
        <v>274</v>
      </c>
      <c r="B279" s="3" t="s">
        <v>480</v>
      </c>
      <c r="C279" s="3" t="s">
        <v>194</v>
      </c>
      <c r="D279" s="3" t="s">
        <v>31</v>
      </c>
      <c r="E279" s="3" t="s">
        <v>32</v>
      </c>
      <c r="F279" s="5">
        <v>46022</v>
      </c>
      <c r="G279" s="3">
        <v>2025</v>
      </c>
      <c r="H279" s="3" t="str">
        <f>PROPER(TEXT(F279,"mmmm"))</f>
        <v>Diciembre</v>
      </c>
      <c r="I279" s="3" t="s">
        <v>465</v>
      </c>
      <c r="J279" s="3">
        <v>2</v>
      </c>
      <c r="K279" s="3">
        <v>44737</v>
      </c>
      <c r="L279" s="6">
        <v>45583</v>
      </c>
      <c r="M279" s="3">
        <f t="shared" si="58"/>
        <v>1.0189105214922771</v>
      </c>
      <c r="N279" s="3">
        <f t="shared" si="59"/>
        <v>1.0189105214922771</v>
      </c>
      <c r="O279" s="3" t="s">
        <v>35</v>
      </c>
      <c r="P279" s="3" t="s">
        <v>35</v>
      </c>
      <c r="Q279" s="3" t="s">
        <v>413</v>
      </c>
      <c r="R279" s="3">
        <v>0</v>
      </c>
      <c r="S279" s="3">
        <v>0</v>
      </c>
      <c r="T279" s="3" t="s">
        <v>31</v>
      </c>
      <c r="U279" s="3" t="s">
        <v>37</v>
      </c>
      <c r="V279" s="3" t="s">
        <v>194</v>
      </c>
      <c r="W279" s="3" t="s">
        <v>38</v>
      </c>
      <c r="X279" s="3" t="s">
        <v>39</v>
      </c>
      <c r="Y279" s="3" t="s">
        <v>40</v>
      </c>
      <c r="Z279" s="3" t="s">
        <v>41</v>
      </c>
      <c r="AA279" s="3" t="s">
        <v>42</v>
      </c>
      <c r="AB279" s="3" t="s">
        <v>43</v>
      </c>
      <c r="AC279" s="3" t="s">
        <v>31</v>
      </c>
    </row>
    <row r="280" spans="1:29" x14ac:dyDescent="0.3">
      <c r="A280" s="3">
        <v>274</v>
      </c>
      <c r="B280" s="3" t="s">
        <v>480</v>
      </c>
      <c r="C280" s="3" t="s">
        <v>194</v>
      </c>
      <c r="D280" s="3" t="s">
        <v>31</v>
      </c>
      <c r="E280" s="3" t="s">
        <v>32</v>
      </c>
      <c r="F280" s="5">
        <v>46022</v>
      </c>
      <c r="G280" s="3">
        <f>YEAR(F280)</f>
        <v>2025</v>
      </c>
      <c r="H280" s="3" t="str">
        <f>PROPER(TEXT(F280,"mmmm"))</f>
        <v>Diciembre</v>
      </c>
      <c r="I280" s="3" t="str">
        <f>IF(H280="Junio",G280&amp;"-1",G280&amp;"-2")</f>
        <v>2025-2</v>
      </c>
      <c r="J280" s="3"/>
      <c r="K280" s="3">
        <v>44737</v>
      </c>
      <c r="L280" s="6">
        <v>45583</v>
      </c>
      <c r="M280" s="3">
        <f t="shared" si="58"/>
        <v>1.0189105214922771</v>
      </c>
      <c r="N280" s="3">
        <f t="shared" si="59"/>
        <v>1.0189105214922771</v>
      </c>
      <c r="O280" s="3" t="s">
        <v>35</v>
      </c>
      <c r="P280" s="3" t="s">
        <v>35</v>
      </c>
      <c r="Q280" s="3" t="str">
        <f>A280&amp;"-"&amp;TEXT(F280,"yyyy-mm-dd")</f>
        <v>274-2025-12-31</v>
      </c>
      <c r="R280" s="3">
        <v>0</v>
      </c>
      <c r="S280" s="3">
        <v>0</v>
      </c>
      <c r="T280" s="3" t="s">
        <v>443</v>
      </c>
      <c r="U280" s="3" t="s">
        <v>37</v>
      </c>
      <c r="V280" s="3" t="s">
        <v>194</v>
      </c>
      <c r="W280" s="3" t="s">
        <v>38</v>
      </c>
      <c r="X280" s="3" t="s">
        <v>39</v>
      </c>
      <c r="Y280" s="3" t="s">
        <v>40</v>
      </c>
      <c r="Z280" s="3" t="s">
        <v>41</v>
      </c>
      <c r="AA280" s="3" t="s">
        <v>42</v>
      </c>
      <c r="AB280" s="3" t="s">
        <v>43</v>
      </c>
      <c r="AC280" s="3" t="s">
        <v>31</v>
      </c>
    </row>
    <row r="281" spans="1:29" x14ac:dyDescent="0.3">
      <c r="A281" s="3">
        <v>276</v>
      </c>
      <c r="B281" s="3" t="s">
        <v>201</v>
      </c>
      <c r="C281" s="3" t="s">
        <v>202</v>
      </c>
      <c r="D281" s="3" t="s">
        <v>31</v>
      </c>
      <c r="E281" s="3" t="s">
        <v>171</v>
      </c>
      <c r="F281" s="5">
        <v>44742</v>
      </c>
      <c r="G281" s="3">
        <v>2022</v>
      </c>
      <c r="H281" s="3" t="s">
        <v>33</v>
      </c>
      <c r="I281" s="3" t="s">
        <v>34</v>
      </c>
      <c r="J281" s="3">
        <v>1</v>
      </c>
      <c r="K281" s="3">
        <v>93</v>
      </c>
      <c r="L281" s="3">
        <v>106</v>
      </c>
      <c r="M281" s="3">
        <f>+K281/L281</f>
        <v>0.87735849056603776</v>
      </c>
      <c r="N281" s="3">
        <f>+K281/L281</f>
        <v>0.87735849056603776</v>
      </c>
      <c r="O281" s="3" t="s">
        <v>35</v>
      </c>
      <c r="P281" s="3" t="s">
        <v>245</v>
      </c>
      <c r="Q281" s="3" t="s">
        <v>203</v>
      </c>
      <c r="R281" s="3">
        <v>0</v>
      </c>
      <c r="S281" s="3">
        <v>0</v>
      </c>
      <c r="T281" s="3" t="s">
        <v>31</v>
      </c>
      <c r="U281" s="3" t="s">
        <v>37</v>
      </c>
      <c r="V281" s="3" t="s">
        <v>202</v>
      </c>
      <c r="W281" s="3" t="s">
        <v>73</v>
      </c>
      <c r="X281" s="3" t="s">
        <v>74</v>
      </c>
      <c r="Y281" s="3" t="s">
        <v>75</v>
      </c>
      <c r="Z281" s="3" t="s">
        <v>86</v>
      </c>
      <c r="AA281" s="3" t="s">
        <v>204</v>
      </c>
      <c r="AB281" s="3" t="s">
        <v>65</v>
      </c>
      <c r="AC281" s="3" t="s">
        <v>31</v>
      </c>
    </row>
    <row r="282" spans="1:29" x14ac:dyDescent="0.3">
      <c r="A282" s="3">
        <v>276</v>
      </c>
      <c r="B282" s="3" t="s">
        <v>201</v>
      </c>
      <c r="C282" s="3" t="s">
        <v>202</v>
      </c>
      <c r="D282" s="3" t="s">
        <v>31</v>
      </c>
      <c r="E282" s="3" t="s">
        <v>171</v>
      </c>
      <c r="F282" s="5">
        <v>44926</v>
      </c>
      <c r="G282" s="3">
        <v>2022</v>
      </c>
      <c r="H282" s="3" t="s">
        <v>44</v>
      </c>
      <c r="I282" s="3" t="s">
        <v>45</v>
      </c>
      <c r="J282" s="3">
        <v>2</v>
      </c>
      <c r="K282" s="3">
        <v>88</v>
      </c>
      <c r="L282" s="3">
        <v>88</v>
      </c>
      <c r="M282" s="3">
        <f t="shared" ref="M282:M291" si="60">+K282/L282</f>
        <v>1</v>
      </c>
      <c r="N282" s="3">
        <f t="shared" ref="N282:N291" si="61">+K282/L282</f>
        <v>1</v>
      </c>
      <c r="O282" s="3" t="s">
        <v>35</v>
      </c>
      <c r="P282" s="3" t="s">
        <v>245</v>
      </c>
      <c r="Q282" s="3" t="s">
        <v>205</v>
      </c>
      <c r="R282" s="3">
        <v>0</v>
      </c>
      <c r="S282" s="3">
        <v>0</v>
      </c>
      <c r="T282" s="3" t="s">
        <v>31</v>
      </c>
      <c r="U282" s="3" t="s">
        <v>37</v>
      </c>
      <c r="V282" s="3" t="s">
        <v>202</v>
      </c>
      <c r="W282" s="3" t="s">
        <v>73</v>
      </c>
      <c r="X282" s="3" t="s">
        <v>74</v>
      </c>
      <c r="Y282" s="3" t="s">
        <v>75</v>
      </c>
      <c r="Z282" s="3" t="s">
        <v>86</v>
      </c>
      <c r="AA282" s="3" t="s">
        <v>204</v>
      </c>
      <c r="AB282" s="3" t="s">
        <v>65</v>
      </c>
      <c r="AC282" s="3" t="s">
        <v>31</v>
      </c>
    </row>
    <row r="283" spans="1:29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5">
        <v>44926</v>
      </c>
      <c r="G283" s="3">
        <v>2022</v>
      </c>
      <c r="H283" s="3" t="s">
        <v>44</v>
      </c>
      <c r="I283" s="3" t="s">
        <v>45</v>
      </c>
      <c r="J283" s="3"/>
      <c r="K283" s="3">
        <v>88</v>
      </c>
      <c r="L283" s="3">
        <v>88</v>
      </c>
      <c r="M283" s="3">
        <f t="shared" si="60"/>
        <v>1</v>
      </c>
      <c r="N283" s="3">
        <f t="shared" si="61"/>
        <v>1</v>
      </c>
      <c r="O283" s="3" t="s">
        <v>35</v>
      </c>
      <c r="P283" s="3" t="s">
        <v>35</v>
      </c>
      <c r="Q283" s="3" t="s">
        <v>205</v>
      </c>
      <c r="R283" s="3">
        <v>0</v>
      </c>
      <c r="S283" s="3">
        <v>0</v>
      </c>
      <c r="T283" s="3" t="s">
        <v>443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75</v>
      </c>
      <c r="Z283" s="3" t="s">
        <v>86</v>
      </c>
      <c r="AA283" s="3" t="s">
        <v>204</v>
      </c>
      <c r="AB283" s="3" t="s">
        <v>65</v>
      </c>
      <c r="AC283" s="3" t="s">
        <v>31</v>
      </c>
    </row>
    <row r="284" spans="1:29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5">
        <v>45107</v>
      </c>
      <c r="G284" s="3">
        <v>2023</v>
      </c>
      <c r="H284" s="3" t="s">
        <v>33</v>
      </c>
      <c r="I284" s="3" t="s">
        <v>47</v>
      </c>
      <c r="J284" s="3">
        <v>1</v>
      </c>
      <c r="K284" s="3">
        <v>85</v>
      </c>
      <c r="L284" s="3">
        <v>89.99</v>
      </c>
      <c r="M284" s="3">
        <f t="shared" si="60"/>
        <v>0.94454939437715302</v>
      </c>
      <c r="N284" s="3">
        <f t="shared" si="61"/>
        <v>0.94454939437715302</v>
      </c>
      <c r="O284" s="3" t="s">
        <v>35</v>
      </c>
      <c r="P284" s="3" t="s">
        <v>245</v>
      </c>
      <c r="Q284" s="3" t="s">
        <v>206</v>
      </c>
      <c r="R284" s="3">
        <v>0</v>
      </c>
      <c r="S284" s="3">
        <v>0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75</v>
      </c>
      <c r="Z284" s="3" t="s">
        <v>86</v>
      </c>
      <c r="AA284" s="3" t="s">
        <v>204</v>
      </c>
      <c r="AB284" s="3" t="s">
        <v>65</v>
      </c>
      <c r="AC284" s="3" t="s">
        <v>31</v>
      </c>
    </row>
    <row r="285" spans="1:29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5">
        <v>45291</v>
      </c>
      <c r="G285" s="3">
        <v>2023</v>
      </c>
      <c r="H285" s="3" t="s">
        <v>44</v>
      </c>
      <c r="I285" s="3" t="s">
        <v>49</v>
      </c>
      <c r="J285" s="3">
        <v>2</v>
      </c>
      <c r="K285" s="3">
        <v>85</v>
      </c>
      <c r="L285" s="3">
        <v>84.5</v>
      </c>
      <c r="M285" s="3">
        <f t="shared" si="60"/>
        <v>1.0059171597633136</v>
      </c>
      <c r="N285" s="3">
        <f t="shared" si="61"/>
        <v>1.0059171597633136</v>
      </c>
      <c r="O285" s="3" t="s">
        <v>35</v>
      </c>
      <c r="P285" s="3" t="s">
        <v>245</v>
      </c>
      <c r="Q285" s="3" t="s">
        <v>207</v>
      </c>
      <c r="R285" s="3">
        <v>0</v>
      </c>
      <c r="S285" s="3">
        <v>0</v>
      </c>
      <c r="T285" s="3" t="s">
        <v>31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75</v>
      </c>
      <c r="Z285" s="3" t="s">
        <v>86</v>
      </c>
      <c r="AA285" s="3" t="s">
        <v>204</v>
      </c>
      <c r="AB285" s="3" t="s">
        <v>65</v>
      </c>
      <c r="AC285" s="3" t="s">
        <v>31</v>
      </c>
    </row>
    <row r="286" spans="1:29" x14ac:dyDescent="0.3">
      <c r="A286" s="3">
        <v>276</v>
      </c>
      <c r="B286" s="3" t="s">
        <v>201</v>
      </c>
      <c r="C286" s="3" t="s">
        <v>202</v>
      </c>
      <c r="D286" s="3" t="s">
        <v>31</v>
      </c>
      <c r="E286" s="3" t="s">
        <v>171</v>
      </c>
      <c r="F286" s="5">
        <v>45291</v>
      </c>
      <c r="G286" s="3">
        <v>2023</v>
      </c>
      <c r="H286" s="3" t="s">
        <v>44</v>
      </c>
      <c r="I286" s="3" t="s">
        <v>49</v>
      </c>
      <c r="J286" s="3"/>
      <c r="K286" s="3">
        <v>85</v>
      </c>
      <c r="L286" s="3">
        <v>84.5</v>
      </c>
      <c r="M286" s="3">
        <f t="shared" si="60"/>
        <v>1.0059171597633136</v>
      </c>
      <c r="N286" s="3">
        <f t="shared" si="61"/>
        <v>1.0059171597633136</v>
      </c>
      <c r="O286" s="3" t="s">
        <v>35</v>
      </c>
      <c r="P286" s="3" t="s">
        <v>245</v>
      </c>
      <c r="Q286" s="3" t="s">
        <v>207</v>
      </c>
      <c r="R286" s="3">
        <v>0</v>
      </c>
      <c r="S286" s="3">
        <v>1</v>
      </c>
      <c r="T286" s="3" t="s">
        <v>443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 t="s">
        <v>75</v>
      </c>
      <c r="Z286" s="3" t="s">
        <v>86</v>
      </c>
      <c r="AA286" s="3" t="s">
        <v>204</v>
      </c>
      <c r="AB286" s="3" t="s">
        <v>65</v>
      </c>
      <c r="AC286" s="3" t="s">
        <v>31</v>
      </c>
    </row>
    <row r="287" spans="1:29" x14ac:dyDescent="0.3">
      <c r="A287" s="3">
        <v>276</v>
      </c>
      <c r="B287" s="3" t="s">
        <v>201</v>
      </c>
      <c r="C287" s="3" t="s">
        <v>202</v>
      </c>
      <c r="D287" s="3" t="s">
        <v>31</v>
      </c>
      <c r="E287" s="3" t="s">
        <v>171</v>
      </c>
      <c r="F287" s="5">
        <v>45473</v>
      </c>
      <c r="G287" s="3">
        <v>2024</v>
      </c>
      <c r="H287" s="3" t="s">
        <v>33</v>
      </c>
      <c r="I287" s="3" t="s">
        <v>51</v>
      </c>
      <c r="J287" s="3">
        <v>1</v>
      </c>
      <c r="K287" s="3">
        <v>75</v>
      </c>
      <c r="L287" s="3">
        <v>83.65</v>
      </c>
      <c r="M287" s="3">
        <f t="shared" si="60"/>
        <v>0.89659294680215174</v>
      </c>
      <c r="N287" s="3">
        <f t="shared" si="61"/>
        <v>0.89659294680215174</v>
      </c>
      <c r="O287" s="3" t="s">
        <v>35</v>
      </c>
      <c r="P287" s="3" t="s">
        <v>245</v>
      </c>
      <c r="Q287" s="3" t="s">
        <v>208</v>
      </c>
      <c r="R287" s="3">
        <v>1</v>
      </c>
      <c r="S287" s="3">
        <v>1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 t="s">
        <v>75</v>
      </c>
      <c r="Z287" s="3" t="s">
        <v>86</v>
      </c>
      <c r="AA287" s="3" t="s">
        <v>204</v>
      </c>
      <c r="AB287" s="3" t="s">
        <v>65</v>
      </c>
      <c r="AC287" s="3" t="s">
        <v>31</v>
      </c>
    </row>
    <row r="288" spans="1:29" x14ac:dyDescent="0.3">
      <c r="A288" s="3">
        <v>276</v>
      </c>
      <c r="B288" s="3" t="s">
        <v>201</v>
      </c>
      <c r="C288" s="3" t="s">
        <v>202</v>
      </c>
      <c r="D288" s="3" t="s">
        <v>31</v>
      </c>
      <c r="E288" s="3" t="s">
        <v>171</v>
      </c>
      <c r="F288" s="5">
        <v>45657</v>
      </c>
      <c r="G288" s="3">
        <v>2024</v>
      </c>
      <c r="H288" s="3" t="s">
        <v>44</v>
      </c>
      <c r="I288" s="3" t="s">
        <v>53</v>
      </c>
      <c r="J288" s="3">
        <v>2</v>
      </c>
      <c r="K288" s="3">
        <v>75</v>
      </c>
      <c r="L288" s="3">
        <v>82.68</v>
      </c>
      <c r="M288" s="3">
        <f t="shared" si="60"/>
        <v>0.90711175616835982</v>
      </c>
      <c r="N288" s="3">
        <f t="shared" si="61"/>
        <v>0.90711175616835982</v>
      </c>
      <c r="O288" s="3" t="s">
        <v>35</v>
      </c>
      <c r="P288" s="3" t="s">
        <v>245</v>
      </c>
      <c r="Q288" s="3" t="s">
        <v>209</v>
      </c>
      <c r="R288" s="3">
        <v>0</v>
      </c>
      <c r="S288" s="3">
        <v>0</v>
      </c>
      <c r="T288" s="3" t="s">
        <v>31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 t="s">
        <v>75</v>
      </c>
      <c r="Z288" s="3" t="s">
        <v>86</v>
      </c>
      <c r="AA288" s="3" t="s">
        <v>204</v>
      </c>
      <c r="AB288" s="3" t="s">
        <v>65</v>
      </c>
      <c r="AC288" s="3" t="s">
        <v>31</v>
      </c>
    </row>
    <row r="289" spans="1:29" x14ac:dyDescent="0.3">
      <c r="A289" s="3">
        <v>276</v>
      </c>
      <c r="B289" s="3" t="s">
        <v>201</v>
      </c>
      <c r="C289" s="3" t="s">
        <v>202</v>
      </c>
      <c r="D289" s="3" t="s">
        <v>31</v>
      </c>
      <c r="E289" s="3" t="s">
        <v>171</v>
      </c>
      <c r="F289" s="5">
        <v>45657</v>
      </c>
      <c r="G289" s="3">
        <v>2024</v>
      </c>
      <c r="H289" s="3" t="s">
        <v>44</v>
      </c>
      <c r="I289" s="3" t="s">
        <v>53</v>
      </c>
      <c r="J289" s="3"/>
      <c r="K289" s="3">
        <v>75</v>
      </c>
      <c r="L289" s="3">
        <v>82.68</v>
      </c>
      <c r="M289" s="3">
        <f t="shared" si="60"/>
        <v>0.90711175616835982</v>
      </c>
      <c r="N289" s="3">
        <f t="shared" si="61"/>
        <v>0.90711175616835982</v>
      </c>
      <c r="O289" s="3" t="s">
        <v>35</v>
      </c>
      <c r="P289" s="3" t="s">
        <v>245</v>
      </c>
      <c r="Q289" s="3" t="s">
        <v>209</v>
      </c>
      <c r="R289" s="3">
        <v>0</v>
      </c>
      <c r="S289" s="3">
        <v>1</v>
      </c>
      <c r="T289" s="3" t="s">
        <v>443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 t="s">
        <v>75</v>
      </c>
      <c r="Z289" s="3" t="s">
        <v>86</v>
      </c>
      <c r="AA289" s="3" t="s">
        <v>204</v>
      </c>
      <c r="AB289" s="3" t="s">
        <v>65</v>
      </c>
      <c r="AC289" s="3" t="s">
        <v>31</v>
      </c>
    </row>
    <row r="290" spans="1:29" x14ac:dyDescent="0.3">
      <c r="A290" s="3">
        <v>276</v>
      </c>
      <c r="B290" s="3" t="s">
        <v>201</v>
      </c>
      <c r="C290" s="3" t="s">
        <v>202</v>
      </c>
      <c r="D290" s="3" t="s">
        <v>31</v>
      </c>
      <c r="E290" s="3" t="s">
        <v>171</v>
      </c>
      <c r="F290" s="5">
        <v>45838</v>
      </c>
      <c r="G290" s="3">
        <v>2025</v>
      </c>
      <c r="H290" s="3" t="s">
        <v>33</v>
      </c>
      <c r="I290" s="3" t="s">
        <v>404</v>
      </c>
      <c r="J290" s="3">
        <v>1</v>
      </c>
      <c r="K290" s="3">
        <v>81</v>
      </c>
      <c r="L290" s="3">
        <v>84.18</v>
      </c>
      <c r="M290" s="3">
        <f t="shared" si="60"/>
        <v>0.96222380612972191</v>
      </c>
      <c r="N290" s="3">
        <f t="shared" si="61"/>
        <v>0.96222380612972191</v>
      </c>
      <c r="O290" s="3" t="s">
        <v>35</v>
      </c>
      <c r="P290" s="3" t="s">
        <v>245</v>
      </c>
      <c r="Q290" s="3" t="s">
        <v>410</v>
      </c>
      <c r="R290" s="3">
        <v>0</v>
      </c>
      <c r="S290" s="3">
        <v>1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 t="s">
        <v>75</v>
      </c>
      <c r="Z290" s="3" t="s">
        <v>86</v>
      </c>
      <c r="AA290" s="3" t="s">
        <v>204</v>
      </c>
      <c r="AB290" s="3" t="s">
        <v>65</v>
      </c>
      <c r="AC290" s="3" t="s">
        <v>31</v>
      </c>
    </row>
    <row r="291" spans="1:29" x14ac:dyDescent="0.3">
      <c r="A291" s="3">
        <v>276</v>
      </c>
      <c r="B291" s="3" t="s">
        <v>201</v>
      </c>
      <c r="C291" s="3" t="s">
        <v>202</v>
      </c>
      <c r="D291" s="3" t="s">
        <v>31</v>
      </c>
      <c r="E291" s="3" t="s">
        <v>171</v>
      </c>
      <c r="F291" s="5">
        <v>46022</v>
      </c>
      <c r="G291" s="3">
        <v>2025</v>
      </c>
      <c r="H291" s="3" t="s">
        <v>44</v>
      </c>
      <c r="I291" s="3" t="s">
        <v>465</v>
      </c>
      <c r="J291" s="3">
        <v>2</v>
      </c>
      <c r="K291" s="3">
        <v>81</v>
      </c>
      <c r="L291" s="3">
        <v>82.81</v>
      </c>
      <c r="M291" s="3">
        <f t="shared" si="60"/>
        <v>0.97814273638449456</v>
      </c>
      <c r="N291" s="3">
        <f t="shared" si="61"/>
        <v>0.97814273638449456</v>
      </c>
      <c r="O291" s="3" t="s">
        <v>35</v>
      </c>
      <c r="P291" s="3" t="s">
        <v>245</v>
      </c>
      <c r="Q291" s="3" t="s">
        <v>514</v>
      </c>
      <c r="R291" s="3">
        <v>0</v>
      </c>
      <c r="S291" s="3">
        <v>1</v>
      </c>
      <c r="T291" s="3" t="s">
        <v>31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 t="s">
        <v>75</v>
      </c>
      <c r="Z291" s="3" t="s">
        <v>86</v>
      </c>
      <c r="AA291" s="3" t="s">
        <v>204</v>
      </c>
      <c r="AB291" s="3" t="s">
        <v>65</v>
      </c>
      <c r="AC291" s="3" t="s">
        <v>31</v>
      </c>
    </row>
    <row r="292" spans="1:29" x14ac:dyDescent="0.3">
      <c r="A292" s="3">
        <v>277</v>
      </c>
      <c r="B292" s="3" t="s">
        <v>210</v>
      </c>
      <c r="C292" s="3" t="s">
        <v>202</v>
      </c>
      <c r="D292" s="3" t="s">
        <v>31</v>
      </c>
      <c r="E292" s="3" t="s">
        <v>171</v>
      </c>
      <c r="F292" s="5">
        <v>45107</v>
      </c>
      <c r="G292" s="3">
        <v>2023</v>
      </c>
      <c r="H292" s="3" t="s">
        <v>33</v>
      </c>
      <c r="I292" s="3" t="s">
        <v>47</v>
      </c>
      <c r="J292" s="3">
        <v>1</v>
      </c>
      <c r="K292" s="3">
        <v>85</v>
      </c>
      <c r="L292" s="3">
        <v>76.48</v>
      </c>
      <c r="M292" s="3">
        <f>+K292/L292</f>
        <v>1.1114016736401673</v>
      </c>
      <c r="N292" s="3">
        <f>+K292/L292</f>
        <v>1.1114016736401673</v>
      </c>
      <c r="O292" s="3" t="s">
        <v>35</v>
      </c>
      <c r="P292" s="3" t="s">
        <v>245</v>
      </c>
      <c r="Q292" s="3" t="s">
        <v>211</v>
      </c>
      <c r="R292" s="3">
        <v>1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/>
      <c r="Z292" s="3" t="s">
        <v>86</v>
      </c>
      <c r="AA292" s="3" t="s">
        <v>204</v>
      </c>
      <c r="AB292" s="3" t="s">
        <v>65</v>
      </c>
      <c r="AC292" s="3" t="s">
        <v>31</v>
      </c>
    </row>
    <row r="293" spans="1:29" x14ac:dyDescent="0.3">
      <c r="A293" s="3">
        <v>277</v>
      </c>
      <c r="B293" s="3" t="s">
        <v>210</v>
      </c>
      <c r="C293" s="3" t="s">
        <v>202</v>
      </c>
      <c r="D293" s="3" t="s">
        <v>31</v>
      </c>
      <c r="E293" s="3" t="s">
        <v>171</v>
      </c>
      <c r="F293" s="5">
        <v>45291</v>
      </c>
      <c r="G293" s="3">
        <v>2023</v>
      </c>
      <c r="H293" s="3" t="s">
        <v>44</v>
      </c>
      <c r="I293" s="3" t="s">
        <v>49</v>
      </c>
      <c r="J293" s="3">
        <v>2</v>
      </c>
      <c r="K293" s="3">
        <v>85</v>
      </c>
      <c r="L293" s="3">
        <v>73.290000000000006</v>
      </c>
      <c r="M293" s="3">
        <f t="shared" ref="M293:M299" si="62">+K293/L293</f>
        <v>1.1597762314094691</v>
      </c>
      <c r="N293" s="3">
        <f t="shared" ref="N293:N299" si="63">+K293/L293</f>
        <v>1.1597762314094691</v>
      </c>
      <c r="O293" s="3" t="s">
        <v>35</v>
      </c>
      <c r="P293" s="3" t="s">
        <v>245</v>
      </c>
      <c r="Q293" s="3" t="s">
        <v>212</v>
      </c>
      <c r="R293" s="3">
        <v>1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/>
      <c r="Z293" s="3" t="s">
        <v>86</v>
      </c>
      <c r="AA293" s="3" t="s">
        <v>204</v>
      </c>
      <c r="AB293" s="3" t="s">
        <v>65</v>
      </c>
      <c r="AC293" s="3" t="s">
        <v>31</v>
      </c>
    </row>
    <row r="294" spans="1:29" x14ac:dyDescent="0.3">
      <c r="A294" s="3">
        <v>277</v>
      </c>
      <c r="B294" s="3" t="s">
        <v>210</v>
      </c>
      <c r="C294" s="3" t="s">
        <v>202</v>
      </c>
      <c r="D294" s="3" t="s">
        <v>31</v>
      </c>
      <c r="E294" s="3" t="s">
        <v>171</v>
      </c>
      <c r="F294" s="5">
        <v>45291</v>
      </c>
      <c r="G294" s="3">
        <v>2023</v>
      </c>
      <c r="H294" s="3" t="s">
        <v>44</v>
      </c>
      <c r="I294" s="3" t="s">
        <v>49</v>
      </c>
      <c r="J294" s="3"/>
      <c r="K294" s="3">
        <v>85</v>
      </c>
      <c r="L294" s="3">
        <v>73.290000000000006</v>
      </c>
      <c r="M294" s="3">
        <f t="shared" si="62"/>
        <v>1.1597762314094691</v>
      </c>
      <c r="N294" s="3">
        <f t="shared" si="63"/>
        <v>1.1597762314094691</v>
      </c>
      <c r="O294" s="3" t="s">
        <v>35</v>
      </c>
      <c r="P294" s="3" t="s">
        <v>245</v>
      </c>
      <c r="Q294" s="3" t="s">
        <v>212</v>
      </c>
      <c r="R294" s="3">
        <v>1</v>
      </c>
      <c r="S294" s="3">
        <v>1</v>
      </c>
      <c r="T294" s="3" t="s">
        <v>443</v>
      </c>
      <c r="U294" s="3" t="s">
        <v>37</v>
      </c>
      <c r="V294" s="3" t="s">
        <v>202</v>
      </c>
      <c r="W294" s="3" t="s">
        <v>73</v>
      </c>
      <c r="X294" s="3" t="s">
        <v>74</v>
      </c>
      <c r="Y294" s="3"/>
      <c r="Z294" s="3" t="s">
        <v>86</v>
      </c>
      <c r="AA294" s="3" t="s">
        <v>204</v>
      </c>
      <c r="AB294" s="3" t="s">
        <v>65</v>
      </c>
      <c r="AC294" s="3" t="s">
        <v>31</v>
      </c>
    </row>
    <row r="295" spans="1:29" x14ac:dyDescent="0.3">
      <c r="A295" s="3">
        <v>277</v>
      </c>
      <c r="B295" s="3" t="s">
        <v>210</v>
      </c>
      <c r="C295" s="3" t="s">
        <v>202</v>
      </c>
      <c r="D295" s="3" t="s">
        <v>31</v>
      </c>
      <c r="E295" s="3" t="s">
        <v>171</v>
      </c>
      <c r="F295" s="5">
        <v>45473</v>
      </c>
      <c r="G295" s="3">
        <v>2024</v>
      </c>
      <c r="H295" s="3" t="s">
        <v>33</v>
      </c>
      <c r="I295" s="3" t="s">
        <v>51</v>
      </c>
      <c r="J295" s="3">
        <v>1</v>
      </c>
      <c r="K295" s="3">
        <v>73</v>
      </c>
      <c r="L295" s="3">
        <v>71.180000000000007</v>
      </c>
      <c r="M295" s="3">
        <f t="shared" si="62"/>
        <v>1.0255689800505758</v>
      </c>
      <c r="N295" s="3">
        <f t="shared" si="63"/>
        <v>1.0255689800505758</v>
      </c>
      <c r="O295" s="3" t="s">
        <v>35</v>
      </c>
      <c r="P295" s="3" t="s">
        <v>245</v>
      </c>
      <c r="Q295" s="3" t="s">
        <v>213</v>
      </c>
      <c r="R295" s="3">
        <v>1</v>
      </c>
      <c r="S295" s="3">
        <v>1</v>
      </c>
      <c r="T295" s="3" t="s">
        <v>31</v>
      </c>
      <c r="U295" s="3" t="s">
        <v>37</v>
      </c>
      <c r="V295" s="3" t="s">
        <v>202</v>
      </c>
      <c r="W295" s="3" t="s">
        <v>73</v>
      </c>
      <c r="X295" s="3" t="s">
        <v>74</v>
      </c>
      <c r="Y295" s="3"/>
      <c r="Z295" s="3" t="s">
        <v>86</v>
      </c>
      <c r="AA295" s="3" t="s">
        <v>204</v>
      </c>
      <c r="AB295" s="3" t="s">
        <v>65</v>
      </c>
      <c r="AC295" s="3" t="s">
        <v>31</v>
      </c>
    </row>
    <row r="296" spans="1:29" x14ac:dyDescent="0.3">
      <c r="A296" s="3">
        <v>277</v>
      </c>
      <c r="B296" s="3" t="s">
        <v>210</v>
      </c>
      <c r="C296" s="3" t="s">
        <v>202</v>
      </c>
      <c r="D296" s="3" t="s">
        <v>31</v>
      </c>
      <c r="E296" s="3" t="s">
        <v>171</v>
      </c>
      <c r="F296" s="5">
        <v>45657</v>
      </c>
      <c r="G296" s="3">
        <v>2024</v>
      </c>
      <c r="H296" s="3" t="s">
        <v>44</v>
      </c>
      <c r="I296" s="3" t="s">
        <v>53</v>
      </c>
      <c r="J296" s="3">
        <v>2</v>
      </c>
      <c r="K296" s="3">
        <v>73</v>
      </c>
      <c r="L296" s="3">
        <v>71.239999999999995</v>
      </c>
      <c r="M296" s="3">
        <f t="shared" si="62"/>
        <v>1.0247052217855139</v>
      </c>
      <c r="N296" s="3">
        <f t="shared" si="63"/>
        <v>1.0247052217855139</v>
      </c>
      <c r="O296" s="3" t="s">
        <v>35</v>
      </c>
      <c r="P296" s="3" t="s">
        <v>245</v>
      </c>
      <c r="Q296" s="3" t="s">
        <v>214</v>
      </c>
      <c r="R296" s="3">
        <v>0</v>
      </c>
      <c r="S296" s="3">
        <v>0</v>
      </c>
      <c r="T296" s="3" t="s">
        <v>31</v>
      </c>
      <c r="U296" s="3" t="s">
        <v>37</v>
      </c>
      <c r="V296" s="3" t="s">
        <v>202</v>
      </c>
      <c r="W296" s="3" t="s">
        <v>73</v>
      </c>
      <c r="X296" s="3" t="s">
        <v>74</v>
      </c>
      <c r="Y296" s="3"/>
      <c r="Z296" s="3" t="s">
        <v>86</v>
      </c>
      <c r="AA296" s="3" t="s">
        <v>204</v>
      </c>
      <c r="AB296" s="3" t="s">
        <v>65</v>
      </c>
      <c r="AC296" s="3" t="s">
        <v>31</v>
      </c>
    </row>
    <row r="297" spans="1:29" x14ac:dyDescent="0.3">
      <c r="A297" s="3">
        <v>277</v>
      </c>
      <c r="B297" s="3" t="s">
        <v>210</v>
      </c>
      <c r="C297" s="3" t="s">
        <v>202</v>
      </c>
      <c r="D297" s="3" t="s">
        <v>31</v>
      </c>
      <c r="E297" s="3" t="s">
        <v>171</v>
      </c>
      <c r="F297" s="5">
        <v>45657</v>
      </c>
      <c r="G297" s="3">
        <v>2024</v>
      </c>
      <c r="H297" s="3" t="s">
        <v>44</v>
      </c>
      <c r="I297" s="3" t="s">
        <v>53</v>
      </c>
      <c r="J297" s="3"/>
      <c r="K297" s="3">
        <v>73</v>
      </c>
      <c r="L297" s="3">
        <v>71.239999999999995</v>
      </c>
      <c r="M297" s="3">
        <f t="shared" si="62"/>
        <v>1.0247052217855139</v>
      </c>
      <c r="N297" s="3">
        <f t="shared" si="63"/>
        <v>1.0247052217855139</v>
      </c>
      <c r="O297" s="3" t="s">
        <v>35</v>
      </c>
      <c r="P297" s="3" t="s">
        <v>245</v>
      </c>
      <c r="Q297" s="3" t="s">
        <v>214</v>
      </c>
      <c r="R297" s="3">
        <v>1</v>
      </c>
      <c r="S297" s="3">
        <v>1</v>
      </c>
      <c r="T297" s="3" t="s">
        <v>443</v>
      </c>
      <c r="U297" s="3" t="s">
        <v>37</v>
      </c>
      <c r="V297" s="3" t="s">
        <v>202</v>
      </c>
      <c r="W297" s="3" t="s">
        <v>73</v>
      </c>
      <c r="X297" s="3" t="s">
        <v>74</v>
      </c>
      <c r="Y297" s="3"/>
      <c r="Z297" s="3" t="s">
        <v>86</v>
      </c>
      <c r="AA297" s="3" t="s">
        <v>204</v>
      </c>
      <c r="AB297" s="3" t="s">
        <v>65</v>
      </c>
      <c r="AC297" s="3" t="s">
        <v>31</v>
      </c>
    </row>
    <row r="298" spans="1:29" x14ac:dyDescent="0.3">
      <c r="A298" s="3">
        <v>277</v>
      </c>
      <c r="B298" s="3" t="s">
        <v>210</v>
      </c>
      <c r="C298" s="3" t="s">
        <v>202</v>
      </c>
      <c r="D298" s="3" t="s">
        <v>31</v>
      </c>
      <c r="E298" s="3" t="s">
        <v>171</v>
      </c>
      <c r="F298" s="5">
        <v>45838</v>
      </c>
      <c r="G298" s="3">
        <v>2025</v>
      </c>
      <c r="H298" s="3" t="s">
        <v>33</v>
      </c>
      <c r="I298" s="3" t="s">
        <v>404</v>
      </c>
      <c r="J298" s="3">
        <v>1</v>
      </c>
      <c r="K298" s="3">
        <v>71</v>
      </c>
      <c r="L298" s="3">
        <v>69.39</v>
      </c>
      <c r="M298" s="3">
        <f t="shared" si="62"/>
        <v>1.0232021905173656</v>
      </c>
      <c r="N298" s="3">
        <f t="shared" si="63"/>
        <v>1.0232021905173656</v>
      </c>
      <c r="O298" s="3" t="s">
        <v>35</v>
      </c>
      <c r="P298" s="3" t="s">
        <v>245</v>
      </c>
      <c r="Q298" s="3" t="s">
        <v>434</v>
      </c>
      <c r="R298" s="3">
        <v>1</v>
      </c>
      <c r="S298" s="3">
        <v>1</v>
      </c>
      <c r="T298" s="3" t="s">
        <v>31</v>
      </c>
      <c r="U298" s="3" t="s">
        <v>37</v>
      </c>
      <c r="V298" s="3" t="s">
        <v>202</v>
      </c>
      <c r="W298" s="3" t="s">
        <v>73</v>
      </c>
      <c r="X298" s="3" t="s">
        <v>74</v>
      </c>
      <c r="Y298" s="3"/>
      <c r="Z298" s="3" t="s">
        <v>86</v>
      </c>
      <c r="AA298" s="3" t="s">
        <v>204</v>
      </c>
      <c r="AB298" s="3" t="s">
        <v>65</v>
      </c>
      <c r="AC298" s="3" t="s">
        <v>31</v>
      </c>
    </row>
    <row r="299" spans="1:29" x14ac:dyDescent="0.3">
      <c r="A299" s="3">
        <v>277</v>
      </c>
      <c r="B299" s="3" t="s">
        <v>210</v>
      </c>
      <c r="C299" s="3" t="s">
        <v>202</v>
      </c>
      <c r="D299" s="3" t="s">
        <v>31</v>
      </c>
      <c r="E299" s="3" t="s">
        <v>171</v>
      </c>
      <c r="F299" s="5">
        <v>46022</v>
      </c>
      <c r="G299" s="3">
        <v>2025</v>
      </c>
      <c r="H299" s="3" t="s">
        <v>44</v>
      </c>
      <c r="I299" s="3" t="s">
        <v>465</v>
      </c>
      <c r="J299" s="3">
        <v>2</v>
      </c>
      <c r="K299" s="3">
        <v>71</v>
      </c>
      <c r="L299" s="3">
        <v>68.400000000000006</v>
      </c>
      <c r="M299" s="3">
        <f t="shared" si="62"/>
        <v>1.0380116959064327</v>
      </c>
      <c r="N299" s="3">
        <f t="shared" si="63"/>
        <v>1.0380116959064327</v>
      </c>
      <c r="O299" s="3" t="s">
        <v>35</v>
      </c>
      <c r="P299" s="3" t="s">
        <v>245</v>
      </c>
      <c r="Q299" s="3" t="s">
        <v>515</v>
      </c>
      <c r="R299" s="3">
        <v>1</v>
      </c>
      <c r="S299" s="3">
        <v>1</v>
      </c>
      <c r="T299" s="3" t="s">
        <v>31</v>
      </c>
      <c r="U299" s="3" t="s">
        <v>37</v>
      </c>
      <c r="V299" s="3" t="s">
        <v>202</v>
      </c>
      <c r="W299" s="3" t="s">
        <v>73</v>
      </c>
      <c r="X299" s="3" t="s">
        <v>74</v>
      </c>
      <c r="Y299" s="3"/>
      <c r="Z299" s="3" t="s">
        <v>86</v>
      </c>
      <c r="AA299" s="3" t="s">
        <v>204</v>
      </c>
      <c r="AB299" s="3" t="s">
        <v>65</v>
      </c>
      <c r="AC299" s="3" t="s">
        <v>31</v>
      </c>
    </row>
    <row r="300" spans="1:29" x14ac:dyDescent="0.3">
      <c r="A300" s="3">
        <v>323</v>
      </c>
      <c r="B300" s="3" t="s">
        <v>215</v>
      </c>
      <c r="C300" s="3" t="s">
        <v>216</v>
      </c>
      <c r="D300" s="3" t="s">
        <v>31</v>
      </c>
      <c r="E300" s="3" t="s">
        <v>32</v>
      </c>
      <c r="F300" s="5">
        <v>44926</v>
      </c>
      <c r="G300" s="3">
        <v>2022</v>
      </c>
      <c r="H300" s="3" t="s">
        <v>44</v>
      </c>
      <c r="I300" s="3" t="s">
        <v>45</v>
      </c>
      <c r="J300" s="3">
        <v>2</v>
      </c>
      <c r="K300" s="3">
        <v>3</v>
      </c>
      <c r="L300" s="3">
        <v>3</v>
      </c>
      <c r="M300" s="3">
        <v>1</v>
      </c>
      <c r="N300" s="3">
        <v>1</v>
      </c>
      <c r="O300" s="3"/>
      <c r="P300" s="3"/>
      <c r="Q300" s="3" t="s">
        <v>217</v>
      </c>
      <c r="R300" s="3">
        <v>0</v>
      </c>
      <c r="S300" s="3">
        <v>0</v>
      </c>
      <c r="T300" s="3" t="s">
        <v>31</v>
      </c>
      <c r="U300" s="3" t="s">
        <v>37</v>
      </c>
      <c r="V300" s="3" t="s">
        <v>216</v>
      </c>
      <c r="W300" s="3" t="s">
        <v>73</v>
      </c>
      <c r="X300" s="3" t="s">
        <v>218</v>
      </c>
      <c r="Y300" s="3" t="s">
        <v>219</v>
      </c>
      <c r="Z300" s="3" t="s">
        <v>86</v>
      </c>
      <c r="AA300" s="3" t="s">
        <v>87</v>
      </c>
      <c r="AB300" s="3" t="s">
        <v>78</v>
      </c>
      <c r="AC300" s="3" t="s">
        <v>66</v>
      </c>
    </row>
    <row r="301" spans="1:29" x14ac:dyDescent="0.3">
      <c r="A301" s="3">
        <v>323</v>
      </c>
      <c r="B301" s="3" t="s">
        <v>215</v>
      </c>
      <c r="C301" s="3" t="s">
        <v>216</v>
      </c>
      <c r="D301" s="3" t="s">
        <v>31</v>
      </c>
      <c r="E301" s="3" t="s">
        <v>32</v>
      </c>
      <c r="F301" s="5">
        <v>44926</v>
      </c>
      <c r="G301" s="3">
        <v>2022</v>
      </c>
      <c r="H301" s="3" t="s">
        <v>44</v>
      </c>
      <c r="I301" s="3" t="s">
        <v>45</v>
      </c>
      <c r="J301" s="3"/>
      <c r="K301" s="3">
        <v>3</v>
      </c>
      <c r="L301" s="3">
        <v>3</v>
      </c>
      <c r="M301" s="3">
        <v>1</v>
      </c>
      <c r="N301" s="3">
        <v>1</v>
      </c>
      <c r="O301" s="3" t="s">
        <v>35</v>
      </c>
      <c r="P301" s="3" t="s">
        <v>35</v>
      </c>
      <c r="Q301" s="3" t="s">
        <v>217</v>
      </c>
      <c r="R301" s="3">
        <v>0</v>
      </c>
      <c r="S301" s="3">
        <v>0</v>
      </c>
      <c r="T301" s="3" t="s">
        <v>443</v>
      </c>
      <c r="U301" s="3" t="s">
        <v>37</v>
      </c>
      <c r="V301" s="3" t="s">
        <v>216</v>
      </c>
      <c r="W301" s="3" t="s">
        <v>73</v>
      </c>
      <c r="X301" s="3" t="s">
        <v>218</v>
      </c>
      <c r="Y301" s="3" t="s">
        <v>219</v>
      </c>
      <c r="Z301" s="3" t="s">
        <v>86</v>
      </c>
      <c r="AA301" s="3" t="s">
        <v>87</v>
      </c>
      <c r="AB301" s="3" t="s">
        <v>78</v>
      </c>
      <c r="AC301" s="3" t="s">
        <v>66</v>
      </c>
    </row>
    <row r="302" spans="1:29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5">
        <v>45107</v>
      </c>
      <c r="G302" s="3">
        <v>2023</v>
      </c>
      <c r="H302" s="3" t="s">
        <v>33</v>
      </c>
      <c r="I302" s="3" t="s">
        <v>47</v>
      </c>
      <c r="J302" s="3">
        <v>1</v>
      </c>
      <c r="K302" s="3">
        <v>2</v>
      </c>
      <c r="L302" s="3">
        <v>2</v>
      </c>
      <c r="M302" s="3">
        <v>1</v>
      </c>
      <c r="N302" s="3">
        <v>1</v>
      </c>
      <c r="O302" s="3"/>
      <c r="P302" s="3"/>
      <c r="Q302" s="3" t="s">
        <v>220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</row>
    <row r="303" spans="1:29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5">
        <v>45291</v>
      </c>
      <c r="G303" s="3">
        <v>2023</v>
      </c>
      <c r="H303" s="3" t="s">
        <v>44</v>
      </c>
      <c r="I303" s="3" t="s">
        <v>49</v>
      </c>
      <c r="J303" s="3">
        <v>2</v>
      </c>
      <c r="K303" s="3">
        <v>6</v>
      </c>
      <c r="L303" s="3">
        <v>6</v>
      </c>
      <c r="M303" s="3">
        <v>1</v>
      </c>
      <c r="N303" s="3">
        <v>1</v>
      </c>
      <c r="O303" s="3"/>
      <c r="P303" s="3"/>
      <c r="Q303" s="3" t="s">
        <v>221</v>
      </c>
      <c r="R303" s="3">
        <v>0</v>
      </c>
      <c r="S303" s="3">
        <v>0</v>
      </c>
      <c r="T303" s="3" t="s">
        <v>31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</row>
    <row r="304" spans="1:29" x14ac:dyDescent="0.3">
      <c r="A304" s="3">
        <v>323</v>
      </c>
      <c r="B304" s="3" t="s">
        <v>215</v>
      </c>
      <c r="C304" s="3" t="s">
        <v>216</v>
      </c>
      <c r="D304" s="3" t="s">
        <v>31</v>
      </c>
      <c r="E304" s="3" t="s">
        <v>32</v>
      </c>
      <c r="F304" s="5">
        <v>45291</v>
      </c>
      <c r="G304" s="3">
        <v>2023</v>
      </c>
      <c r="H304" s="3" t="s">
        <v>44</v>
      </c>
      <c r="I304" s="3" t="s">
        <v>49</v>
      </c>
      <c r="J304" s="3"/>
      <c r="K304" s="3">
        <v>8</v>
      </c>
      <c r="L304" s="3">
        <v>8</v>
      </c>
      <c r="M304" s="3">
        <v>1</v>
      </c>
      <c r="N304" s="3">
        <v>1</v>
      </c>
      <c r="O304" s="3" t="s">
        <v>35</v>
      </c>
      <c r="P304" s="3" t="s">
        <v>35</v>
      </c>
      <c r="Q304" s="3" t="s">
        <v>221</v>
      </c>
      <c r="R304" s="3">
        <v>0</v>
      </c>
      <c r="S304" s="3">
        <v>0</v>
      </c>
      <c r="T304" s="3" t="s">
        <v>443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</row>
    <row r="305" spans="1:29" x14ac:dyDescent="0.3">
      <c r="A305" s="3">
        <v>323</v>
      </c>
      <c r="B305" s="3" t="s">
        <v>215</v>
      </c>
      <c r="C305" s="3" t="s">
        <v>216</v>
      </c>
      <c r="D305" s="3" t="s">
        <v>31</v>
      </c>
      <c r="E305" s="3" t="s">
        <v>32</v>
      </c>
      <c r="F305" s="5">
        <v>45473</v>
      </c>
      <c r="G305" s="3">
        <v>2024</v>
      </c>
      <c r="H305" s="3" t="s">
        <v>33</v>
      </c>
      <c r="I305" s="3" t="s">
        <v>51</v>
      </c>
      <c r="J305" s="3">
        <v>1</v>
      </c>
      <c r="K305" s="3">
        <v>3</v>
      </c>
      <c r="L305" s="3">
        <v>3</v>
      </c>
      <c r="M305" s="3">
        <v>1</v>
      </c>
      <c r="N305" s="3">
        <v>1</v>
      </c>
      <c r="O305" s="3"/>
      <c r="P305" s="3"/>
      <c r="Q305" s="3" t="s">
        <v>222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</row>
    <row r="306" spans="1:29" x14ac:dyDescent="0.3">
      <c r="A306" s="3">
        <v>323</v>
      </c>
      <c r="B306" s="3" t="s">
        <v>215</v>
      </c>
      <c r="C306" s="3" t="s">
        <v>216</v>
      </c>
      <c r="D306" s="3" t="s">
        <v>31</v>
      </c>
      <c r="E306" s="3" t="s">
        <v>32</v>
      </c>
      <c r="F306" s="5">
        <v>45657</v>
      </c>
      <c r="G306" s="3">
        <v>2024</v>
      </c>
      <c r="H306" s="3" t="s">
        <v>44</v>
      </c>
      <c r="I306" s="3" t="s">
        <v>53</v>
      </c>
      <c r="J306" s="3">
        <v>2</v>
      </c>
      <c r="K306" s="3">
        <v>0</v>
      </c>
      <c r="L306" s="3">
        <v>0</v>
      </c>
      <c r="M306" s="3"/>
      <c r="N306" s="3"/>
      <c r="O306" s="3"/>
      <c r="P306" s="3"/>
      <c r="Q306" s="3" t="s">
        <v>223</v>
      </c>
      <c r="R306" s="3">
        <v>0</v>
      </c>
      <c r="S306" s="3">
        <v>0</v>
      </c>
      <c r="T306" s="3" t="s">
        <v>31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</row>
    <row r="307" spans="1:29" x14ac:dyDescent="0.3">
      <c r="A307" s="3">
        <v>323</v>
      </c>
      <c r="B307" s="3" t="s">
        <v>215</v>
      </c>
      <c r="C307" s="3" t="s">
        <v>216</v>
      </c>
      <c r="D307" s="3" t="s">
        <v>31</v>
      </c>
      <c r="E307" s="3" t="s">
        <v>32</v>
      </c>
      <c r="F307" s="5">
        <v>45657</v>
      </c>
      <c r="G307" s="3">
        <v>2024</v>
      </c>
      <c r="H307" s="3" t="s">
        <v>44</v>
      </c>
      <c r="I307" s="3" t="s">
        <v>53</v>
      </c>
      <c r="J307" s="3"/>
      <c r="K307" s="3">
        <v>3</v>
      </c>
      <c r="L307" s="3">
        <v>3</v>
      </c>
      <c r="M307" s="3">
        <v>1</v>
      </c>
      <c r="N307" s="3">
        <v>1</v>
      </c>
      <c r="O307" s="3" t="s">
        <v>35</v>
      </c>
      <c r="P307" s="3" t="s">
        <v>35</v>
      </c>
      <c r="Q307" s="3" t="s">
        <v>223</v>
      </c>
      <c r="R307" s="3">
        <v>0</v>
      </c>
      <c r="S307" s="3">
        <v>0</v>
      </c>
      <c r="T307" s="3" t="s">
        <v>443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</row>
    <row r="308" spans="1:29" x14ac:dyDescent="0.3">
      <c r="A308" s="3">
        <v>323</v>
      </c>
      <c r="B308" s="3" t="s">
        <v>215</v>
      </c>
      <c r="C308" s="3" t="s">
        <v>216</v>
      </c>
      <c r="D308" s="3" t="s">
        <v>31</v>
      </c>
      <c r="E308" s="3" t="s">
        <v>32</v>
      </c>
      <c r="F308" s="5">
        <v>45838</v>
      </c>
      <c r="G308" s="3">
        <v>2025</v>
      </c>
      <c r="H308" s="3" t="s">
        <v>33</v>
      </c>
      <c r="I308" s="3" t="s">
        <v>404</v>
      </c>
      <c r="J308" s="3">
        <v>1</v>
      </c>
      <c r="K308" s="3">
        <v>1</v>
      </c>
      <c r="L308" s="3">
        <v>1</v>
      </c>
      <c r="M308" s="3">
        <v>1</v>
      </c>
      <c r="N308" s="3">
        <v>1</v>
      </c>
      <c r="O308" s="3" t="s">
        <v>35</v>
      </c>
      <c r="P308" s="3" t="s">
        <v>35</v>
      </c>
      <c r="Q308" s="3" t="s">
        <v>409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</row>
    <row r="309" spans="1:29" x14ac:dyDescent="0.3">
      <c r="A309" s="3">
        <v>323</v>
      </c>
      <c r="B309" s="3" t="s">
        <v>215</v>
      </c>
      <c r="C309" s="3" t="s">
        <v>216</v>
      </c>
      <c r="D309" s="3" t="s">
        <v>31</v>
      </c>
      <c r="E309" s="3" t="s">
        <v>32</v>
      </c>
      <c r="F309" s="5">
        <v>46022</v>
      </c>
      <c r="G309" s="3">
        <v>2025</v>
      </c>
      <c r="H309" s="3" t="s">
        <v>44</v>
      </c>
      <c r="I309" s="3" t="s">
        <v>465</v>
      </c>
      <c r="J309" s="3">
        <v>2</v>
      </c>
      <c r="K309" s="3">
        <v>6</v>
      </c>
      <c r="L309" s="3">
        <v>6</v>
      </c>
      <c r="M309" s="3">
        <v>1</v>
      </c>
      <c r="N309" s="3">
        <v>1</v>
      </c>
      <c r="O309" s="3" t="s">
        <v>35</v>
      </c>
      <c r="P309" s="3" t="s">
        <v>35</v>
      </c>
      <c r="Q309" s="3" t="s">
        <v>522</v>
      </c>
      <c r="R309" s="3">
        <v>0</v>
      </c>
      <c r="S309" s="3">
        <v>0</v>
      </c>
      <c r="T309" s="3" t="s">
        <v>31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</row>
    <row r="310" spans="1:29" x14ac:dyDescent="0.3">
      <c r="A310" s="3">
        <v>325</v>
      </c>
      <c r="B310" s="3" t="s">
        <v>224</v>
      </c>
      <c r="C310" s="3" t="s">
        <v>216</v>
      </c>
      <c r="D310" s="3" t="s">
        <v>31</v>
      </c>
      <c r="E310" s="3" t="s">
        <v>32</v>
      </c>
      <c r="F310" s="5">
        <v>44742</v>
      </c>
      <c r="G310" s="3">
        <v>2022</v>
      </c>
      <c r="H310" s="3" t="s">
        <v>33</v>
      </c>
      <c r="I310" s="3" t="s">
        <v>34</v>
      </c>
      <c r="J310" s="3">
        <v>1</v>
      </c>
      <c r="K310" s="3">
        <v>3</v>
      </c>
      <c r="L310" s="3">
        <v>3</v>
      </c>
      <c r="M310" s="3">
        <v>1</v>
      </c>
      <c r="N310" s="3">
        <v>1</v>
      </c>
      <c r="O310" s="3" t="s">
        <v>35</v>
      </c>
      <c r="P310" s="3" t="s">
        <v>35</v>
      </c>
      <c r="Q310" s="3" t="s">
        <v>225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</row>
    <row r="311" spans="1:29" x14ac:dyDescent="0.3">
      <c r="A311" s="3">
        <v>325</v>
      </c>
      <c r="B311" s="3" t="s">
        <v>224</v>
      </c>
      <c r="C311" s="3" t="s">
        <v>216</v>
      </c>
      <c r="D311" s="3" t="s">
        <v>31</v>
      </c>
      <c r="E311" s="3" t="s">
        <v>32</v>
      </c>
      <c r="F311" s="5">
        <v>44926</v>
      </c>
      <c r="G311" s="3">
        <v>2022</v>
      </c>
      <c r="H311" s="3" t="s">
        <v>44</v>
      </c>
      <c r="I311" s="3" t="s">
        <v>45</v>
      </c>
      <c r="J311" s="3">
        <v>2</v>
      </c>
      <c r="K311" s="3">
        <v>3</v>
      </c>
      <c r="L311" s="3">
        <v>3</v>
      </c>
      <c r="M311" s="3">
        <v>1</v>
      </c>
      <c r="N311" s="3">
        <v>1</v>
      </c>
      <c r="O311" s="3" t="s">
        <v>35</v>
      </c>
      <c r="P311" s="3" t="s">
        <v>35</v>
      </c>
      <c r="Q311" s="3" t="s">
        <v>226</v>
      </c>
      <c r="R311" s="3">
        <v>0</v>
      </c>
      <c r="S311" s="3">
        <v>0</v>
      </c>
      <c r="T311" s="3" t="s">
        <v>31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</row>
    <row r="312" spans="1:29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5">
        <v>44926</v>
      </c>
      <c r="G312" s="3">
        <v>2022</v>
      </c>
      <c r="H312" s="3" t="s">
        <v>44</v>
      </c>
      <c r="I312" s="3" t="s">
        <v>45</v>
      </c>
      <c r="J312" s="3"/>
      <c r="K312" s="3">
        <v>6</v>
      </c>
      <c r="L312" s="3">
        <v>6</v>
      </c>
      <c r="M312" s="3">
        <v>1</v>
      </c>
      <c r="N312" s="3">
        <v>1</v>
      </c>
      <c r="O312" s="3" t="s">
        <v>35</v>
      </c>
      <c r="P312" s="3" t="s">
        <v>35</v>
      </c>
      <c r="Q312" s="3" t="s">
        <v>226</v>
      </c>
      <c r="R312" s="3">
        <v>0</v>
      </c>
      <c r="S312" s="3">
        <v>0</v>
      </c>
      <c r="T312" s="3" t="s">
        <v>443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</row>
    <row r="313" spans="1:29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5">
        <v>45107</v>
      </c>
      <c r="G313" s="3">
        <v>2023</v>
      </c>
      <c r="H313" s="3" t="s">
        <v>33</v>
      </c>
      <c r="I313" s="3" t="s">
        <v>47</v>
      </c>
      <c r="J313" s="3">
        <v>1</v>
      </c>
      <c r="K313" s="3">
        <v>1</v>
      </c>
      <c r="L313" s="3">
        <v>1</v>
      </c>
      <c r="M313" s="3">
        <v>1</v>
      </c>
      <c r="N313" s="3">
        <v>1</v>
      </c>
      <c r="O313" s="3" t="s">
        <v>35</v>
      </c>
      <c r="P313" s="3" t="s">
        <v>35</v>
      </c>
      <c r="Q313" s="3" t="s">
        <v>227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</row>
    <row r="314" spans="1:29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5">
        <v>45291</v>
      </c>
      <c r="G314" s="3">
        <v>2023</v>
      </c>
      <c r="H314" s="3" t="s">
        <v>44</v>
      </c>
      <c r="I314" s="3" t="s">
        <v>49</v>
      </c>
      <c r="J314" s="3">
        <v>2</v>
      </c>
      <c r="K314" s="3">
        <v>0</v>
      </c>
      <c r="L314" s="3">
        <v>0</v>
      </c>
      <c r="M314" s="3"/>
      <c r="N314" s="3"/>
      <c r="O314" s="3"/>
      <c r="P314" s="3"/>
      <c r="Q314" s="3" t="s">
        <v>228</v>
      </c>
      <c r="R314" s="3">
        <v>0</v>
      </c>
      <c r="S314" s="3">
        <v>0</v>
      </c>
      <c r="T314" s="3" t="s">
        <v>31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</row>
    <row r="315" spans="1:29" x14ac:dyDescent="0.3">
      <c r="A315" s="3">
        <v>325</v>
      </c>
      <c r="B315" s="3" t="s">
        <v>224</v>
      </c>
      <c r="C315" s="3" t="s">
        <v>216</v>
      </c>
      <c r="D315" s="3" t="s">
        <v>31</v>
      </c>
      <c r="E315" s="3" t="s">
        <v>32</v>
      </c>
      <c r="F315" s="5">
        <v>45291</v>
      </c>
      <c r="G315" s="3">
        <v>2023</v>
      </c>
      <c r="H315" s="3" t="s">
        <v>44</v>
      </c>
      <c r="I315" s="3" t="s">
        <v>49</v>
      </c>
      <c r="J315" s="3"/>
      <c r="K315" s="3">
        <v>1</v>
      </c>
      <c r="L315" s="3">
        <v>1</v>
      </c>
      <c r="M315" s="3">
        <v>1</v>
      </c>
      <c r="N315" s="3">
        <v>1</v>
      </c>
      <c r="O315" s="3" t="s">
        <v>35</v>
      </c>
      <c r="P315" s="3" t="s">
        <v>35</v>
      </c>
      <c r="Q315" s="3" t="s">
        <v>228</v>
      </c>
      <c r="R315" s="3">
        <v>0</v>
      </c>
      <c r="S315" s="3">
        <v>0</v>
      </c>
      <c r="T315" s="3" t="s">
        <v>443</v>
      </c>
      <c r="U315" s="3" t="s">
        <v>37</v>
      </c>
      <c r="V315" s="3" t="s">
        <v>216</v>
      </c>
      <c r="W315" s="3" t="s">
        <v>73</v>
      </c>
      <c r="X315" s="3" t="s">
        <v>218</v>
      </c>
      <c r="Y315" s="3" t="s">
        <v>219</v>
      </c>
      <c r="Z315" s="3" t="s">
        <v>86</v>
      </c>
      <c r="AA315" s="3" t="s">
        <v>87</v>
      </c>
      <c r="AB315" s="3" t="s">
        <v>78</v>
      </c>
      <c r="AC315" s="3" t="s">
        <v>66</v>
      </c>
    </row>
    <row r="316" spans="1:29" x14ac:dyDescent="0.3">
      <c r="A316" s="3">
        <v>325</v>
      </c>
      <c r="B316" s="3" t="s">
        <v>224</v>
      </c>
      <c r="C316" s="3" t="s">
        <v>216</v>
      </c>
      <c r="D316" s="3" t="s">
        <v>31</v>
      </c>
      <c r="E316" s="3" t="s">
        <v>32</v>
      </c>
      <c r="F316" s="5">
        <v>45473</v>
      </c>
      <c r="G316" s="3">
        <v>2024</v>
      </c>
      <c r="H316" s="3" t="s">
        <v>33</v>
      </c>
      <c r="I316" s="3" t="s">
        <v>51</v>
      </c>
      <c r="J316" s="3">
        <v>1</v>
      </c>
      <c r="K316" s="3">
        <v>5</v>
      </c>
      <c r="L316" s="3">
        <v>5</v>
      </c>
      <c r="M316" s="3">
        <v>1</v>
      </c>
      <c r="N316" s="3">
        <v>1</v>
      </c>
      <c r="O316" s="3" t="s">
        <v>35</v>
      </c>
      <c r="P316" s="3" t="s">
        <v>35</v>
      </c>
      <c r="Q316" s="3" t="s">
        <v>229</v>
      </c>
      <c r="R316" s="3">
        <v>0</v>
      </c>
      <c r="S316" s="3">
        <v>0</v>
      </c>
      <c r="T316" s="3" t="s">
        <v>31</v>
      </c>
      <c r="U316" s="3" t="s">
        <v>37</v>
      </c>
      <c r="V316" s="3" t="s">
        <v>216</v>
      </c>
      <c r="W316" s="3" t="s">
        <v>73</v>
      </c>
      <c r="X316" s="3" t="s">
        <v>218</v>
      </c>
      <c r="Y316" s="3" t="s">
        <v>219</v>
      </c>
      <c r="Z316" s="3" t="s">
        <v>86</v>
      </c>
      <c r="AA316" s="3" t="s">
        <v>87</v>
      </c>
      <c r="AB316" s="3" t="s">
        <v>78</v>
      </c>
      <c r="AC316" s="3" t="s">
        <v>66</v>
      </c>
    </row>
    <row r="317" spans="1:29" x14ac:dyDescent="0.3">
      <c r="A317" s="3">
        <v>325</v>
      </c>
      <c r="B317" s="3" t="s">
        <v>224</v>
      </c>
      <c r="C317" s="3" t="s">
        <v>216</v>
      </c>
      <c r="D317" s="3" t="s">
        <v>31</v>
      </c>
      <c r="E317" s="3" t="s">
        <v>32</v>
      </c>
      <c r="F317" s="5">
        <v>45657</v>
      </c>
      <c r="G317" s="3">
        <v>2024</v>
      </c>
      <c r="H317" s="3" t="s">
        <v>44</v>
      </c>
      <c r="I317" s="3" t="s">
        <v>53</v>
      </c>
      <c r="J317" s="3">
        <v>2</v>
      </c>
      <c r="K317" s="3">
        <v>3</v>
      </c>
      <c r="L317" s="3">
        <v>3</v>
      </c>
      <c r="M317" s="3">
        <v>1</v>
      </c>
      <c r="N317" s="3">
        <v>1</v>
      </c>
      <c r="O317" s="3" t="s">
        <v>35</v>
      </c>
      <c r="P317" s="3" t="s">
        <v>35</v>
      </c>
      <c r="Q317" s="3" t="s">
        <v>230</v>
      </c>
      <c r="R317" s="3">
        <v>0</v>
      </c>
      <c r="S317" s="3">
        <v>0</v>
      </c>
      <c r="T317" s="3" t="s">
        <v>31</v>
      </c>
      <c r="U317" s="3" t="s">
        <v>37</v>
      </c>
      <c r="V317" s="3" t="s">
        <v>216</v>
      </c>
      <c r="W317" s="3" t="s">
        <v>73</v>
      </c>
      <c r="X317" s="3" t="s">
        <v>218</v>
      </c>
      <c r="Y317" s="3" t="s">
        <v>219</v>
      </c>
      <c r="Z317" s="3" t="s">
        <v>86</v>
      </c>
      <c r="AA317" s="3" t="s">
        <v>87</v>
      </c>
      <c r="AB317" s="3" t="s">
        <v>78</v>
      </c>
      <c r="AC317" s="3" t="s">
        <v>66</v>
      </c>
    </row>
    <row r="318" spans="1:29" x14ac:dyDescent="0.3">
      <c r="A318" s="3">
        <v>325</v>
      </c>
      <c r="B318" s="3" t="s">
        <v>224</v>
      </c>
      <c r="C318" s="3" t="s">
        <v>216</v>
      </c>
      <c r="D318" s="3" t="s">
        <v>31</v>
      </c>
      <c r="E318" s="3" t="s">
        <v>32</v>
      </c>
      <c r="F318" s="5">
        <v>45657</v>
      </c>
      <c r="G318" s="3">
        <v>2024</v>
      </c>
      <c r="H318" s="3" t="s">
        <v>44</v>
      </c>
      <c r="I318" s="3" t="s">
        <v>53</v>
      </c>
      <c r="J318" s="3"/>
      <c r="K318" s="3">
        <v>8</v>
      </c>
      <c r="L318" s="3">
        <v>8</v>
      </c>
      <c r="M318" s="3">
        <v>1</v>
      </c>
      <c r="N318" s="3">
        <v>1</v>
      </c>
      <c r="O318" s="3" t="s">
        <v>35</v>
      </c>
      <c r="P318" s="3" t="s">
        <v>35</v>
      </c>
      <c r="Q318" s="3" t="s">
        <v>230</v>
      </c>
      <c r="R318" s="3">
        <v>0</v>
      </c>
      <c r="S318" s="3">
        <v>0</v>
      </c>
      <c r="T318" s="3" t="s">
        <v>443</v>
      </c>
      <c r="U318" s="3" t="s">
        <v>37</v>
      </c>
      <c r="V318" s="3" t="s">
        <v>216</v>
      </c>
      <c r="W318" s="3" t="s">
        <v>73</v>
      </c>
      <c r="X318" s="3" t="s">
        <v>218</v>
      </c>
      <c r="Y318" s="3" t="s">
        <v>219</v>
      </c>
      <c r="Z318" s="3" t="s">
        <v>86</v>
      </c>
      <c r="AA318" s="3" t="s">
        <v>87</v>
      </c>
      <c r="AB318" s="3" t="s">
        <v>78</v>
      </c>
      <c r="AC318" s="3" t="s">
        <v>66</v>
      </c>
    </row>
    <row r="319" spans="1:29" x14ac:dyDescent="0.3">
      <c r="A319" s="3">
        <v>325</v>
      </c>
      <c r="B319" s="3" t="s">
        <v>224</v>
      </c>
      <c r="C319" s="3" t="s">
        <v>216</v>
      </c>
      <c r="D319" s="3" t="s">
        <v>31</v>
      </c>
      <c r="E319" s="3" t="s">
        <v>32</v>
      </c>
      <c r="F319" s="5">
        <v>45838</v>
      </c>
      <c r="G319" s="3">
        <v>2025</v>
      </c>
      <c r="H319" s="3" t="s">
        <v>33</v>
      </c>
      <c r="I319" s="3" t="s">
        <v>404</v>
      </c>
      <c r="J319" s="3">
        <v>1</v>
      </c>
      <c r="K319" s="3">
        <v>8</v>
      </c>
      <c r="L319" s="3">
        <v>8</v>
      </c>
      <c r="M319" s="3">
        <v>1</v>
      </c>
      <c r="N319" s="3">
        <v>1</v>
      </c>
      <c r="O319" s="3" t="s">
        <v>35</v>
      </c>
      <c r="P319" s="3" t="s">
        <v>35</v>
      </c>
      <c r="Q319" s="3" t="s">
        <v>408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216</v>
      </c>
      <c r="W319" s="3" t="s">
        <v>73</v>
      </c>
      <c r="X319" s="3" t="s">
        <v>218</v>
      </c>
      <c r="Y319" s="3" t="s">
        <v>219</v>
      </c>
      <c r="Z319" s="3" t="s">
        <v>86</v>
      </c>
      <c r="AA319" s="3" t="s">
        <v>87</v>
      </c>
      <c r="AB319" s="3" t="s">
        <v>78</v>
      </c>
      <c r="AC319" s="3" t="s">
        <v>66</v>
      </c>
    </row>
    <row r="320" spans="1:29" x14ac:dyDescent="0.3">
      <c r="A320" s="3">
        <v>325</v>
      </c>
      <c r="B320" s="3" t="s">
        <v>224</v>
      </c>
      <c r="C320" s="3" t="s">
        <v>216</v>
      </c>
      <c r="D320" s="3" t="s">
        <v>31</v>
      </c>
      <c r="E320" s="3" t="s">
        <v>32</v>
      </c>
      <c r="F320" s="5">
        <v>46022</v>
      </c>
      <c r="G320" s="3">
        <v>2025</v>
      </c>
      <c r="H320" s="3" t="s">
        <v>44</v>
      </c>
      <c r="I320" s="3" t="s">
        <v>465</v>
      </c>
      <c r="J320" s="3">
        <v>2</v>
      </c>
      <c r="K320" s="3">
        <v>4</v>
      </c>
      <c r="L320" s="3">
        <v>4</v>
      </c>
      <c r="M320" s="3">
        <v>1</v>
      </c>
      <c r="N320" s="3">
        <v>1</v>
      </c>
      <c r="O320" s="3" t="s">
        <v>35</v>
      </c>
      <c r="P320" s="3" t="s">
        <v>35</v>
      </c>
      <c r="Q320" s="3" t="s">
        <v>408</v>
      </c>
      <c r="R320" s="3">
        <v>0</v>
      </c>
      <c r="S320" s="3">
        <v>0</v>
      </c>
      <c r="T320" s="3" t="s">
        <v>31</v>
      </c>
      <c r="U320" s="3" t="s">
        <v>37</v>
      </c>
      <c r="V320" s="3" t="s">
        <v>216</v>
      </c>
      <c r="W320" s="3" t="s">
        <v>73</v>
      </c>
      <c r="X320" s="3" t="s">
        <v>218</v>
      </c>
      <c r="Y320" s="3" t="s">
        <v>219</v>
      </c>
      <c r="Z320" s="3" t="s">
        <v>86</v>
      </c>
      <c r="AA320" s="3" t="s">
        <v>87</v>
      </c>
      <c r="AB320" s="3" t="s">
        <v>78</v>
      </c>
      <c r="AC320" s="3" t="s">
        <v>66</v>
      </c>
    </row>
    <row r="321" spans="1:29" x14ac:dyDescent="0.3">
      <c r="A321" s="3">
        <v>331</v>
      </c>
      <c r="B321" s="3" t="s">
        <v>520</v>
      </c>
      <c r="C321" s="3" t="s">
        <v>232</v>
      </c>
      <c r="D321" s="3" t="s">
        <v>66</v>
      </c>
      <c r="E321" s="3" t="s">
        <v>32</v>
      </c>
      <c r="F321" s="5">
        <v>45291</v>
      </c>
      <c r="G321" s="3">
        <v>2023</v>
      </c>
      <c r="H321" s="3" t="s">
        <v>44</v>
      </c>
      <c r="I321" s="3" t="s">
        <v>49</v>
      </c>
      <c r="J321" s="3">
        <v>2</v>
      </c>
      <c r="K321" s="3">
        <v>0</v>
      </c>
      <c r="L321" s="3">
        <v>81</v>
      </c>
      <c r="M321" s="3"/>
      <c r="N321" s="3"/>
      <c r="O321" s="3" t="s">
        <v>233</v>
      </c>
      <c r="P321" s="3" t="s">
        <v>58</v>
      </c>
      <c r="Q321" s="3" t="s">
        <v>234</v>
      </c>
      <c r="R321" s="3">
        <v>0</v>
      </c>
      <c r="S321" s="3">
        <v>0</v>
      </c>
      <c r="T321" s="3" t="s">
        <v>31</v>
      </c>
      <c r="U321" s="3" t="s">
        <v>37</v>
      </c>
      <c r="V321" s="3" t="s">
        <v>232</v>
      </c>
      <c r="W321" s="3" t="s">
        <v>145</v>
      </c>
      <c r="X321" s="3" t="s">
        <v>179</v>
      </c>
      <c r="Y321" s="3" t="s">
        <v>235</v>
      </c>
      <c r="Z321" s="3" t="s">
        <v>236</v>
      </c>
      <c r="AA321" s="3" t="s">
        <v>237</v>
      </c>
      <c r="AB321" s="3" t="s">
        <v>43</v>
      </c>
      <c r="AC321" s="3" t="s">
        <v>66</v>
      </c>
    </row>
    <row r="322" spans="1:29" x14ac:dyDescent="0.3">
      <c r="A322" s="3">
        <v>331</v>
      </c>
      <c r="B322" s="3" t="s">
        <v>520</v>
      </c>
      <c r="C322" s="3" t="s">
        <v>232</v>
      </c>
      <c r="D322" s="3" t="s">
        <v>66</v>
      </c>
      <c r="E322" s="3" t="s">
        <v>32</v>
      </c>
      <c r="F322" s="5">
        <v>45291</v>
      </c>
      <c r="G322" s="3">
        <v>2023</v>
      </c>
      <c r="H322" s="3" t="s">
        <v>44</v>
      </c>
      <c r="I322" s="3" t="s">
        <v>49</v>
      </c>
      <c r="J322" s="3"/>
      <c r="K322" s="3"/>
      <c r="L322" s="3">
        <v>81</v>
      </c>
      <c r="M322" s="3"/>
      <c r="N322" s="3"/>
      <c r="O322" s="3" t="s">
        <v>429</v>
      </c>
      <c r="P322" s="3" t="s">
        <v>58</v>
      </c>
      <c r="Q322" s="3" t="s">
        <v>234</v>
      </c>
      <c r="R322" s="3">
        <v>0</v>
      </c>
      <c r="S322" s="3">
        <v>0</v>
      </c>
      <c r="T322" s="3" t="s">
        <v>443</v>
      </c>
      <c r="U322" s="3" t="s">
        <v>37</v>
      </c>
      <c r="V322" s="3" t="s">
        <v>232</v>
      </c>
      <c r="W322" s="3" t="s">
        <v>145</v>
      </c>
      <c r="X322" s="3" t="s">
        <v>179</v>
      </c>
      <c r="Y322" s="3" t="s">
        <v>235</v>
      </c>
      <c r="Z322" s="3" t="s">
        <v>236</v>
      </c>
      <c r="AA322" s="3" t="s">
        <v>237</v>
      </c>
      <c r="AB322" s="3" t="s">
        <v>43</v>
      </c>
      <c r="AC322" s="3" t="s">
        <v>66</v>
      </c>
    </row>
    <row r="323" spans="1:29" x14ac:dyDescent="0.3">
      <c r="A323" s="3">
        <v>331</v>
      </c>
      <c r="B323" s="3" t="s">
        <v>520</v>
      </c>
      <c r="C323" s="3" t="s">
        <v>232</v>
      </c>
      <c r="D323" s="3" t="s">
        <v>66</v>
      </c>
      <c r="E323" s="3" t="s">
        <v>32</v>
      </c>
      <c r="F323" s="5">
        <v>45657</v>
      </c>
      <c r="G323" s="3">
        <v>2024</v>
      </c>
      <c r="H323" s="3" t="s">
        <v>44</v>
      </c>
      <c r="I323" s="3" t="s">
        <v>53</v>
      </c>
      <c r="J323" s="3">
        <v>2</v>
      </c>
      <c r="K323" s="3">
        <v>0</v>
      </c>
      <c r="L323" s="3">
        <v>82</v>
      </c>
      <c r="M323" s="3"/>
      <c r="N323" s="3"/>
      <c r="O323" s="3" t="s">
        <v>233</v>
      </c>
      <c r="P323" s="3" t="s">
        <v>58</v>
      </c>
      <c r="Q323" s="3" t="s">
        <v>238</v>
      </c>
      <c r="R323" s="3">
        <v>0</v>
      </c>
      <c r="S323" s="3">
        <v>0</v>
      </c>
      <c r="T323" s="3" t="s">
        <v>31</v>
      </c>
      <c r="U323" s="3" t="s">
        <v>37</v>
      </c>
      <c r="V323" s="3" t="s">
        <v>232</v>
      </c>
      <c r="W323" s="3" t="s">
        <v>145</v>
      </c>
      <c r="X323" s="3" t="s">
        <v>179</v>
      </c>
      <c r="Y323" s="3" t="s">
        <v>235</v>
      </c>
      <c r="Z323" s="3" t="s">
        <v>236</v>
      </c>
      <c r="AA323" s="3" t="s">
        <v>237</v>
      </c>
      <c r="AB323" s="3" t="s">
        <v>43</v>
      </c>
      <c r="AC323" s="3" t="s">
        <v>66</v>
      </c>
    </row>
    <row r="324" spans="1:29" x14ac:dyDescent="0.3">
      <c r="A324" s="3">
        <v>331</v>
      </c>
      <c r="B324" s="3" t="s">
        <v>520</v>
      </c>
      <c r="C324" s="3" t="s">
        <v>232</v>
      </c>
      <c r="D324" s="3" t="s">
        <v>66</v>
      </c>
      <c r="E324" s="3" t="s">
        <v>32</v>
      </c>
      <c r="F324" s="5">
        <v>45657</v>
      </c>
      <c r="G324" s="3">
        <v>2024</v>
      </c>
      <c r="H324" s="3" t="s">
        <v>44</v>
      </c>
      <c r="I324" s="3" t="s">
        <v>53</v>
      </c>
      <c r="J324" s="3"/>
      <c r="K324" s="3"/>
      <c r="L324" s="3">
        <v>82</v>
      </c>
      <c r="M324" s="3"/>
      <c r="N324" s="3"/>
      <c r="O324" s="3" t="s">
        <v>429</v>
      </c>
      <c r="P324" s="3" t="s">
        <v>58</v>
      </c>
      <c r="Q324" s="3" t="s">
        <v>238</v>
      </c>
      <c r="R324" s="3">
        <v>0</v>
      </c>
      <c r="S324" s="3">
        <v>0</v>
      </c>
      <c r="T324" s="3" t="s">
        <v>443</v>
      </c>
      <c r="U324" s="3" t="s">
        <v>37</v>
      </c>
      <c r="V324" s="3" t="s">
        <v>232</v>
      </c>
      <c r="W324" s="3" t="s">
        <v>145</v>
      </c>
      <c r="X324" s="3" t="s">
        <v>179</v>
      </c>
      <c r="Y324" s="3" t="s">
        <v>235</v>
      </c>
      <c r="Z324" s="3" t="s">
        <v>236</v>
      </c>
      <c r="AA324" s="3" t="s">
        <v>237</v>
      </c>
      <c r="AB324" s="3" t="s">
        <v>43</v>
      </c>
      <c r="AC324" s="3" t="s">
        <v>66</v>
      </c>
    </row>
    <row r="325" spans="1:29" x14ac:dyDescent="0.3">
      <c r="A325" s="3">
        <v>331</v>
      </c>
      <c r="B325" s="3" t="s">
        <v>520</v>
      </c>
      <c r="C325" s="3" t="s">
        <v>232</v>
      </c>
      <c r="D325" s="3" t="s">
        <v>66</v>
      </c>
      <c r="E325" s="3" t="s">
        <v>32</v>
      </c>
      <c r="F325" s="5">
        <v>46022</v>
      </c>
      <c r="G325" s="3">
        <v>2025</v>
      </c>
      <c r="H325" s="3" t="s">
        <v>44</v>
      </c>
      <c r="I325" s="3" t="s">
        <v>465</v>
      </c>
      <c r="J325" s="3">
        <v>2</v>
      </c>
      <c r="K325" s="3">
        <v>0</v>
      </c>
      <c r="L325" s="3">
        <v>81.239999999999995</v>
      </c>
      <c r="M325" s="3"/>
      <c r="N325" s="3"/>
      <c r="O325" s="3" t="s">
        <v>429</v>
      </c>
      <c r="P325" s="3" t="s">
        <v>58</v>
      </c>
      <c r="Q325" s="3" t="s">
        <v>521</v>
      </c>
      <c r="R325" s="3">
        <v>0</v>
      </c>
      <c r="S325" s="3">
        <v>0</v>
      </c>
      <c r="T325" s="3" t="s">
        <v>31</v>
      </c>
      <c r="U325" s="3" t="s">
        <v>37</v>
      </c>
      <c r="V325" s="3" t="s">
        <v>232</v>
      </c>
      <c r="W325" s="3" t="s">
        <v>145</v>
      </c>
      <c r="X325" s="3" t="s">
        <v>179</v>
      </c>
      <c r="Y325" s="3" t="s">
        <v>235</v>
      </c>
      <c r="Z325" s="3" t="s">
        <v>236</v>
      </c>
      <c r="AA325" s="3" t="s">
        <v>237</v>
      </c>
      <c r="AB325" s="3" t="s">
        <v>43</v>
      </c>
      <c r="AC325" s="3" t="s">
        <v>66</v>
      </c>
    </row>
    <row r="326" spans="1:29" x14ac:dyDescent="0.3">
      <c r="A326" s="3">
        <v>332</v>
      </c>
      <c r="B326" s="3" t="s">
        <v>239</v>
      </c>
      <c r="C326" s="3" t="s">
        <v>130</v>
      </c>
      <c r="D326" s="3" t="s">
        <v>31</v>
      </c>
      <c r="E326" s="3" t="s">
        <v>171</v>
      </c>
      <c r="F326" s="5">
        <v>44742</v>
      </c>
      <c r="G326" s="3">
        <v>2022</v>
      </c>
      <c r="H326" s="3" t="s">
        <v>33</v>
      </c>
      <c r="I326" s="3" t="s">
        <v>34</v>
      </c>
      <c r="J326" s="3">
        <v>1</v>
      </c>
      <c r="K326" s="3">
        <v>1.6</v>
      </c>
      <c r="L326" s="3">
        <v>1.8</v>
      </c>
      <c r="M326" s="3">
        <v>0.88888888888888895</v>
      </c>
      <c r="N326" s="3">
        <f t="shared" ref="N326:N337" si="64">K326/L326</f>
        <v>0.88888888888888895</v>
      </c>
      <c r="O326" s="3" t="s">
        <v>245</v>
      </c>
      <c r="P326" s="3" t="s">
        <v>245</v>
      </c>
      <c r="Q326" s="3" t="s">
        <v>240</v>
      </c>
      <c r="R326" s="3">
        <v>1</v>
      </c>
      <c r="S326" s="3">
        <v>1</v>
      </c>
      <c r="T326" s="3" t="s">
        <v>31</v>
      </c>
      <c r="U326" s="3" t="s">
        <v>37</v>
      </c>
      <c r="V326" s="3" t="s">
        <v>130</v>
      </c>
      <c r="W326" s="3" t="s">
        <v>60</v>
      </c>
      <c r="X326" s="3" t="s">
        <v>100</v>
      </c>
      <c r="Y326" s="3" t="s">
        <v>241</v>
      </c>
      <c r="Z326" s="3" t="s">
        <v>134</v>
      </c>
      <c r="AA326" s="3" t="s">
        <v>135</v>
      </c>
      <c r="AB326" s="3" t="s">
        <v>65</v>
      </c>
      <c r="AC326" s="3" t="s">
        <v>66</v>
      </c>
    </row>
    <row r="327" spans="1:29" x14ac:dyDescent="0.3">
      <c r="A327" s="3">
        <v>332</v>
      </c>
      <c r="B327" s="3" t="s">
        <v>239</v>
      </c>
      <c r="C327" s="3" t="s">
        <v>130</v>
      </c>
      <c r="D327" s="3" t="s">
        <v>31</v>
      </c>
      <c r="E327" s="3" t="s">
        <v>171</v>
      </c>
      <c r="F327" s="5">
        <v>44926</v>
      </c>
      <c r="G327" s="3">
        <v>2022</v>
      </c>
      <c r="H327" s="3" t="s">
        <v>44</v>
      </c>
      <c r="I327" s="3" t="s">
        <v>45</v>
      </c>
      <c r="J327" s="3">
        <v>2</v>
      </c>
      <c r="K327" s="3">
        <v>1.6</v>
      </c>
      <c r="L327" s="3">
        <v>1.75</v>
      </c>
      <c r="M327" s="3">
        <v>0.91428571428571437</v>
      </c>
      <c r="N327" s="3">
        <f t="shared" si="64"/>
        <v>0.91428571428571437</v>
      </c>
      <c r="O327" s="3" t="s">
        <v>245</v>
      </c>
      <c r="P327" s="3" t="s">
        <v>245</v>
      </c>
      <c r="Q327" s="3" t="s">
        <v>242</v>
      </c>
      <c r="R327" s="3">
        <v>1</v>
      </c>
      <c r="S327" s="3">
        <v>1</v>
      </c>
      <c r="T327" s="3" t="s">
        <v>31</v>
      </c>
      <c r="U327" s="3" t="s">
        <v>37</v>
      </c>
      <c r="V327" s="3" t="s">
        <v>130</v>
      </c>
      <c r="W327" s="3" t="s">
        <v>60</v>
      </c>
      <c r="X327" s="3" t="s">
        <v>100</v>
      </c>
      <c r="Y327" s="3" t="s">
        <v>241</v>
      </c>
      <c r="Z327" s="3" t="s">
        <v>134</v>
      </c>
      <c r="AA327" s="3" t="s">
        <v>135</v>
      </c>
      <c r="AB327" s="3" t="s">
        <v>65</v>
      </c>
      <c r="AC327" s="3" t="s">
        <v>66</v>
      </c>
    </row>
    <row r="328" spans="1:29" x14ac:dyDescent="0.3">
      <c r="A328" s="3">
        <v>332</v>
      </c>
      <c r="B328" s="3" t="s">
        <v>239</v>
      </c>
      <c r="C328" s="3" t="s">
        <v>130</v>
      </c>
      <c r="D328" s="3" t="s">
        <v>31</v>
      </c>
      <c r="E328" s="3" t="s">
        <v>171</v>
      </c>
      <c r="F328" s="5">
        <v>44926</v>
      </c>
      <c r="G328" s="3">
        <v>2022</v>
      </c>
      <c r="H328" s="3" t="s">
        <v>44</v>
      </c>
      <c r="I328" s="3" t="s">
        <v>45</v>
      </c>
      <c r="J328" s="3"/>
      <c r="K328" s="3">
        <v>1.6</v>
      </c>
      <c r="L328" s="3">
        <v>1.75</v>
      </c>
      <c r="M328" s="3">
        <v>0.91428571428571437</v>
      </c>
      <c r="N328" s="3">
        <f t="shared" si="64"/>
        <v>0.91428571428571437</v>
      </c>
      <c r="O328" s="3" t="s">
        <v>245</v>
      </c>
      <c r="P328" s="3" t="s">
        <v>245</v>
      </c>
      <c r="Q328" s="3" t="s">
        <v>242</v>
      </c>
      <c r="R328" s="3">
        <v>1</v>
      </c>
      <c r="S328" s="3">
        <v>1</v>
      </c>
      <c r="T328" s="3" t="s">
        <v>443</v>
      </c>
      <c r="U328" s="3" t="s">
        <v>37</v>
      </c>
      <c r="V328" s="3" t="s">
        <v>130</v>
      </c>
      <c r="W328" s="3" t="s">
        <v>60</v>
      </c>
      <c r="X328" s="3" t="s">
        <v>100</v>
      </c>
      <c r="Y328" s="3" t="s">
        <v>241</v>
      </c>
      <c r="Z328" s="3" t="s">
        <v>134</v>
      </c>
      <c r="AA328" s="3" t="s">
        <v>135</v>
      </c>
      <c r="AB328" s="3" t="s">
        <v>65</v>
      </c>
      <c r="AC328" s="3" t="s">
        <v>66</v>
      </c>
    </row>
    <row r="329" spans="1:29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5">
        <v>45107</v>
      </c>
      <c r="G329" s="3">
        <v>2023</v>
      </c>
      <c r="H329" s="3" t="s">
        <v>33</v>
      </c>
      <c r="I329" s="3" t="s">
        <v>47</v>
      </c>
      <c r="J329" s="3">
        <v>1</v>
      </c>
      <c r="K329" s="3">
        <v>1.8</v>
      </c>
      <c r="L329" s="3">
        <v>1.57</v>
      </c>
      <c r="M329" s="3">
        <v>1.1464968152866239</v>
      </c>
      <c r="N329" s="3">
        <f t="shared" si="64"/>
        <v>1.1464968152866242</v>
      </c>
      <c r="O329" s="3" t="s">
        <v>245</v>
      </c>
      <c r="P329" s="3" t="s">
        <v>245</v>
      </c>
      <c r="Q329" s="3" t="s">
        <v>243</v>
      </c>
      <c r="R329" s="3">
        <v>1</v>
      </c>
      <c r="S329" s="3">
        <v>1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241</v>
      </c>
      <c r="Z329" s="3" t="s">
        <v>134</v>
      </c>
      <c r="AA329" s="3" t="s">
        <v>135</v>
      </c>
      <c r="AB329" s="3" t="s">
        <v>65</v>
      </c>
      <c r="AC329" s="3" t="s">
        <v>66</v>
      </c>
    </row>
    <row r="330" spans="1:29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5">
        <v>45291</v>
      </c>
      <c r="G330" s="3">
        <v>2023</v>
      </c>
      <c r="H330" s="3" t="s">
        <v>44</v>
      </c>
      <c r="I330" s="3" t="s">
        <v>49</v>
      </c>
      <c r="J330" s="3">
        <v>2</v>
      </c>
      <c r="K330" s="3">
        <v>1.8</v>
      </c>
      <c r="L330" s="3">
        <v>1.3</v>
      </c>
      <c r="M330" s="3">
        <f t="shared" ref="M330:M337" si="65">IF(K330/L330&gt;1.3,1.3,K330/L330)</f>
        <v>1.3</v>
      </c>
      <c r="N330" s="3">
        <f t="shared" si="64"/>
        <v>1.3846153846153846</v>
      </c>
      <c r="O330" s="3" t="s">
        <v>245</v>
      </c>
      <c r="P330" s="3" t="s">
        <v>245</v>
      </c>
      <c r="Q330" s="3" t="s">
        <v>244</v>
      </c>
      <c r="R330" s="3">
        <v>1</v>
      </c>
      <c r="S330" s="3">
        <v>1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241</v>
      </c>
      <c r="Z330" s="3" t="s">
        <v>134</v>
      </c>
      <c r="AA330" s="3" t="s">
        <v>135</v>
      </c>
      <c r="AB330" s="3" t="s">
        <v>65</v>
      </c>
      <c r="AC330" s="3" t="s">
        <v>66</v>
      </c>
    </row>
    <row r="331" spans="1:29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5">
        <v>45291</v>
      </c>
      <c r="G331" s="3">
        <v>2023</v>
      </c>
      <c r="H331" s="3" t="s">
        <v>44</v>
      </c>
      <c r="I331" s="3" t="s">
        <v>49</v>
      </c>
      <c r="J331" s="3"/>
      <c r="K331" s="3">
        <v>1.8</v>
      </c>
      <c r="L331" s="3">
        <v>1.4</v>
      </c>
      <c r="M331" s="3">
        <f t="shared" si="65"/>
        <v>1.2857142857142858</v>
      </c>
      <c r="N331" s="3">
        <f t="shared" si="64"/>
        <v>1.2857142857142858</v>
      </c>
      <c r="O331" s="3" t="s">
        <v>245</v>
      </c>
      <c r="P331" s="3" t="s">
        <v>245</v>
      </c>
      <c r="Q331" s="3" t="s">
        <v>244</v>
      </c>
      <c r="R331" s="3">
        <v>1</v>
      </c>
      <c r="S331" s="3">
        <v>1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241</v>
      </c>
      <c r="Z331" s="3" t="s">
        <v>134</v>
      </c>
      <c r="AA331" s="3" t="s">
        <v>135</v>
      </c>
      <c r="AB331" s="3" t="s">
        <v>65</v>
      </c>
      <c r="AC331" s="3" t="s">
        <v>66</v>
      </c>
    </row>
    <row r="332" spans="1:29" x14ac:dyDescent="0.3">
      <c r="A332" s="3">
        <v>332</v>
      </c>
      <c r="B332" s="3" t="s">
        <v>239</v>
      </c>
      <c r="C332" s="3" t="s">
        <v>130</v>
      </c>
      <c r="D332" s="3" t="s">
        <v>31</v>
      </c>
      <c r="E332" s="3" t="s">
        <v>171</v>
      </c>
      <c r="F332" s="5">
        <v>45473</v>
      </c>
      <c r="G332" s="3">
        <v>2024</v>
      </c>
      <c r="H332" s="3" t="s">
        <v>33</v>
      </c>
      <c r="I332" s="3" t="s">
        <v>51</v>
      </c>
      <c r="J332" s="3">
        <v>1</v>
      </c>
      <c r="K332" s="3">
        <v>1.5</v>
      </c>
      <c r="L332" s="3">
        <v>1.48</v>
      </c>
      <c r="M332" s="3">
        <f t="shared" si="65"/>
        <v>1.0135135135135136</v>
      </c>
      <c r="N332" s="3">
        <f t="shared" si="64"/>
        <v>1.0135135135135136</v>
      </c>
      <c r="O332" s="3" t="s">
        <v>245</v>
      </c>
      <c r="P332" s="3" t="s">
        <v>245</v>
      </c>
      <c r="Q332" s="3" t="s">
        <v>246</v>
      </c>
      <c r="R332" s="3">
        <v>1</v>
      </c>
      <c r="S332" s="3">
        <v>1</v>
      </c>
      <c r="T332" s="3" t="s">
        <v>31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241</v>
      </c>
      <c r="Z332" s="3" t="s">
        <v>134</v>
      </c>
      <c r="AA332" s="3" t="s">
        <v>135</v>
      </c>
      <c r="AB332" s="3" t="s">
        <v>65</v>
      </c>
      <c r="AC332" s="3" t="s">
        <v>66</v>
      </c>
    </row>
    <row r="333" spans="1:29" x14ac:dyDescent="0.3">
      <c r="A333" s="3">
        <v>332</v>
      </c>
      <c r="B333" s="3" t="s">
        <v>239</v>
      </c>
      <c r="C333" s="3" t="s">
        <v>130</v>
      </c>
      <c r="D333" s="3" t="s">
        <v>31</v>
      </c>
      <c r="E333" s="3" t="s">
        <v>171</v>
      </c>
      <c r="F333" s="5">
        <v>45657</v>
      </c>
      <c r="G333" s="3">
        <v>2024</v>
      </c>
      <c r="H333" s="3" t="s">
        <v>44</v>
      </c>
      <c r="I333" s="3" t="s">
        <v>53</v>
      </c>
      <c r="J333" s="3">
        <v>2</v>
      </c>
      <c r="K333" s="3">
        <v>1.8</v>
      </c>
      <c r="L333" s="3">
        <v>0.82</v>
      </c>
      <c r="M333" s="3">
        <f t="shared" si="65"/>
        <v>1.3</v>
      </c>
      <c r="N333" s="3">
        <f t="shared" si="64"/>
        <v>2.1951219512195124</v>
      </c>
      <c r="O333" s="3" t="s">
        <v>245</v>
      </c>
      <c r="P333" s="3" t="s">
        <v>245</v>
      </c>
      <c r="Q333" s="3" t="s">
        <v>247</v>
      </c>
      <c r="R333" s="3">
        <v>1</v>
      </c>
      <c r="S333" s="3">
        <v>2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241</v>
      </c>
      <c r="Z333" s="3" t="s">
        <v>134</v>
      </c>
      <c r="AA333" s="3" t="s">
        <v>135</v>
      </c>
      <c r="AB333" s="3" t="s">
        <v>65</v>
      </c>
      <c r="AC333" s="3" t="s">
        <v>66</v>
      </c>
    </row>
    <row r="334" spans="1:29" x14ac:dyDescent="0.3">
      <c r="A334" s="3">
        <v>332</v>
      </c>
      <c r="B334" s="3" t="s">
        <v>239</v>
      </c>
      <c r="C334" s="3" t="s">
        <v>130</v>
      </c>
      <c r="D334" s="3" t="s">
        <v>31</v>
      </c>
      <c r="E334" s="3" t="s">
        <v>171</v>
      </c>
      <c r="F334" s="5">
        <v>45657</v>
      </c>
      <c r="G334" s="3">
        <v>2024</v>
      </c>
      <c r="H334" s="3" t="s">
        <v>44</v>
      </c>
      <c r="I334" s="3" t="s">
        <v>53</v>
      </c>
      <c r="J334" s="3"/>
      <c r="K334" s="3">
        <v>1.5</v>
      </c>
      <c r="L334" s="3">
        <v>1.1499999999999999</v>
      </c>
      <c r="M334" s="3">
        <f t="shared" si="65"/>
        <v>1.3</v>
      </c>
      <c r="N334" s="3">
        <f t="shared" si="64"/>
        <v>1.3043478260869565</v>
      </c>
      <c r="O334" s="3" t="s">
        <v>245</v>
      </c>
      <c r="P334" s="3" t="s">
        <v>245</v>
      </c>
      <c r="Q334" s="3" t="s">
        <v>247</v>
      </c>
      <c r="R334" s="3">
        <v>1</v>
      </c>
      <c r="S334" s="3">
        <v>2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241</v>
      </c>
      <c r="Z334" s="3" t="s">
        <v>134</v>
      </c>
      <c r="AA334" s="3" t="s">
        <v>135</v>
      </c>
      <c r="AB334" s="3" t="s">
        <v>65</v>
      </c>
      <c r="AC334" s="3" t="s">
        <v>66</v>
      </c>
    </row>
    <row r="335" spans="1:29" x14ac:dyDescent="0.3">
      <c r="A335" s="3">
        <v>332</v>
      </c>
      <c r="B335" s="3" t="s">
        <v>239</v>
      </c>
      <c r="C335" s="3" t="s">
        <v>130</v>
      </c>
      <c r="D335" s="3" t="s">
        <v>31</v>
      </c>
      <c r="E335" s="3" t="s">
        <v>171</v>
      </c>
      <c r="F335" s="5">
        <v>45838</v>
      </c>
      <c r="G335" s="3">
        <v>2025</v>
      </c>
      <c r="H335" s="3" t="s">
        <v>33</v>
      </c>
      <c r="I335" s="3" t="s">
        <v>404</v>
      </c>
      <c r="J335" s="3">
        <v>1</v>
      </c>
      <c r="K335" s="3">
        <v>1.4</v>
      </c>
      <c r="L335" s="3">
        <v>0.85</v>
      </c>
      <c r="M335" s="3">
        <f t="shared" si="65"/>
        <v>1.3</v>
      </c>
      <c r="N335" s="3">
        <f t="shared" si="64"/>
        <v>1.6470588235294117</v>
      </c>
      <c r="O335" s="3" t="s">
        <v>245</v>
      </c>
      <c r="P335" s="3" t="s">
        <v>245</v>
      </c>
      <c r="Q335" s="3" t="s">
        <v>431</v>
      </c>
      <c r="R335" s="3">
        <v>1</v>
      </c>
      <c r="S335" s="3">
        <v>2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241</v>
      </c>
      <c r="Z335" s="3" t="s">
        <v>134</v>
      </c>
      <c r="AA335" s="3" t="s">
        <v>135</v>
      </c>
      <c r="AB335" s="3" t="s">
        <v>65</v>
      </c>
      <c r="AC335" s="3" t="s">
        <v>66</v>
      </c>
    </row>
    <row r="336" spans="1:29" x14ac:dyDescent="0.3">
      <c r="A336" s="3">
        <v>332</v>
      </c>
      <c r="B336" s="3" t="s">
        <v>239</v>
      </c>
      <c r="C336" s="3" t="s">
        <v>130</v>
      </c>
      <c r="D336" s="3" t="s">
        <v>31</v>
      </c>
      <c r="E336" s="3" t="s">
        <v>171</v>
      </c>
      <c r="F336" s="5">
        <v>45838</v>
      </c>
      <c r="G336" s="3">
        <v>2025</v>
      </c>
      <c r="H336" s="3" t="s">
        <v>44</v>
      </c>
      <c r="I336" s="3" t="s">
        <v>465</v>
      </c>
      <c r="J336" s="3">
        <v>2</v>
      </c>
      <c r="K336" s="3">
        <v>1.4</v>
      </c>
      <c r="L336" s="3">
        <v>0.93</v>
      </c>
      <c r="M336" s="3">
        <f t="shared" si="65"/>
        <v>1.3</v>
      </c>
      <c r="N336" s="3">
        <f t="shared" si="64"/>
        <v>1.5053763440860213</v>
      </c>
      <c r="O336" s="3" t="s">
        <v>245</v>
      </c>
      <c r="P336" s="3" t="s">
        <v>245</v>
      </c>
      <c r="Q336" s="3" t="s">
        <v>431</v>
      </c>
      <c r="R336" s="3">
        <v>1</v>
      </c>
      <c r="S336" s="3">
        <v>2</v>
      </c>
      <c r="T336" s="3" t="s">
        <v>31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241</v>
      </c>
      <c r="Z336" s="3" t="s">
        <v>134</v>
      </c>
      <c r="AA336" s="3" t="s">
        <v>135</v>
      </c>
      <c r="AB336" s="3" t="s">
        <v>65</v>
      </c>
      <c r="AC336" s="3" t="s">
        <v>66</v>
      </c>
    </row>
    <row r="337" spans="1:29" x14ac:dyDescent="0.3">
      <c r="A337" s="3">
        <v>332</v>
      </c>
      <c r="B337" s="3" t="s">
        <v>239</v>
      </c>
      <c r="C337" s="3" t="s">
        <v>130</v>
      </c>
      <c r="D337" s="3" t="s">
        <v>31</v>
      </c>
      <c r="E337" s="3" t="s">
        <v>171</v>
      </c>
      <c r="F337" s="5">
        <v>46022</v>
      </c>
      <c r="G337" s="3">
        <v>2025</v>
      </c>
      <c r="H337" s="3" t="s">
        <v>44</v>
      </c>
      <c r="I337" s="3" t="s">
        <v>465</v>
      </c>
      <c r="J337" s="3"/>
      <c r="K337" s="3">
        <v>1.4</v>
      </c>
      <c r="L337" s="3">
        <v>0.89</v>
      </c>
      <c r="M337" s="3">
        <f t="shared" si="65"/>
        <v>1.3</v>
      </c>
      <c r="N337" s="3">
        <f t="shared" si="64"/>
        <v>1.5730337078651684</v>
      </c>
      <c r="O337" s="3" t="s">
        <v>245</v>
      </c>
      <c r="P337" s="3" t="s">
        <v>245</v>
      </c>
      <c r="Q337" s="3" t="s">
        <v>431</v>
      </c>
      <c r="R337" s="3">
        <v>1</v>
      </c>
      <c r="S337" s="3">
        <v>2</v>
      </c>
      <c r="T337" s="3" t="s">
        <v>443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241</v>
      </c>
      <c r="Z337" s="3" t="s">
        <v>134</v>
      </c>
      <c r="AA337" s="3" t="s">
        <v>135</v>
      </c>
      <c r="AB337" s="3" t="s">
        <v>65</v>
      </c>
      <c r="AC337" s="3" t="s">
        <v>66</v>
      </c>
    </row>
    <row r="338" spans="1:29" x14ac:dyDescent="0.3">
      <c r="A338" s="3">
        <v>334</v>
      </c>
      <c r="B338" s="3" t="s">
        <v>248</v>
      </c>
      <c r="C338" s="3" t="s">
        <v>130</v>
      </c>
      <c r="D338" s="3" t="s">
        <v>66</v>
      </c>
      <c r="E338" s="3" t="s">
        <v>32</v>
      </c>
      <c r="F338" s="5">
        <v>44926</v>
      </c>
      <c r="G338" s="3">
        <v>2022</v>
      </c>
      <c r="H338" s="3" t="s">
        <v>44</v>
      </c>
      <c r="I338" s="3" t="s">
        <v>45</v>
      </c>
      <c r="J338" s="3"/>
      <c r="K338" s="3">
        <v>86</v>
      </c>
      <c r="L338" s="3">
        <v>86</v>
      </c>
      <c r="M338" s="3">
        <f t="shared" ref="M338:M343" si="66">L338/K338</f>
        <v>1</v>
      </c>
      <c r="N338" s="3">
        <f t="shared" ref="N338:N343" si="67">L338/K338</f>
        <v>1</v>
      </c>
      <c r="O338" s="3" t="s">
        <v>35</v>
      </c>
      <c r="P338" s="3" t="s">
        <v>35</v>
      </c>
      <c r="Q338" s="3" t="s">
        <v>448</v>
      </c>
      <c r="R338" s="3">
        <v>0</v>
      </c>
      <c r="S338" s="3">
        <v>0</v>
      </c>
      <c r="T338" s="3" t="s">
        <v>443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 t="s">
        <v>241</v>
      </c>
      <c r="Z338" s="3" t="s">
        <v>134</v>
      </c>
      <c r="AA338" s="3" t="s">
        <v>250</v>
      </c>
      <c r="AB338" s="3" t="s">
        <v>43</v>
      </c>
      <c r="AC338" s="3" t="s">
        <v>66</v>
      </c>
    </row>
    <row r="339" spans="1:29" x14ac:dyDescent="0.3">
      <c r="A339" s="3">
        <v>334</v>
      </c>
      <c r="B339" s="3" t="s">
        <v>248</v>
      </c>
      <c r="C339" s="3" t="s">
        <v>130</v>
      </c>
      <c r="D339" s="3" t="s">
        <v>66</v>
      </c>
      <c r="E339" s="3" t="s">
        <v>32</v>
      </c>
      <c r="F339" s="5">
        <v>45291</v>
      </c>
      <c r="G339" s="3">
        <v>2023</v>
      </c>
      <c r="H339" s="3" t="s">
        <v>44</v>
      </c>
      <c r="I339" s="3" t="s">
        <v>49</v>
      </c>
      <c r="J339" s="3">
        <v>2</v>
      </c>
      <c r="K339" s="3">
        <v>88</v>
      </c>
      <c r="L339" s="3">
        <v>88.39</v>
      </c>
      <c r="M339" s="3">
        <f t="shared" si="66"/>
        <v>1.0044318181818181</v>
      </c>
      <c r="N339" s="3">
        <f t="shared" si="67"/>
        <v>1.0044318181818181</v>
      </c>
      <c r="O339" s="3" t="s">
        <v>35</v>
      </c>
      <c r="P339" s="3" t="s">
        <v>245</v>
      </c>
      <c r="Q339" s="3" t="s">
        <v>249</v>
      </c>
      <c r="R339" s="3">
        <v>0</v>
      </c>
      <c r="S339" s="3">
        <v>0</v>
      </c>
      <c r="T339" s="3" t="s">
        <v>31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 t="s">
        <v>241</v>
      </c>
      <c r="Z339" s="3" t="s">
        <v>134</v>
      </c>
      <c r="AA339" s="3" t="s">
        <v>250</v>
      </c>
      <c r="AB339" s="3" t="s">
        <v>43</v>
      </c>
      <c r="AC339" s="3" t="s">
        <v>66</v>
      </c>
    </row>
    <row r="340" spans="1:29" x14ac:dyDescent="0.3">
      <c r="A340" s="3">
        <v>334</v>
      </c>
      <c r="B340" s="3" t="s">
        <v>248</v>
      </c>
      <c r="C340" s="3" t="s">
        <v>130</v>
      </c>
      <c r="D340" s="3" t="s">
        <v>66</v>
      </c>
      <c r="E340" s="3" t="s">
        <v>32</v>
      </c>
      <c r="F340" s="5">
        <v>45291</v>
      </c>
      <c r="G340" s="3">
        <v>2023</v>
      </c>
      <c r="H340" s="3" t="s">
        <v>44</v>
      </c>
      <c r="I340" s="3" t="s">
        <v>49</v>
      </c>
      <c r="J340" s="3"/>
      <c r="K340" s="3">
        <v>88</v>
      </c>
      <c r="L340" s="3">
        <v>88.39</v>
      </c>
      <c r="M340" s="3">
        <f t="shared" si="66"/>
        <v>1.0044318181818181</v>
      </c>
      <c r="N340" s="3">
        <f t="shared" si="67"/>
        <v>1.0044318181818181</v>
      </c>
      <c r="O340" s="3" t="s">
        <v>35</v>
      </c>
      <c r="P340" s="3" t="s">
        <v>245</v>
      </c>
      <c r="Q340" s="3" t="s">
        <v>249</v>
      </c>
      <c r="R340" s="3">
        <v>0</v>
      </c>
      <c r="S340" s="3">
        <v>1</v>
      </c>
      <c r="T340" s="3" t="s">
        <v>443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 t="s">
        <v>241</v>
      </c>
      <c r="Z340" s="3" t="s">
        <v>134</v>
      </c>
      <c r="AA340" s="3" t="s">
        <v>250</v>
      </c>
      <c r="AB340" s="3" t="s">
        <v>43</v>
      </c>
      <c r="AC340" s="3" t="s">
        <v>66</v>
      </c>
    </row>
    <row r="341" spans="1:29" x14ac:dyDescent="0.3">
      <c r="A341" s="3">
        <v>334</v>
      </c>
      <c r="B341" s="3" t="s">
        <v>248</v>
      </c>
      <c r="C341" s="3" t="s">
        <v>130</v>
      </c>
      <c r="D341" s="3" t="s">
        <v>66</v>
      </c>
      <c r="E341" s="3" t="s">
        <v>32</v>
      </c>
      <c r="F341" s="5">
        <v>45657</v>
      </c>
      <c r="G341" s="3">
        <v>2024</v>
      </c>
      <c r="H341" s="3" t="s">
        <v>44</v>
      </c>
      <c r="I341" s="3" t="s">
        <v>53</v>
      </c>
      <c r="J341" s="3">
        <v>2</v>
      </c>
      <c r="K341" s="3">
        <v>88</v>
      </c>
      <c r="L341" s="3">
        <v>88.84</v>
      </c>
      <c r="M341" s="3">
        <f t="shared" si="66"/>
        <v>1.0095454545454545</v>
      </c>
      <c r="N341" s="3">
        <f t="shared" si="67"/>
        <v>1.0095454545454545</v>
      </c>
      <c r="O341" s="3" t="s">
        <v>35</v>
      </c>
      <c r="P341" s="3" t="s">
        <v>245</v>
      </c>
      <c r="Q341" s="3" t="s">
        <v>251</v>
      </c>
      <c r="R341" s="3">
        <v>0</v>
      </c>
      <c r="S341" s="3">
        <v>1</v>
      </c>
      <c r="T341" s="3" t="s">
        <v>31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 t="s">
        <v>241</v>
      </c>
      <c r="Z341" s="3" t="s">
        <v>134</v>
      </c>
      <c r="AA341" s="3" t="s">
        <v>250</v>
      </c>
      <c r="AB341" s="3" t="s">
        <v>43</v>
      </c>
      <c r="AC341" s="3" t="s">
        <v>66</v>
      </c>
    </row>
    <row r="342" spans="1:29" x14ac:dyDescent="0.3">
      <c r="A342" s="3">
        <v>334</v>
      </c>
      <c r="B342" s="3" t="s">
        <v>248</v>
      </c>
      <c r="C342" s="3" t="s">
        <v>130</v>
      </c>
      <c r="D342" s="3" t="s">
        <v>66</v>
      </c>
      <c r="E342" s="3" t="s">
        <v>32</v>
      </c>
      <c r="F342" s="5">
        <v>45657</v>
      </c>
      <c r="G342" s="3">
        <v>2024</v>
      </c>
      <c r="H342" s="3" t="s">
        <v>44</v>
      </c>
      <c r="I342" s="3" t="s">
        <v>53</v>
      </c>
      <c r="J342" s="3"/>
      <c r="K342" s="3">
        <v>88</v>
      </c>
      <c r="L342" s="3">
        <v>88.84</v>
      </c>
      <c r="M342" s="3">
        <f t="shared" si="66"/>
        <v>1.0095454545454545</v>
      </c>
      <c r="N342" s="3">
        <f t="shared" si="67"/>
        <v>1.0095454545454545</v>
      </c>
      <c r="O342" s="3" t="s">
        <v>35</v>
      </c>
      <c r="P342" s="3" t="s">
        <v>245</v>
      </c>
      <c r="Q342" s="3" t="s">
        <v>251</v>
      </c>
      <c r="R342" s="3">
        <v>0</v>
      </c>
      <c r="S342" s="3">
        <v>1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 t="s">
        <v>241</v>
      </c>
      <c r="Z342" s="3" t="s">
        <v>134</v>
      </c>
      <c r="AA342" s="3" t="s">
        <v>250</v>
      </c>
      <c r="AB342" s="3" t="s">
        <v>43</v>
      </c>
      <c r="AC342" s="3" t="s">
        <v>66</v>
      </c>
    </row>
    <row r="343" spans="1:29" x14ac:dyDescent="0.3">
      <c r="A343" s="3">
        <v>334</v>
      </c>
      <c r="B343" s="3" t="s">
        <v>248</v>
      </c>
      <c r="C343" s="3" t="s">
        <v>130</v>
      </c>
      <c r="D343" s="3" t="s">
        <v>66</v>
      </c>
      <c r="E343" s="3" t="s">
        <v>32</v>
      </c>
      <c r="F343" s="5">
        <v>46022</v>
      </c>
      <c r="G343" s="3">
        <v>2025</v>
      </c>
      <c r="H343" s="3" t="s">
        <v>44</v>
      </c>
      <c r="I343" s="3" t="s">
        <v>465</v>
      </c>
      <c r="J343" s="3">
        <v>2</v>
      </c>
      <c r="K343" s="3">
        <v>89</v>
      </c>
      <c r="L343" s="3">
        <v>90.1</v>
      </c>
      <c r="M343" s="3">
        <f t="shared" si="66"/>
        <v>1.0123595505617977</v>
      </c>
      <c r="N343" s="3">
        <f t="shared" si="67"/>
        <v>1.0123595505617977</v>
      </c>
      <c r="O343" s="3" t="s">
        <v>35</v>
      </c>
      <c r="P343" s="3" t="s">
        <v>245</v>
      </c>
      <c r="Q343" s="3" t="s">
        <v>504</v>
      </c>
      <c r="R343" s="3">
        <v>0</v>
      </c>
      <c r="S343" s="3">
        <v>1</v>
      </c>
      <c r="T343" s="3" t="s">
        <v>31</v>
      </c>
      <c r="U343" s="3" t="s">
        <v>37</v>
      </c>
      <c r="V343" s="3" t="s">
        <v>130</v>
      </c>
      <c r="W343" s="3" t="s">
        <v>60</v>
      </c>
      <c r="X343" s="3" t="s">
        <v>100</v>
      </c>
      <c r="Y343" s="3" t="s">
        <v>241</v>
      </c>
      <c r="Z343" s="3" t="s">
        <v>134</v>
      </c>
      <c r="AA343" s="3" t="s">
        <v>250</v>
      </c>
      <c r="AB343" s="3" t="s">
        <v>43</v>
      </c>
      <c r="AC343" s="3" t="s">
        <v>66</v>
      </c>
    </row>
    <row r="344" spans="1:29" x14ac:dyDescent="0.3">
      <c r="A344" s="3">
        <v>335</v>
      </c>
      <c r="B344" s="3" t="s">
        <v>252</v>
      </c>
      <c r="C344" s="3" t="s">
        <v>130</v>
      </c>
      <c r="D344" s="3" t="s">
        <v>66</v>
      </c>
      <c r="E344" s="3" t="s">
        <v>32</v>
      </c>
      <c r="F344" s="5">
        <v>45291</v>
      </c>
      <c r="G344" s="3">
        <v>2023</v>
      </c>
      <c r="H344" s="3" t="s">
        <v>44</v>
      </c>
      <c r="I344" s="3" t="s">
        <v>49</v>
      </c>
      <c r="J344" s="3">
        <v>2</v>
      </c>
      <c r="K344" s="3">
        <v>80</v>
      </c>
      <c r="L344" s="3">
        <v>93.85</v>
      </c>
      <c r="M344" s="3">
        <v>1.173125</v>
      </c>
      <c r="N344" s="3">
        <v>1.173125</v>
      </c>
      <c r="O344" s="3" t="s">
        <v>58</v>
      </c>
      <c r="P344" s="3" t="s">
        <v>58</v>
      </c>
      <c r="Q344" s="3" t="s">
        <v>253</v>
      </c>
      <c r="R344" s="3">
        <v>0</v>
      </c>
      <c r="S344" s="3">
        <v>0</v>
      </c>
      <c r="T344" s="3" t="s">
        <v>31</v>
      </c>
      <c r="U344" s="3" t="s">
        <v>37</v>
      </c>
      <c r="V344" s="3" t="s">
        <v>130</v>
      </c>
      <c r="W344" s="3" t="s">
        <v>60</v>
      </c>
      <c r="X344" s="3" t="s">
        <v>100</v>
      </c>
      <c r="Y344" s="3"/>
      <c r="Z344" s="3" t="s">
        <v>134</v>
      </c>
      <c r="AA344" s="3" t="s">
        <v>135</v>
      </c>
      <c r="AB344" s="3" t="s">
        <v>43</v>
      </c>
      <c r="AC344" s="3" t="s">
        <v>66</v>
      </c>
    </row>
    <row r="345" spans="1:29" x14ac:dyDescent="0.3">
      <c r="A345" s="3">
        <v>335</v>
      </c>
      <c r="B345" s="3" t="s">
        <v>252</v>
      </c>
      <c r="C345" s="3" t="s">
        <v>130</v>
      </c>
      <c r="D345" s="3" t="s">
        <v>66</v>
      </c>
      <c r="E345" s="3" t="s">
        <v>32</v>
      </c>
      <c r="F345" s="5">
        <v>45291</v>
      </c>
      <c r="G345" s="3">
        <v>2023</v>
      </c>
      <c r="H345" s="3" t="s">
        <v>44</v>
      </c>
      <c r="I345" s="3" t="s">
        <v>49</v>
      </c>
      <c r="J345" s="3"/>
      <c r="K345" s="3">
        <v>80</v>
      </c>
      <c r="L345" s="3">
        <v>93.85</v>
      </c>
      <c r="M345" s="3">
        <v>1.173125</v>
      </c>
      <c r="N345" s="3">
        <v>1.173125</v>
      </c>
      <c r="O345" s="3" t="s">
        <v>58</v>
      </c>
      <c r="P345" s="3" t="s">
        <v>58</v>
      </c>
      <c r="Q345" s="3" t="s">
        <v>253</v>
      </c>
      <c r="R345" s="3">
        <v>0</v>
      </c>
      <c r="S345" s="3">
        <v>0</v>
      </c>
      <c r="T345" s="3" t="s">
        <v>443</v>
      </c>
      <c r="U345" s="3" t="s">
        <v>37</v>
      </c>
      <c r="V345" s="3" t="s">
        <v>130</v>
      </c>
      <c r="W345" s="3" t="s">
        <v>60</v>
      </c>
      <c r="X345" s="3" t="s">
        <v>100</v>
      </c>
      <c r="Y345" s="3"/>
      <c r="Z345" s="3" t="s">
        <v>134</v>
      </c>
      <c r="AA345" s="3" t="s">
        <v>135</v>
      </c>
      <c r="AB345" s="3" t="s">
        <v>43</v>
      </c>
      <c r="AC345" s="3" t="s">
        <v>66</v>
      </c>
    </row>
    <row r="346" spans="1:29" x14ac:dyDescent="0.3">
      <c r="A346" s="3">
        <v>335</v>
      </c>
      <c r="B346" s="3" t="s">
        <v>252</v>
      </c>
      <c r="C346" s="3" t="s">
        <v>130</v>
      </c>
      <c r="D346" s="3" t="s">
        <v>66</v>
      </c>
      <c r="E346" s="3" t="s">
        <v>32</v>
      </c>
      <c r="F346" s="5">
        <v>45657</v>
      </c>
      <c r="G346" s="3">
        <v>2024</v>
      </c>
      <c r="H346" s="3" t="s">
        <v>44</v>
      </c>
      <c r="I346" s="3" t="s">
        <v>53</v>
      </c>
      <c r="J346" s="3">
        <v>2</v>
      </c>
      <c r="K346" s="3">
        <v>82</v>
      </c>
      <c r="L346" s="3">
        <v>80.95</v>
      </c>
      <c r="M346" s="3">
        <v>0.9871951219512195</v>
      </c>
      <c r="N346" s="3">
        <v>0.9871951219512195</v>
      </c>
      <c r="O346" s="3" t="s">
        <v>58</v>
      </c>
      <c r="P346" s="3" t="s">
        <v>58</v>
      </c>
      <c r="Q346" s="3" t="s">
        <v>254</v>
      </c>
      <c r="R346" s="3">
        <v>0</v>
      </c>
      <c r="S346" s="3">
        <v>0</v>
      </c>
      <c r="T346" s="3" t="s">
        <v>31</v>
      </c>
      <c r="U346" s="3" t="s">
        <v>37</v>
      </c>
      <c r="V346" s="3" t="s">
        <v>130</v>
      </c>
      <c r="W346" s="3" t="s">
        <v>60</v>
      </c>
      <c r="X346" s="3" t="s">
        <v>100</v>
      </c>
      <c r="Y346" s="3"/>
      <c r="Z346" s="3" t="s">
        <v>134</v>
      </c>
      <c r="AA346" s="3" t="s">
        <v>135</v>
      </c>
      <c r="AB346" s="3" t="s">
        <v>43</v>
      </c>
      <c r="AC346" s="3" t="s">
        <v>66</v>
      </c>
    </row>
    <row r="347" spans="1:29" x14ac:dyDescent="0.3">
      <c r="A347" s="3">
        <v>335</v>
      </c>
      <c r="B347" s="3" t="s">
        <v>252</v>
      </c>
      <c r="C347" s="3" t="s">
        <v>130</v>
      </c>
      <c r="D347" s="3" t="s">
        <v>66</v>
      </c>
      <c r="E347" s="3" t="s">
        <v>32</v>
      </c>
      <c r="F347" s="5">
        <v>45657</v>
      </c>
      <c r="G347" s="3">
        <v>2024</v>
      </c>
      <c r="H347" s="3" t="s">
        <v>44</v>
      </c>
      <c r="I347" s="3" t="s">
        <v>53</v>
      </c>
      <c r="J347" s="3"/>
      <c r="K347" s="3">
        <v>82</v>
      </c>
      <c r="L347" s="3">
        <v>80.95</v>
      </c>
      <c r="M347" s="3">
        <v>0.9871951219512195</v>
      </c>
      <c r="N347" s="3">
        <v>0.9871951219512195</v>
      </c>
      <c r="O347" s="3" t="s">
        <v>58</v>
      </c>
      <c r="P347" s="3" t="s">
        <v>58</v>
      </c>
      <c r="Q347" s="3" t="s">
        <v>254</v>
      </c>
      <c r="R347" s="3">
        <v>0</v>
      </c>
      <c r="S347" s="3">
        <v>0</v>
      </c>
      <c r="T347" s="3" t="s">
        <v>443</v>
      </c>
      <c r="U347" s="3" t="s">
        <v>37</v>
      </c>
      <c r="V347" s="3" t="s">
        <v>130</v>
      </c>
      <c r="W347" s="3" t="s">
        <v>60</v>
      </c>
      <c r="X347" s="3" t="s">
        <v>100</v>
      </c>
      <c r="Y347" s="3"/>
      <c r="Z347" s="3" t="s">
        <v>134</v>
      </c>
      <c r="AA347" s="3" t="s">
        <v>135</v>
      </c>
      <c r="AB347" s="3" t="s">
        <v>43</v>
      </c>
      <c r="AC347" s="3" t="s">
        <v>66</v>
      </c>
    </row>
    <row r="348" spans="1:29" x14ac:dyDescent="0.3">
      <c r="A348" s="3">
        <v>335</v>
      </c>
      <c r="B348" s="3" t="s">
        <v>252</v>
      </c>
      <c r="C348" s="3" t="s">
        <v>130</v>
      </c>
      <c r="D348" s="3" t="s">
        <v>66</v>
      </c>
      <c r="E348" s="3" t="s">
        <v>32</v>
      </c>
      <c r="F348" s="5">
        <v>46022</v>
      </c>
      <c r="G348" s="3">
        <v>2025</v>
      </c>
      <c r="H348" s="3" t="s">
        <v>44</v>
      </c>
      <c r="I348" s="3" t="s">
        <v>465</v>
      </c>
      <c r="J348" s="3"/>
      <c r="K348" s="3">
        <v>82</v>
      </c>
      <c r="L348" s="3">
        <v>80.95</v>
      </c>
      <c r="M348" s="3">
        <v>0.9871951219512195</v>
      </c>
      <c r="N348" s="3">
        <v>0.9871951219512195</v>
      </c>
      <c r="O348" s="3" t="s">
        <v>58</v>
      </c>
      <c r="P348" s="3" t="s">
        <v>58</v>
      </c>
      <c r="Q348" s="3" t="s">
        <v>466</v>
      </c>
      <c r="R348" s="3">
        <v>0</v>
      </c>
      <c r="S348" s="3">
        <v>0</v>
      </c>
      <c r="T348" s="3" t="s">
        <v>443</v>
      </c>
      <c r="U348" s="3" t="s">
        <v>37</v>
      </c>
      <c r="V348" s="3" t="s">
        <v>130</v>
      </c>
      <c r="W348" s="3" t="s">
        <v>60</v>
      </c>
      <c r="X348" s="3" t="s">
        <v>100</v>
      </c>
      <c r="Y348" s="3"/>
      <c r="Z348" s="3" t="s">
        <v>134</v>
      </c>
      <c r="AA348" s="3" t="s">
        <v>135</v>
      </c>
      <c r="AB348" s="3" t="s">
        <v>43</v>
      </c>
      <c r="AC348" s="3" t="s">
        <v>66</v>
      </c>
    </row>
    <row r="349" spans="1:29" x14ac:dyDescent="0.3">
      <c r="A349" s="3">
        <v>339</v>
      </c>
      <c r="B349" s="3" t="s">
        <v>505</v>
      </c>
      <c r="C349" s="3" t="s">
        <v>256</v>
      </c>
      <c r="D349" s="3" t="s">
        <v>66</v>
      </c>
      <c r="E349" s="3" t="s">
        <v>32</v>
      </c>
      <c r="F349" s="5">
        <v>44926</v>
      </c>
      <c r="G349" s="3">
        <v>2022</v>
      </c>
      <c r="H349" s="3" t="s">
        <v>44</v>
      </c>
      <c r="I349" s="3" t="s">
        <v>45</v>
      </c>
      <c r="J349" s="3">
        <v>2</v>
      </c>
      <c r="K349" s="3">
        <v>22</v>
      </c>
      <c r="L349" s="3">
        <v>21.6</v>
      </c>
      <c r="M349" s="3">
        <f t="shared" ref="M349:M355" si="68">L349/K349</f>
        <v>0.98181818181818192</v>
      </c>
      <c r="N349" s="3">
        <f t="shared" ref="N349:N355" si="69">L349/K349</f>
        <v>0.98181818181818192</v>
      </c>
      <c r="O349" s="3" t="s">
        <v>58</v>
      </c>
      <c r="P349" s="3" t="s">
        <v>58</v>
      </c>
      <c r="Q349" s="3" t="s">
        <v>506</v>
      </c>
      <c r="R349" s="3">
        <v>0</v>
      </c>
      <c r="S349" s="3">
        <v>1</v>
      </c>
      <c r="T349" s="3" t="s">
        <v>31</v>
      </c>
      <c r="U349" s="3" t="s">
        <v>37</v>
      </c>
      <c r="V349" s="3" t="s">
        <v>256</v>
      </c>
      <c r="W349" s="3" t="s">
        <v>73</v>
      </c>
      <c r="X349" s="3" t="s">
        <v>74</v>
      </c>
      <c r="Y349" s="3" t="s">
        <v>75</v>
      </c>
      <c r="Z349" s="3" t="s">
        <v>86</v>
      </c>
      <c r="AA349" s="3" t="s">
        <v>87</v>
      </c>
      <c r="AB349" s="3" t="s">
        <v>43</v>
      </c>
      <c r="AC349" s="3" t="s">
        <v>66</v>
      </c>
    </row>
    <row r="350" spans="1:29" x14ac:dyDescent="0.3">
      <c r="A350" s="3">
        <v>339</v>
      </c>
      <c r="B350" s="3" t="s">
        <v>505</v>
      </c>
      <c r="C350" s="3" t="s">
        <v>256</v>
      </c>
      <c r="D350" s="3" t="s">
        <v>66</v>
      </c>
      <c r="E350" s="3" t="s">
        <v>32</v>
      </c>
      <c r="F350" s="5">
        <v>44926</v>
      </c>
      <c r="G350" s="3">
        <v>2022</v>
      </c>
      <c r="H350" s="3" t="s">
        <v>44</v>
      </c>
      <c r="I350" s="3" t="s">
        <v>45</v>
      </c>
      <c r="J350" s="3"/>
      <c r="K350" s="3">
        <v>22</v>
      </c>
      <c r="L350" s="3">
        <v>21.6</v>
      </c>
      <c r="M350" s="3">
        <f t="shared" si="68"/>
        <v>0.98181818181818192</v>
      </c>
      <c r="N350" s="3">
        <f t="shared" si="69"/>
        <v>0.98181818181818192</v>
      </c>
      <c r="O350" s="3" t="s">
        <v>58</v>
      </c>
      <c r="P350" s="3" t="s">
        <v>58</v>
      </c>
      <c r="Q350" s="3" t="s">
        <v>506</v>
      </c>
      <c r="R350" s="3">
        <v>0</v>
      </c>
      <c r="S350" s="3">
        <v>1</v>
      </c>
      <c r="T350" s="3" t="s">
        <v>443</v>
      </c>
      <c r="U350" s="3" t="s">
        <v>37</v>
      </c>
      <c r="V350" s="3" t="s">
        <v>256</v>
      </c>
      <c r="W350" s="3" t="s">
        <v>73</v>
      </c>
      <c r="X350" s="3" t="s">
        <v>74</v>
      </c>
      <c r="Y350" s="3" t="s">
        <v>75</v>
      </c>
      <c r="Z350" s="3" t="s">
        <v>86</v>
      </c>
      <c r="AA350" s="3" t="s">
        <v>87</v>
      </c>
      <c r="AB350" s="3" t="s">
        <v>43</v>
      </c>
      <c r="AC350" s="3" t="s">
        <v>66</v>
      </c>
    </row>
    <row r="351" spans="1:29" x14ac:dyDescent="0.3">
      <c r="A351" s="3">
        <v>339</v>
      </c>
      <c r="B351" s="3" t="s">
        <v>505</v>
      </c>
      <c r="C351" s="3" t="s">
        <v>256</v>
      </c>
      <c r="D351" s="3" t="s">
        <v>66</v>
      </c>
      <c r="E351" s="3" t="s">
        <v>32</v>
      </c>
      <c r="F351" s="5">
        <v>45291</v>
      </c>
      <c r="G351" s="3">
        <v>2023</v>
      </c>
      <c r="H351" s="3" t="s">
        <v>44</v>
      </c>
      <c r="I351" s="3" t="s">
        <v>49</v>
      </c>
      <c r="J351" s="3">
        <v>2</v>
      </c>
      <c r="K351" s="3">
        <v>30</v>
      </c>
      <c r="L351" s="3">
        <v>28.57</v>
      </c>
      <c r="M351" s="3">
        <f t="shared" si="68"/>
        <v>0.95233333333333337</v>
      </c>
      <c r="N351" s="3">
        <f t="shared" si="69"/>
        <v>0.95233333333333337</v>
      </c>
      <c r="O351" s="3" t="s">
        <v>58</v>
      </c>
      <c r="P351" s="3" t="s">
        <v>58</v>
      </c>
      <c r="Q351" s="3" t="s">
        <v>257</v>
      </c>
      <c r="R351" s="3">
        <v>0</v>
      </c>
      <c r="S351" s="3">
        <v>1</v>
      </c>
      <c r="T351" s="3" t="s">
        <v>31</v>
      </c>
      <c r="U351" s="3" t="s">
        <v>37</v>
      </c>
      <c r="V351" s="3" t="s">
        <v>256</v>
      </c>
      <c r="W351" s="3" t="s">
        <v>73</v>
      </c>
      <c r="X351" s="3" t="s">
        <v>74</v>
      </c>
      <c r="Y351" s="3" t="s">
        <v>75</v>
      </c>
      <c r="Z351" s="3" t="s">
        <v>86</v>
      </c>
      <c r="AA351" s="3" t="s">
        <v>87</v>
      </c>
      <c r="AB351" s="3" t="s">
        <v>43</v>
      </c>
      <c r="AC351" s="3" t="s">
        <v>66</v>
      </c>
    </row>
    <row r="352" spans="1:29" x14ac:dyDescent="0.3">
      <c r="A352" s="3">
        <v>339</v>
      </c>
      <c r="B352" s="3" t="s">
        <v>505</v>
      </c>
      <c r="C352" s="3" t="s">
        <v>256</v>
      </c>
      <c r="D352" s="3" t="s">
        <v>66</v>
      </c>
      <c r="E352" s="3" t="s">
        <v>32</v>
      </c>
      <c r="F352" s="5">
        <v>45291</v>
      </c>
      <c r="G352" s="3">
        <v>2023</v>
      </c>
      <c r="H352" s="3" t="s">
        <v>44</v>
      </c>
      <c r="I352" s="3" t="s">
        <v>49</v>
      </c>
      <c r="J352" s="3"/>
      <c r="K352" s="3">
        <v>30</v>
      </c>
      <c r="L352" s="3">
        <v>28.57</v>
      </c>
      <c r="M352" s="3">
        <f t="shared" si="68"/>
        <v>0.95233333333333337</v>
      </c>
      <c r="N352" s="3">
        <f t="shared" si="69"/>
        <v>0.95233333333333337</v>
      </c>
      <c r="O352" s="3" t="s">
        <v>58</v>
      </c>
      <c r="P352" s="3" t="s">
        <v>58</v>
      </c>
      <c r="Q352" s="3" t="s">
        <v>257</v>
      </c>
      <c r="R352" s="3">
        <v>0</v>
      </c>
      <c r="S352" s="3">
        <v>1</v>
      </c>
      <c r="T352" s="3" t="s">
        <v>443</v>
      </c>
      <c r="U352" s="3" t="s">
        <v>37</v>
      </c>
      <c r="V352" s="3" t="s">
        <v>256</v>
      </c>
      <c r="W352" s="3" t="s">
        <v>73</v>
      </c>
      <c r="X352" s="3" t="s">
        <v>74</v>
      </c>
      <c r="Y352" s="3" t="s">
        <v>75</v>
      </c>
      <c r="Z352" s="3" t="s">
        <v>86</v>
      </c>
      <c r="AA352" s="3" t="s">
        <v>87</v>
      </c>
      <c r="AB352" s="3" t="s">
        <v>43</v>
      </c>
      <c r="AC352" s="3" t="s">
        <v>66</v>
      </c>
    </row>
    <row r="353" spans="1:29" x14ac:dyDescent="0.3">
      <c r="A353" s="3">
        <v>339</v>
      </c>
      <c r="B353" s="3" t="s">
        <v>505</v>
      </c>
      <c r="C353" s="3" t="s">
        <v>256</v>
      </c>
      <c r="D353" s="3" t="s">
        <v>66</v>
      </c>
      <c r="E353" s="3" t="s">
        <v>32</v>
      </c>
      <c r="F353" s="5">
        <v>45657</v>
      </c>
      <c r="G353" s="3">
        <v>2024</v>
      </c>
      <c r="H353" s="3" t="s">
        <v>44</v>
      </c>
      <c r="I353" s="3" t="s">
        <v>53</v>
      </c>
      <c r="J353" s="3">
        <v>2</v>
      </c>
      <c r="K353" s="3">
        <v>30</v>
      </c>
      <c r="L353" s="3">
        <v>30.3</v>
      </c>
      <c r="M353" s="3">
        <f t="shared" si="68"/>
        <v>1.01</v>
      </c>
      <c r="N353" s="3">
        <f t="shared" si="69"/>
        <v>1.01</v>
      </c>
      <c r="O353" s="3" t="s">
        <v>58</v>
      </c>
      <c r="P353" s="3" t="s">
        <v>58</v>
      </c>
      <c r="Q353" s="3" t="s">
        <v>258</v>
      </c>
      <c r="R353" s="3">
        <v>0</v>
      </c>
      <c r="S353" s="3">
        <v>1</v>
      </c>
      <c r="T353" s="3" t="s">
        <v>31</v>
      </c>
      <c r="U353" s="3" t="s">
        <v>37</v>
      </c>
      <c r="V353" s="3" t="s">
        <v>256</v>
      </c>
      <c r="W353" s="3" t="s">
        <v>73</v>
      </c>
      <c r="X353" s="3" t="s">
        <v>74</v>
      </c>
      <c r="Y353" s="3" t="s">
        <v>75</v>
      </c>
      <c r="Z353" s="3" t="s">
        <v>86</v>
      </c>
      <c r="AA353" s="3" t="s">
        <v>87</v>
      </c>
      <c r="AB353" s="3" t="s">
        <v>43</v>
      </c>
      <c r="AC353" s="3" t="s">
        <v>66</v>
      </c>
    </row>
    <row r="354" spans="1:29" x14ac:dyDescent="0.3">
      <c r="A354" s="3">
        <v>339</v>
      </c>
      <c r="B354" s="3" t="s">
        <v>505</v>
      </c>
      <c r="C354" s="3" t="s">
        <v>256</v>
      </c>
      <c r="D354" s="3" t="s">
        <v>66</v>
      </c>
      <c r="E354" s="3" t="s">
        <v>32</v>
      </c>
      <c r="F354" s="5">
        <v>45657</v>
      </c>
      <c r="G354" s="3">
        <v>2024</v>
      </c>
      <c r="H354" s="3" t="s">
        <v>44</v>
      </c>
      <c r="I354" s="3" t="s">
        <v>53</v>
      </c>
      <c r="J354" s="3"/>
      <c r="K354" s="3">
        <v>30</v>
      </c>
      <c r="L354" s="3">
        <v>30.3</v>
      </c>
      <c r="M354" s="3">
        <f t="shared" si="68"/>
        <v>1.01</v>
      </c>
      <c r="N354" s="3">
        <f t="shared" si="69"/>
        <v>1.01</v>
      </c>
      <c r="O354" s="3" t="s">
        <v>58</v>
      </c>
      <c r="P354" s="3" t="s">
        <v>58</v>
      </c>
      <c r="Q354" s="3" t="s">
        <v>258</v>
      </c>
      <c r="R354" s="3">
        <v>0</v>
      </c>
      <c r="S354" s="3">
        <v>1</v>
      </c>
      <c r="T354" s="3" t="s">
        <v>443</v>
      </c>
      <c r="U354" s="3" t="s">
        <v>37</v>
      </c>
      <c r="V354" s="3" t="s">
        <v>256</v>
      </c>
      <c r="W354" s="3" t="s">
        <v>73</v>
      </c>
      <c r="X354" s="3" t="s">
        <v>74</v>
      </c>
      <c r="Y354" s="3" t="s">
        <v>75</v>
      </c>
      <c r="Z354" s="3" t="s">
        <v>86</v>
      </c>
      <c r="AA354" s="3" t="s">
        <v>87</v>
      </c>
      <c r="AB354" s="3" t="s">
        <v>43</v>
      </c>
      <c r="AC354" s="3" t="s">
        <v>66</v>
      </c>
    </row>
    <row r="355" spans="1:29" x14ac:dyDescent="0.3">
      <c r="A355" s="3">
        <v>339</v>
      </c>
      <c r="B355" s="3" t="s">
        <v>505</v>
      </c>
      <c r="C355" s="3" t="s">
        <v>256</v>
      </c>
      <c r="D355" s="3" t="s">
        <v>66</v>
      </c>
      <c r="E355" s="3" t="s">
        <v>32</v>
      </c>
      <c r="F355" s="5">
        <v>46022</v>
      </c>
      <c r="G355" s="3">
        <v>2025</v>
      </c>
      <c r="H355" s="3" t="s">
        <v>44</v>
      </c>
      <c r="I355" s="3" t="s">
        <v>465</v>
      </c>
      <c r="J355" s="3">
        <v>2</v>
      </c>
      <c r="K355" s="3">
        <v>30</v>
      </c>
      <c r="L355" s="3">
        <v>35.29</v>
      </c>
      <c r="M355" s="3">
        <f t="shared" si="68"/>
        <v>1.1763333333333332</v>
      </c>
      <c r="N355" s="3">
        <f t="shared" si="69"/>
        <v>1.1763333333333332</v>
      </c>
      <c r="O355" s="3" t="s">
        <v>58</v>
      </c>
      <c r="P355" s="3" t="s">
        <v>58</v>
      </c>
      <c r="Q355" s="3" t="s">
        <v>407</v>
      </c>
      <c r="R355" s="3">
        <v>0</v>
      </c>
      <c r="S355" s="3">
        <v>1</v>
      </c>
      <c r="T355" s="3" t="s">
        <v>31</v>
      </c>
      <c r="U355" s="3" t="s">
        <v>37</v>
      </c>
      <c r="V355" s="3" t="s">
        <v>256</v>
      </c>
      <c r="W355" s="3" t="s">
        <v>73</v>
      </c>
      <c r="X355" s="3" t="s">
        <v>74</v>
      </c>
      <c r="Y355" s="3" t="s">
        <v>75</v>
      </c>
      <c r="Z355" s="3" t="s">
        <v>86</v>
      </c>
      <c r="AA355" s="3" t="s">
        <v>87</v>
      </c>
      <c r="AB355" s="3" t="s">
        <v>43</v>
      </c>
      <c r="AC355" s="3" t="s">
        <v>66</v>
      </c>
    </row>
    <row r="356" spans="1:29" x14ac:dyDescent="0.3">
      <c r="A356" s="3">
        <v>339</v>
      </c>
      <c r="B356" s="3" t="s">
        <v>505</v>
      </c>
      <c r="C356" s="3" t="s">
        <v>256</v>
      </c>
      <c r="D356" s="3" t="s">
        <v>66</v>
      </c>
      <c r="E356" s="3" t="s">
        <v>32</v>
      </c>
      <c r="F356" s="5">
        <v>46022</v>
      </c>
      <c r="G356" s="3">
        <v>2025</v>
      </c>
      <c r="H356" s="3" t="s">
        <v>44</v>
      </c>
      <c r="I356" s="3" t="s">
        <v>465</v>
      </c>
      <c r="J356" s="3"/>
      <c r="K356" s="3">
        <v>30</v>
      </c>
      <c r="L356" s="3">
        <v>35.29</v>
      </c>
      <c r="M356" s="3">
        <f>L356/K356</f>
        <v>1.1763333333333332</v>
      </c>
      <c r="N356" s="3">
        <f>L356/K356</f>
        <v>1.1763333333333332</v>
      </c>
      <c r="O356" s="3" t="s">
        <v>58</v>
      </c>
      <c r="P356" s="3" t="s">
        <v>58</v>
      </c>
      <c r="Q356" s="3" t="s">
        <v>407</v>
      </c>
      <c r="R356" s="3">
        <v>0</v>
      </c>
      <c r="S356" s="3">
        <v>1</v>
      </c>
      <c r="T356" s="3" t="s">
        <v>443</v>
      </c>
      <c r="U356" s="3" t="s">
        <v>37</v>
      </c>
      <c r="V356" s="3" t="s">
        <v>256</v>
      </c>
      <c r="W356" s="3" t="s">
        <v>73</v>
      </c>
      <c r="X356" s="3" t="s">
        <v>74</v>
      </c>
      <c r="Y356" s="3" t="s">
        <v>75</v>
      </c>
      <c r="Z356" s="3" t="s">
        <v>86</v>
      </c>
      <c r="AA356" s="3" t="s">
        <v>87</v>
      </c>
      <c r="AB356" s="3" t="s">
        <v>43</v>
      </c>
      <c r="AC356" s="3" t="s">
        <v>66</v>
      </c>
    </row>
    <row r="357" spans="1:29" x14ac:dyDescent="0.3">
      <c r="A357" s="3">
        <v>361</v>
      </c>
      <c r="B357" s="3" t="s">
        <v>479</v>
      </c>
      <c r="C357" s="3" t="s">
        <v>267</v>
      </c>
      <c r="D357" s="3" t="s">
        <v>66</v>
      </c>
      <c r="E357" s="3" t="s">
        <v>32</v>
      </c>
      <c r="F357" s="5">
        <v>44561</v>
      </c>
      <c r="G357" s="3">
        <f>YEAR(F357)</f>
        <v>2021</v>
      </c>
      <c r="H357" s="3" t="str">
        <f>PROPER(TEXT(F357,"mmmm"))</f>
        <v>Diciembre</v>
      </c>
      <c r="I357" s="3" t="str">
        <f>IF(H357="Junio",G357&amp;"-1",G357&amp;"-2")</f>
        <v>2021-2</v>
      </c>
      <c r="J357" s="3"/>
      <c r="K357" s="3"/>
      <c r="L357" s="3">
        <v>4.4000000000000004</v>
      </c>
      <c r="M357" s="3"/>
      <c r="N357" s="3"/>
      <c r="O357" s="3" t="s">
        <v>245</v>
      </c>
      <c r="P357" s="3" t="s">
        <v>245</v>
      </c>
      <c r="Q357" s="3" t="str">
        <f>A357&amp;"-"&amp;TEXT(F357,"yyyy-mm-dd")</f>
        <v>361-2021-12-31</v>
      </c>
      <c r="R357" s="3">
        <v>1</v>
      </c>
      <c r="S357" s="3">
        <v>2</v>
      </c>
      <c r="T357" s="3" t="s">
        <v>31</v>
      </c>
      <c r="U357" s="3" t="s">
        <v>37</v>
      </c>
      <c r="V357" s="3" t="s">
        <v>267</v>
      </c>
      <c r="W357" s="3" t="s">
        <v>145</v>
      </c>
      <c r="X357" s="3" t="s">
        <v>179</v>
      </c>
      <c r="Y357" s="3" t="s">
        <v>269</v>
      </c>
      <c r="Z357" s="3" t="s">
        <v>41</v>
      </c>
      <c r="AA357" s="3" t="s">
        <v>124</v>
      </c>
      <c r="AB357" s="3" t="s">
        <v>43</v>
      </c>
      <c r="AC357" s="3" t="s">
        <v>66</v>
      </c>
    </row>
    <row r="358" spans="1:29" x14ac:dyDescent="0.3">
      <c r="A358" s="3">
        <v>361</v>
      </c>
      <c r="B358" s="3" t="s">
        <v>479</v>
      </c>
      <c r="C358" s="3" t="s">
        <v>267</v>
      </c>
      <c r="D358" s="3" t="s">
        <v>66</v>
      </c>
      <c r="E358" s="3" t="s">
        <v>32</v>
      </c>
      <c r="F358" s="5">
        <v>45291</v>
      </c>
      <c r="G358" s="3">
        <v>2023</v>
      </c>
      <c r="H358" s="3" t="s">
        <v>44</v>
      </c>
      <c r="I358" s="3" t="s">
        <v>49</v>
      </c>
      <c r="J358" s="3">
        <v>2</v>
      </c>
      <c r="K358" s="3">
        <v>4.5</v>
      </c>
      <c r="L358" s="3">
        <v>4.5599999999999996</v>
      </c>
      <c r="M358" s="3">
        <v>1.013333333333333</v>
      </c>
      <c r="N358" s="3">
        <v>1.013333333333333</v>
      </c>
      <c r="O358" s="3" t="s">
        <v>245</v>
      </c>
      <c r="P358" s="3" t="s">
        <v>245</v>
      </c>
      <c r="Q358" s="3" t="s">
        <v>268</v>
      </c>
      <c r="R358" s="3">
        <v>2</v>
      </c>
      <c r="S358" s="3">
        <v>2</v>
      </c>
      <c r="T358" s="3" t="s">
        <v>31</v>
      </c>
      <c r="U358" s="3" t="s">
        <v>37</v>
      </c>
      <c r="V358" s="3" t="s">
        <v>267</v>
      </c>
      <c r="W358" s="3" t="s">
        <v>145</v>
      </c>
      <c r="X358" s="3" t="s">
        <v>179</v>
      </c>
      <c r="Y358" s="3" t="s">
        <v>269</v>
      </c>
      <c r="Z358" s="3" t="s">
        <v>41</v>
      </c>
      <c r="AA358" s="3" t="s">
        <v>124</v>
      </c>
      <c r="AB358" s="3" t="s">
        <v>43</v>
      </c>
      <c r="AC358" s="3" t="s">
        <v>66</v>
      </c>
    </row>
    <row r="359" spans="1:29" x14ac:dyDescent="0.3">
      <c r="A359" s="3">
        <v>361</v>
      </c>
      <c r="B359" s="3" t="s">
        <v>479</v>
      </c>
      <c r="C359" s="3" t="s">
        <v>267</v>
      </c>
      <c r="D359" s="3" t="s">
        <v>66</v>
      </c>
      <c r="E359" s="3" t="s">
        <v>32</v>
      </c>
      <c r="F359" s="5">
        <v>45291</v>
      </c>
      <c r="G359" s="3">
        <v>2023</v>
      </c>
      <c r="H359" s="3" t="s">
        <v>44</v>
      </c>
      <c r="I359" s="3" t="s">
        <v>49</v>
      </c>
      <c r="J359" s="3"/>
      <c r="K359" s="3">
        <v>4.5</v>
      </c>
      <c r="L359" s="3">
        <v>4.5599999999999996</v>
      </c>
      <c r="M359" s="3">
        <v>1.013333333333333</v>
      </c>
      <c r="N359" s="3">
        <v>1.013333333333333</v>
      </c>
      <c r="O359" s="3" t="s">
        <v>245</v>
      </c>
      <c r="P359" s="3" t="s">
        <v>245</v>
      </c>
      <c r="Q359" s="3" t="s">
        <v>268</v>
      </c>
      <c r="R359" s="3">
        <v>2</v>
      </c>
      <c r="S359" s="3">
        <v>2</v>
      </c>
      <c r="T359" s="3" t="s">
        <v>443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269</v>
      </c>
      <c r="Z359" s="3" t="s">
        <v>41</v>
      </c>
      <c r="AA359" s="3" t="s">
        <v>124</v>
      </c>
      <c r="AB359" s="3" t="s">
        <v>43</v>
      </c>
      <c r="AC359" s="3" t="s">
        <v>66</v>
      </c>
    </row>
    <row r="360" spans="1:29" x14ac:dyDescent="0.3">
      <c r="A360" s="3">
        <v>361</v>
      </c>
      <c r="B360" s="3" t="s">
        <v>479</v>
      </c>
      <c r="C360" s="3" t="s">
        <v>267</v>
      </c>
      <c r="D360" s="3" t="s">
        <v>66</v>
      </c>
      <c r="E360" s="3" t="s">
        <v>32</v>
      </c>
      <c r="F360" s="5">
        <v>46022</v>
      </c>
      <c r="G360" s="3">
        <v>2025</v>
      </c>
      <c r="H360" s="3" t="s">
        <v>44</v>
      </c>
      <c r="I360" s="3" t="s">
        <v>465</v>
      </c>
      <c r="J360" s="3">
        <v>2</v>
      </c>
      <c r="K360" s="3">
        <v>4.5999999999999996</v>
      </c>
      <c r="L360" s="3">
        <v>4.78</v>
      </c>
      <c r="M360" s="3">
        <f>L360/K360</f>
        <v>1.0391304347826089</v>
      </c>
      <c r="N360" s="3">
        <v>1.013333333333333</v>
      </c>
      <c r="O360" s="3" t="s">
        <v>245</v>
      </c>
      <c r="P360" s="3" t="s">
        <v>245</v>
      </c>
      <c r="Q360" s="3" t="s">
        <v>461</v>
      </c>
      <c r="R360" s="3">
        <v>1</v>
      </c>
      <c r="S360" s="3">
        <v>2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269</v>
      </c>
      <c r="Z360" s="3" t="s">
        <v>41</v>
      </c>
      <c r="AA360" s="3" t="s">
        <v>124</v>
      </c>
      <c r="AB360" s="3" t="s">
        <v>43</v>
      </c>
      <c r="AC360" s="3" t="s">
        <v>66</v>
      </c>
    </row>
    <row r="361" spans="1:29" x14ac:dyDescent="0.3">
      <c r="A361" s="3">
        <v>361</v>
      </c>
      <c r="B361" s="3" t="s">
        <v>479</v>
      </c>
      <c r="C361" s="3" t="s">
        <v>267</v>
      </c>
      <c r="D361" s="3" t="s">
        <v>66</v>
      </c>
      <c r="E361" s="3" t="s">
        <v>32</v>
      </c>
      <c r="F361" s="5">
        <v>46022</v>
      </c>
      <c r="G361" s="3">
        <v>2025</v>
      </c>
      <c r="H361" s="3" t="s">
        <v>44</v>
      </c>
      <c r="I361" s="3" t="s">
        <v>465</v>
      </c>
      <c r="J361" s="3"/>
      <c r="K361" s="3">
        <v>4.5</v>
      </c>
      <c r="L361" s="3">
        <v>4.78</v>
      </c>
      <c r="M361" s="3">
        <f>L361/K361</f>
        <v>1.0622222222222222</v>
      </c>
      <c r="N361" s="3">
        <v>1.013333333333333</v>
      </c>
      <c r="O361" s="3" t="s">
        <v>245</v>
      </c>
      <c r="P361" s="3" t="s">
        <v>245</v>
      </c>
      <c r="Q361" s="3" t="s">
        <v>461</v>
      </c>
      <c r="R361" s="3">
        <v>1</v>
      </c>
      <c r="S361" s="3">
        <v>2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269</v>
      </c>
      <c r="Z361" s="3" t="s">
        <v>41</v>
      </c>
      <c r="AA361" s="3" t="s">
        <v>124</v>
      </c>
      <c r="AB361" s="3" t="s">
        <v>43</v>
      </c>
      <c r="AC361" s="3" t="s">
        <v>66</v>
      </c>
    </row>
    <row r="362" spans="1:29" x14ac:dyDescent="0.3">
      <c r="A362" s="3">
        <v>364</v>
      </c>
      <c r="B362" s="3" t="s">
        <v>271</v>
      </c>
      <c r="C362" s="3" t="s">
        <v>267</v>
      </c>
      <c r="D362" s="3" t="s">
        <v>31</v>
      </c>
      <c r="E362" s="3" t="s">
        <v>171</v>
      </c>
      <c r="F362" s="5">
        <v>45107</v>
      </c>
      <c r="G362" s="3">
        <v>2023</v>
      </c>
      <c r="H362" s="3" t="s">
        <v>33</v>
      </c>
      <c r="I362" s="3" t="s">
        <v>47</v>
      </c>
      <c r="J362" s="3">
        <v>1</v>
      </c>
      <c r="K362" s="3"/>
      <c r="L362" s="3">
        <v>30173</v>
      </c>
      <c r="M362" s="3"/>
      <c r="N362" s="3"/>
      <c r="O362" s="3" t="s">
        <v>131</v>
      </c>
      <c r="P362" s="3" t="s">
        <v>35</v>
      </c>
      <c r="Q362" s="3" t="s">
        <v>272</v>
      </c>
      <c r="R362" s="3">
        <v>0</v>
      </c>
      <c r="S362" s="3">
        <v>0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273</v>
      </c>
      <c r="Z362" s="3" t="s">
        <v>274</v>
      </c>
      <c r="AA362" s="3" t="s">
        <v>275</v>
      </c>
      <c r="AB362" s="3" t="s">
        <v>78</v>
      </c>
      <c r="AC362" s="3" t="s">
        <v>66</v>
      </c>
    </row>
    <row r="363" spans="1:29" x14ac:dyDescent="0.3">
      <c r="A363" s="3">
        <v>364</v>
      </c>
      <c r="B363" s="3" t="s">
        <v>271</v>
      </c>
      <c r="C363" s="3" t="s">
        <v>267</v>
      </c>
      <c r="D363" s="3" t="s">
        <v>31</v>
      </c>
      <c r="E363" s="3" t="s">
        <v>171</v>
      </c>
      <c r="F363" s="5">
        <v>45291</v>
      </c>
      <c r="G363" s="3">
        <v>2023</v>
      </c>
      <c r="H363" s="3" t="s">
        <v>44</v>
      </c>
      <c r="I363" s="3" t="s">
        <v>49</v>
      </c>
      <c r="J363" s="3">
        <v>2</v>
      </c>
      <c r="K363" s="3"/>
      <c r="L363" s="3">
        <v>48277</v>
      </c>
      <c r="M363" s="3"/>
      <c r="N363" s="3"/>
      <c r="O363" s="3" t="s">
        <v>131</v>
      </c>
      <c r="P363" s="3" t="s">
        <v>35</v>
      </c>
      <c r="Q363" s="3" t="s">
        <v>276</v>
      </c>
      <c r="R363" s="3">
        <v>0</v>
      </c>
      <c r="S363" s="3">
        <v>0</v>
      </c>
      <c r="T363" s="3" t="s">
        <v>31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273</v>
      </c>
      <c r="Z363" s="3" t="s">
        <v>274</v>
      </c>
      <c r="AA363" s="3" t="s">
        <v>275</v>
      </c>
      <c r="AB363" s="3" t="s">
        <v>78</v>
      </c>
      <c r="AC363" s="3" t="s">
        <v>66</v>
      </c>
    </row>
    <row r="364" spans="1:29" x14ac:dyDescent="0.3">
      <c r="A364" s="3">
        <v>364</v>
      </c>
      <c r="B364" s="3" t="s">
        <v>271</v>
      </c>
      <c r="C364" s="3" t="s">
        <v>267</v>
      </c>
      <c r="D364" s="3" t="s">
        <v>31</v>
      </c>
      <c r="E364" s="3" t="s">
        <v>171</v>
      </c>
      <c r="F364" s="5">
        <v>45291</v>
      </c>
      <c r="G364" s="3">
        <v>2023</v>
      </c>
      <c r="H364" s="3" t="s">
        <v>44</v>
      </c>
      <c r="I364" s="3" t="s">
        <v>49</v>
      </c>
      <c r="J364" s="3"/>
      <c r="K364" s="3"/>
      <c r="L364" s="3">
        <v>78450</v>
      </c>
      <c r="M364" s="3"/>
      <c r="N364" s="3"/>
      <c r="O364" s="3" t="s">
        <v>284</v>
      </c>
      <c r="P364" s="3" t="s">
        <v>35</v>
      </c>
      <c r="Q364" s="3" t="s">
        <v>276</v>
      </c>
      <c r="R364" s="3">
        <v>0</v>
      </c>
      <c r="S364" s="3">
        <v>0</v>
      </c>
      <c r="T364" s="3" t="s">
        <v>443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273</v>
      </c>
      <c r="Z364" s="3" t="s">
        <v>274</v>
      </c>
      <c r="AA364" s="3" t="s">
        <v>275</v>
      </c>
      <c r="AB364" s="3" t="s">
        <v>78</v>
      </c>
      <c r="AC364" s="3" t="s">
        <v>66</v>
      </c>
    </row>
    <row r="365" spans="1:29" x14ac:dyDescent="0.3">
      <c r="A365" s="3">
        <v>364</v>
      </c>
      <c r="B365" s="3" t="s">
        <v>271</v>
      </c>
      <c r="C365" s="3" t="s">
        <v>267</v>
      </c>
      <c r="D365" s="3" t="s">
        <v>31</v>
      </c>
      <c r="E365" s="3" t="s">
        <v>171</v>
      </c>
      <c r="F365" s="5">
        <v>45473</v>
      </c>
      <c r="G365" s="3">
        <v>2024</v>
      </c>
      <c r="H365" s="3" t="s">
        <v>33</v>
      </c>
      <c r="I365" s="3" t="s">
        <v>51</v>
      </c>
      <c r="J365" s="3">
        <v>1</v>
      </c>
      <c r="K365" s="3">
        <v>31694</v>
      </c>
      <c r="L365" s="3">
        <v>42069</v>
      </c>
      <c r="M365" s="3">
        <f>+L365/K365</f>
        <v>1.3273490250520603</v>
      </c>
      <c r="N365" s="3">
        <f>+L365/K365</f>
        <v>1.3273490250520603</v>
      </c>
      <c r="O365" s="3" t="s">
        <v>35</v>
      </c>
      <c r="P365" s="3" t="s">
        <v>35</v>
      </c>
      <c r="Q365" s="3" t="s">
        <v>277</v>
      </c>
      <c r="R365" s="3">
        <v>0</v>
      </c>
      <c r="S365" s="3">
        <v>0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273</v>
      </c>
      <c r="Z365" s="3" t="s">
        <v>274</v>
      </c>
      <c r="AA365" s="3" t="s">
        <v>275</v>
      </c>
      <c r="AB365" s="3" t="s">
        <v>78</v>
      </c>
      <c r="AC365" s="3" t="s">
        <v>66</v>
      </c>
    </row>
    <row r="366" spans="1:29" x14ac:dyDescent="0.3">
      <c r="A366" s="3">
        <v>364</v>
      </c>
      <c r="B366" s="3" t="s">
        <v>271</v>
      </c>
      <c r="C366" s="3" t="s">
        <v>267</v>
      </c>
      <c r="D366" s="3" t="s">
        <v>31</v>
      </c>
      <c r="E366" s="3" t="s">
        <v>171</v>
      </c>
      <c r="F366" s="5">
        <v>45657</v>
      </c>
      <c r="G366" s="3">
        <v>2024</v>
      </c>
      <c r="H366" s="3" t="s">
        <v>44</v>
      </c>
      <c r="I366" s="3" t="s">
        <v>53</v>
      </c>
      <c r="J366" s="3">
        <v>2</v>
      </c>
      <c r="K366" s="3">
        <v>47541</v>
      </c>
      <c r="L366" s="3">
        <v>46635</v>
      </c>
      <c r="M366" s="3">
        <f t="shared" ref="M366:M369" si="70">+L366/K366</f>
        <v>0.98094276519214996</v>
      </c>
      <c r="N366" s="3">
        <f t="shared" ref="N366:N369" si="71">+L366/K366</f>
        <v>0.98094276519214996</v>
      </c>
      <c r="O366" s="3" t="s">
        <v>35</v>
      </c>
      <c r="P366" s="3" t="s">
        <v>35</v>
      </c>
      <c r="Q366" s="3" t="s">
        <v>278</v>
      </c>
      <c r="R366" s="3">
        <v>0</v>
      </c>
      <c r="S366" s="3">
        <v>0</v>
      </c>
      <c r="T366" s="3" t="s">
        <v>31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273</v>
      </c>
      <c r="Z366" s="3" t="s">
        <v>274</v>
      </c>
      <c r="AA366" s="3" t="s">
        <v>275</v>
      </c>
      <c r="AB366" s="3" t="s">
        <v>78</v>
      </c>
      <c r="AC366" s="3" t="s">
        <v>66</v>
      </c>
    </row>
    <row r="367" spans="1:29" x14ac:dyDescent="0.3">
      <c r="A367" s="3">
        <v>364</v>
      </c>
      <c r="B367" s="3" t="s">
        <v>271</v>
      </c>
      <c r="C367" s="3" t="s">
        <v>267</v>
      </c>
      <c r="D367" s="3" t="s">
        <v>31</v>
      </c>
      <c r="E367" s="3" t="s">
        <v>171</v>
      </c>
      <c r="F367" s="5">
        <v>45657</v>
      </c>
      <c r="G367" s="3">
        <v>2024</v>
      </c>
      <c r="H367" s="3" t="s">
        <v>44</v>
      </c>
      <c r="I367" s="3" t="s">
        <v>53</v>
      </c>
      <c r="J367" s="3"/>
      <c r="K367" s="3">
        <v>79235</v>
      </c>
      <c r="L367" s="3">
        <v>88704</v>
      </c>
      <c r="M367" s="3">
        <f t="shared" si="70"/>
        <v>1.119505269136114</v>
      </c>
      <c r="N367" s="3">
        <f t="shared" si="71"/>
        <v>1.119505269136114</v>
      </c>
      <c r="O367" s="3" t="s">
        <v>35</v>
      </c>
      <c r="P367" s="3" t="s">
        <v>35</v>
      </c>
      <c r="Q367" s="3" t="s">
        <v>278</v>
      </c>
      <c r="R367" s="3">
        <v>0</v>
      </c>
      <c r="S367" s="3">
        <v>0</v>
      </c>
      <c r="T367" s="3" t="s">
        <v>443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273</v>
      </c>
      <c r="Z367" s="3" t="s">
        <v>274</v>
      </c>
      <c r="AA367" s="3" t="s">
        <v>275</v>
      </c>
      <c r="AB367" s="3" t="s">
        <v>78</v>
      </c>
      <c r="AC367" s="3" t="s">
        <v>66</v>
      </c>
    </row>
    <row r="368" spans="1:29" x14ac:dyDescent="0.3">
      <c r="A368" s="3">
        <v>364</v>
      </c>
      <c r="B368" s="3" t="s">
        <v>271</v>
      </c>
      <c r="C368" s="3" t="s">
        <v>267</v>
      </c>
      <c r="D368" s="3" t="s">
        <v>31</v>
      </c>
      <c r="E368" s="3" t="s">
        <v>171</v>
      </c>
      <c r="F368" s="5">
        <v>45838</v>
      </c>
      <c r="G368" s="3">
        <v>2025</v>
      </c>
      <c r="H368" s="3" t="s">
        <v>33</v>
      </c>
      <c r="I368" s="3" t="s">
        <v>404</v>
      </c>
      <c r="J368" s="3">
        <v>1</v>
      </c>
      <c r="K368" s="3">
        <v>33279</v>
      </c>
      <c r="L368" s="3">
        <v>31244</v>
      </c>
      <c r="M368" s="3">
        <f t="shared" si="70"/>
        <v>0.93885032603143126</v>
      </c>
      <c r="N368" s="3">
        <f t="shared" si="71"/>
        <v>0.93885032603143126</v>
      </c>
      <c r="O368" s="3" t="s">
        <v>35</v>
      </c>
      <c r="P368" s="3" t="s">
        <v>35</v>
      </c>
      <c r="Q368" s="3" t="s">
        <v>424</v>
      </c>
      <c r="R368" s="3">
        <v>0</v>
      </c>
      <c r="S368" s="3">
        <v>0</v>
      </c>
      <c r="T368" s="3" t="s">
        <v>31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273</v>
      </c>
      <c r="Z368" s="3" t="s">
        <v>274</v>
      </c>
      <c r="AA368" s="3" t="s">
        <v>275</v>
      </c>
      <c r="AB368" s="3" t="s">
        <v>78</v>
      </c>
      <c r="AC368" s="3" t="s">
        <v>66</v>
      </c>
    </row>
    <row r="369" spans="1:29" x14ac:dyDescent="0.3">
      <c r="A369" s="3">
        <v>364</v>
      </c>
      <c r="B369" s="3" t="s">
        <v>271</v>
      </c>
      <c r="C369" s="3" t="s">
        <v>267</v>
      </c>
      <c r="D369" s="3" t="s">
        <v>31</v>
      </c>
      <c r="E369" s="3" t="s">
        <v>171</v>
      </c>
      <c r="F369" s="5">
        <v>46022</v>
      </c>
      <c r="G369" s="3">
        <v>2025</v>
      </c>
      <c r="H369" s="3" t="s">
        <v>44</v>
      </c>
      <c r="I369" s="3" t="s">
        <v>465</v>
      </c>
      <c r="J369" s="3">
        <v>2</v>
      </c>
      <c r="K369" s="3">
        <v>49918</v>
      </c>
      <c r="L369" s="3">
        <v>38989</v>
      </c>
      <c r="M369" s="3">
        <f t="shared" si="70"/>
        <v>0.78106093994150405</v>
      </c>
      <c r="N369" s="3">
        <f t="shared" si="71"/>
        <v>0.78106093994150405</v>
      </c>
      <c r="O369" s="3" t="s">
        <v>35</v>
      </c>
      <c r="P369" s="3" t="s">
        <v>35</v>
      </c>
      <c r="Q369" s="3" t="s">
        <v>516</v>
      </c>
      <c r="R369" s="3">
        <v>0</v>
      </c>
      <c r="S369" s="3">
        <v>0</v>
      </c>
      <c r="T369" s="3" t="s">
        <v>31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273</v>
      </c>
      <c r="Z369" s="3" t="s">
        <v>274</v>
      </c>
      <c r="AA369" s="3" t="s">
        <v>275</v>
      </c>
      <c r="AB369" s="3" t="s">
        <v>78</v>
      </c>
      <c r="AC369" s="3" t="s">
        <v>66</v>
      </c>
    </row>
    <row r="370" spans="1:29" x14ac:dyDescent="0.3">
      <c r="A370" s="3">
        <v>367</v>
      </c>
      <c r="B370" s="3" t="s">
        <v>500</v>
      </c>
      <c r="C370" s="3" t="s">
        <v>267</v>
      </c>
      <c r="D370" s="3" t="s">
        <v>66</v>
      </c>
      <c r="E370" s="3" t="s">
        <v>32</v>
      </c>
      <c r="F370" s="5">
        <v>44926</v>
      </c>
      <c r="G370" s="3">
        <v>2022</v>
      </c>
      <c r="H370" s="3" t="s">
        <v>44</v>
      </c>
      <c r="I370" s="3" t="s">
        <v>45</v>
      </c>
      <c r="J370" s="3"/>
      <c r="K370" s="3">
        <v>5.7</v>
      </c>
      <c r="L370" s="3">
        <v>6.7</v>
      </c>
      <c r="M370" s="3">
        <f t="shared" ref="M370:M375" si="72">+L370/K370</f>
        <v>1.1754385964912282</v>
      </c>
      <c r="N370" s="3">
        <f>+L370/K370</f>
        <v>1.1754385964912282</v>
      </c>
      <c r="O370" s="3" t="s">
        <v>58</v>
      </c>
      <c r="P370" s="3" t="s">
        <v>58</v>
      </c>
      <c r="Q370" s="3" t="s">
        <v>450</v>
      </c>
      <c r="R370" s="3">
        <v>1</v>
      </c>
      <c r="S370" s="3">
        <v>1</v>
      </c>
      <c r="T370" s="3" t="s">
        <v>443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281</v>
      </c>
      <c r="Z370" s="3" t="s">
        <v>41</v>
      </c>
      <c r="AA370" s="3" t="s">
        <v>42</v>
      </c>
      <c r="AB370" s="3" t="s">
        <v>43</v>
      </c>
      <c r="AC370" s="3" t="s">
        <v>66</v>
      </c>
    </row>
    <row r="371" spans="1:29" x14ac:dyDescent="0.3">
      <c r="A371" s="3">
        <v>367</v>
      </c>
      <c r="B371" s="3" t="s">
        <v>500</v>
      </c>
      <c r="C371" s="3" t="s">
        <v>267</v>
      </c>
      <c r="D371" s="3" t="s">
        <v>66</v>
      </c>
      <c r="E371" s="3" t="s">
        <v>32</v>
      </c>
      <c r="F371" s="5">
        <v>45291</v>
      </c>
      <c r="G371" s="3">
        <v>2023</v>
      </c>
      <c r="H371" s="3" t="s">
        <v>44</v>
      </c>
      <c r="I371" s="3" t="s">
        <v>49</v>
      </c>
      <c r="J371" s="3">
        <v>2</v>
      </c>
      <c r="K371" s="3">
        <v>5</v>
      </c>
      <c r="L371" s="3">
        <v>6.25</v>
      </c>
      <c r="M371" s="3">
        <f t="shared" si="72"/>
        <v>1.25</v>
      </c>
      <c r="N371" s="3">
        <f t="shared" ref="N371:N375" si="73">+L371/K371</f>
        <v>1.25</v>
      </c>
      <c r="O371" s="3" t="s">
        <v>58</v>
      </c>
      <c r="P371" s="3" t="s">
        <v>58</v>
      </c>
      <c r="Q371" s="3" t="s">
        <v>280</v>
      </c>
      <c r="R371" s="3">
        <v>2</v>
      </c>
      <c r="S371" s="3">
        <v>2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281</v>
      </c>
      <c r="Z371" s="3" t="s">
        <v>41</v>
      </c>
      <c r="AA371" s="3" t="s">
        <v>42</v>
      </c>
      <c r="AB371" s="3" t="s">
        <v>43</v>
      </c>
      <c r="AC371" s="3" t="s">
        <v>66</v>
      </c>
    </row>
    <row r="372" spans="1:29" x14ac:dyDescent="0.3">
      <c r="A372" s="3">
        <v>367</v>
      </c>
      <c r="B372" s="3" t="s">
        <v>500</v>
      </c>
      <c r="C372" s="3" t="s">
        <v>267</v>
      </c>
      <c r="D372" s="3" t="s">
        <v>66</v>
      </c>
      <c r="E372" s="3" t="s">
        <v>32</v>
      </c>
      <c r="F372" s="5">
        <v>45291</v>
      </c>
      <c r="G372" s="3">
        <v>2023</v>
      </c>
      <c r="H372" s="3" t="s">
        <v>44</v>
      </c>
      <c r="I372" s="3" t="s">
        <v>49</v>
      </c>
      <c r="J372" s="3"/>
      <c r="K372" s="3">
        <v>5</v>
      </c>
      <c r="L372" s="3">
        <v>6.25</v>
      </c>
      <c r="M372" s="3">
        <f t="shared" si="72"/>
        <v>1.25</v>
      </c>
      <c r="N372" s="3">
        <f t="shared" si="73"/>
        <v>1.25</v>
      </c>
      <c r="O372" s="3" t="s">
        <v>58</v>
      </c>
      <c r="P372" s="3" t="s">
        <v>58</v>
      </c>
      <c r="Q372" s="3" t="s">
        <v>280</v>
      </c>
      <c r="R372" s="3">
        <v>0</v>
      </c>
      <c r="S372" s="3">
        <v>2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281</v>
      </c>
      <c r="Z372" s="3" t="s">
        <v>41</v>
      </c>
      <c r="AA372" s="3" t="s">
        <v>42</v>
      </c>
      <c r="AB372" s="3" t="s">
        <v>43</v>
      </c>
      <c r="AC372" s="3" t="s">
        <v>66</v>
      </c>
    </row>
    <row r="373" spans="1:29" x14ac:dyDescent="0.3">
      <c r="A373" s="3">
        <v>367</v>
      </c>
      <c r="B373" s="3" t="s">
        <v>500</v>
      </c>
      <c r="C373" s="3" t="s">
        <v>267</v>
      </c>
      <c r="D373" s="3" t="s">
        <v>66</v>
      </c>
      <c r="E373" s="3" t="s">
        <v>32</v>
      </c>
      <c r="F373" s="5">
        <v>45657</v>
      </c>
      <c r="G373" s="3">
        <v>2024</v>
      </c>
      <c r="H373" s="3" t="s">
        <v>44</v>
      </c>
      <c r="I373" s="3" t="s">
        <v>53</v>
      </c>
      <c r="J373" s="3">
        <v>2</v>
      </c>
      <c r="K373" s="3">
        <v>5</v>
      </c>
      <c r="L373" s="3">
        <v>4.96</v>
      </c>
      <c r="M373" s="3">
        <f t="shared" si="72"/>
        <v>0.99199999999999999</v>
      </c>
      <c r="N373" s="3">
        <f t="shared" si="73"/>
        <v>0.99199999999999999</v>
      </c>
      <c r="O373" s="3" t="s">
        <v>58</v>
      </c>
      <c r="P373" s="3" t="s">
        <v>58</v>
      </c>
      <c r="Q373" s="3" t="s">
        <v>282</v>
      </c>
      <c r="R373" s="3">
        <v>2</v>
      </c>
      <c r="S373" s="3">
        <v>2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281</v>
      </c>
      <c r="Z373" s="3" t="s">
        <v>41</v>
      </c>
      <c r="AA373" s="3" t="s">
        <v>42</v>
      </c>
      <c r="AB373" s="3" t="s">
        <v>43</v>
      </c>
      <c r="AC373" s="3" t="s">
        <v>66</v>
      </c>
    </row>
    <row r="374" spans="1:29" x14ac:dyDescent="0.3">
      <c r="A374" s="3">
        <v>367</v>
      </c>
      <c r="B374" s="3" t="s">
        <v>500</v>
      </c>
      <c r="C374" s="3" t="s">
        <v>267</v>
      </c>
      <c r="D374" s="3" t="s">
        <v>66</v>
      </c>
      <c r="E374" s="3" t="s">
        <v>32</v>
      </c>
      <c r="F374" s="5">
        <v>45657</v>
      </c>
      <c r="G374" s="3">
        <v>2024</v>
      </c>
      <c r="H374" s="3" t="s">
        <v>44</v>
      </c>
      <c r="I374" s="3" t="s">
        <v>53</v>
      </c>
      <c r="J374" s="3"/>
      <c r="K374" s="3">
        <v>5</v>
      </c>
      <c r="L374" s="3">
        <v>4.96</v>
      </c>
      <c r="M374" s="3">
        <f t="shared" si="72"/>
        <v>0.99199999999999999</v>
      </c>
      <c r="N374" s="3">
        <f t="shared" si="73"/>
        <v>0.99199999999999999</v>
      </c>
      <c r="O374" s="3" t="s">
        <v>58</v>
      </c>
      <c r="P374" s="3" t="s">
        <v>58</v>
      </c>
      <c r="Q374" s="3" t="s">
        <v>282</v>
      </c>
      <c r="R374" s="3">
        <v>0</v>
      </c>
      <c r="S374" s="3">
        <v>2</v>
      </c>
      <c r="T374" s="3" t="s">
        <v>443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281</v>
      </c>
      <c r="Z374" s="3" t="s">
        <v>41</v>
      </c>
      <c r="AA374" s="3" t="s">
        <v>42</v>
      </c>
      <c r="AB374" s="3" t="s">
        <v>43</v>
      </c>
      <c r="AC374" s="3" t="s">
        <v>66</v>
      </c>
    </row>
    <row r="375" spans="1:29" x14ac:dyDescent="0.3">
      <c r="A375" s="3">
        <v>367</v>
      </c>
      <c r="B375" s="3" t="s">
        <v>500</v>
      </c>
      <c r="C375" s="3" t="s">
        <v>267</v>
      </c>
      <c r="D375" s="3" t="s">
        <v>66</v>
      </c>
      <c r="E375" s="3" t="s">
        <v>32</v>
      </c>
      <c r="F375" s="5">
        <v>46022</v>
      </c>
      <c r="G375" s="3">
        <v>2025</v>
      </c>
      <c r="H375" s="3" t="s">
        <v>44</v>
      </c>
      <c r="I375" s="3" t="s">
        <v>465</v>
      </c>
      <c r="J375" s="3">
        <v>2</v>
      </c>
      <c r="K375" s="3">
        <v>5</v>
      </c>
      <c r="L375" s="3">
        <v>3.82</v>
      </c>
      <c r="M375" s="3">
        <f t="shared" si="72"/>
        <v>0.76400000000000001</v>
      </c>
      <c r="N375" s="3">
        <f t="shared" si="73"/>
        <v>0.76400000000000001</v>
      </c>
      <c r="O375" s="3" t="s">
        <v>58</v>
      </c>
      <c r="P375" s="3" t="s">
        <v>58</v>
      </c>
      <c r="Q375" s="3" t="s">
        <v>499</v>
      </c>
      <c r="R375" s="3">
        <v>1</v>
      </c>
      <c r="S375" s="3">
        <v>2</v>
      </c>
      <c r="T375" s="3" t="s">
        <v>31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281</v>
      </c>
      <c r="Z375" s="3" t="s">
        <v>41</v>
      </c>
      <c r="AA375" s="3" t="s">
        <v>42</v>
      </c>
      <c r="AB375" s="3" t="s">
        <v>43</v>
      </c>
      <c r="AC375" s="3" t="s">
        <v>66</v>
      </c>
    </row>
    <row r="376" spans="1:29" x14ac:dyDescent="0.3">
      <c r="A376" s="3">
        <v>369</v>
      </c>
      <c r="B376" s="3" t="s">
        <v>283</v>
      </c>
      <c r="C376" s="3" t="s">
        <v>267</v>
      </c>
      <c r="D376" s="3" t="s">
        <v>31</v>
      </c>
      <c r="E376" s="3" t="s">
        <v>32</v>
      </c>
      <c r="F376" s="5">
        <v>45107</v>
      </c>
      <c r="G376" s="3">
        <v>2023</v>
      </c>
      <c r="H376" s="3" t="s">
        <v>33</v>
      </c>
      <c r="I376" s="3" t="s">
        <v>47</v>
      </c>
      <c r="J376" s="3">
        <v>1</v>
      </c>
      <c r="K376" s="3"/>
      <c r="L376" s="3">
        <v>78</v>
      </c>
      <c r="M376" s="3"/>
      <c r="N376" s="3"/>
      <c r="O376" s="3" t="s">
        <v>284</v>
      </c>
      <c r="P376" s="3" t="s">
        <v>35</v>
      </c>
      <c r="Q376" s="3" t="s">
        <v>285</v>
      </c>
      <c r="R376" s="3">
        <v>0</v>
      </c>
      <c r="S376" s="3">
        <v>0</v>
      </c>
      <c r="T376" s="3" t="s">
        <v>31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273</v>
      </c>
      <c r="Z376" s="3" t="s">
        <v>41</v>
      </c>
      <c r="AA376" s="3" t="s">
        <v>42</v>
      </c>
      <c r="AB376" s="3" t="s">
        <v>78</v>
      </c>
      <c r="AC376" s="3" t="s">
        <v>66</v>
      </c>
    </row>
    <row r="377" spans="1:29" x14ac:dyDescent="0.3">
      <c r="A377" s="3">
        <v>369</v>
      </c>
      <c r="B377" s="3" t="s">
        <v>283</v>
      </c>
      <c r="C377" s="3" t="s">
        <v>267</v>
      </c>
      <c r="D377" s="3" t="s">
        <v>31</v>
      </c>
      <c r="E377" s="3" t="s">
        <v>32</v>
      </c>
      <c r="F377" s="5">
        <v>45291</v>
      </c>
      <c r="G377" s="3">
        <v>2023</v>
      </c>
      <c r="H377" s="3" t="s">
        <v>44</v>
      </c>
      <c r="I377" s="3" t="s">
        <v>49</v>
      </c>
      <c r="J377" s="3">
        <v>2</v>
      </c>
      <c r="K377" s="3"/>
      <c r="L377" s="3">
        <v>96</v>
      </c>
      <c r="M377" s="3"/>
      <c r="N377" s="3"/>
      <c r="O377" s="3" t="s">
        <v>284</v>
      </c>
      <c r="P377" s="3" t="s">
        <v>35</v>
      </c>
      <c r="Q377" s="3" t="s">
        <v>286</v>
      </c>
      <c r="R377" s="3">
        <v>0</v>
      </c>
      <c r="S377" s="3">
        <v>0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273</v>
      </c>
      <c r="Z377" s="3" t="s">
        <v>41</v>
      </c>
      <c r="AA377" s="3" t="s">
        <v>42</v>
      </c>
      <c r="AB377" s="3" t="s">
        <v>78</v>
      </c>
      <c r="AC377" s="3" t="s">
        <v>66</v>
      </c>
    </row>
    <row r="378" spans="1:29" x14ac:dyDescent="0.3">
      <c r="A378" s="3">
        <v>369</v>
      </c>
      <c r="B378" s="3" t="s">
        <v>283</v>
      </c>
      <c r="C378" s="3" t="s">
        <v>267</v>
      </c>
      <c r="D378" s="3" t="s">
        <v>31</v>
      </c>
      <c r="E378" s="3" t="s">
        <v>32</v>
      </c>
      <c r="F378" s="5">
        <v>45291</v>
      </c>
      <c r="G378" s="3">
        <v>2023</v>
      </c>
      <c r="H378" s="3" t="s">
        <v>44</v>
      </c>
      <c r="I378" s="3" t="s">
        <v>49</v>
      </c>
      <c r="J378" s="3"/>
      <c r="K378" s="3"/>
      <c r="L378" s="3">
        <v>174</v>
      </c>
      <c r="M378" s="3"/>
      <c r="N378" s="3"/>
      <c r="O378" s="3" t="s">
        <v>284</v>
      </c>
      <c r="P378" s="3" t="s">
        <v>35</v>
      </c>
      <c r="Q378" s="3" t="s">
        <v>286</v>
      </c>
      <c r="R378" s="3">
        <v>0</v>
      </c>
      <c r="S378" s="3">
        <v>0</v>
      </c>
      <c r="T378" s="3" t="s">
        <v>443</v>
      </c>
      <c r="U378" s="3" t="s">
        <v>37</v>
      </c>
      <c r="V378" s="3" t="s">
        <v>267</v>
      </c>
      <c r="W378" s="3" t="s">
        <v>145</v>
      </c>
      <c r="X378" s="3" t="s">
        <v>179</v>
      </c>
      <c r="Y378" s="3" t="s">
        <v>273</v>
      </c>
      <c r="Z378" s="3" t="s">
        <v>41</v>
      </c>
      <c r="AA378" s="3" t="s">
        <v>42</v>
      </c>
      <c r="AB378" s="3" t="s">
        <v>78</v>
      </c>
      <c r="AC378" s="3" t="s">
        <v>66</v>
      </c>
    </row>
    <row r="379" spans="1:29" x14ac:dyDescent="0.3">
      <c r="A379" s="3">
        <v>369</v>
      </c>
      <c r="B379" s="3" t="s">
        <v>283</v>
      </c>
      <c r="C379" s="3" t="s">
        <v>267</v>
      </c>
      <c r="D379" s="3" t="s">
        <v>31</v>
      </c>
      <c r="E379" s="3" t="s">
        <v>32</v>
      </c>
      <c r="F379" s="5">
        <v>45473</v>
      </c>
      <c r="G379" s="3">
        <v>2024</v>
      </c>
      <c r="H379" s="3" t="s">
        <v>33</v>
      </c>
      <c r="I379" s="3" t="s">
        <v>51</v>
      </c>
      <c r="J379" s="3">
        <v>1</v>
      </c>
      <c r="K379" s="3">
        <v>80</v>
      </c>
      <c r="L379" s="3">
        <v>61</v>
      </c>
      <c r="M379" s="3">
        <f>+L379/K379</f>
        <v>0.76249999999999996</v>
      </c>
      <c r="N379" s="3">
        <f t="shared" ref="N379:N384" si="74">+L379/K379</f>
        <v>0.76249999999999996</v>
      </c>
      <c r="O379" s="3" t="s">
        <v>35</v>
      </c>
      <c r="P379" s="3" t="s">
        <v>35</v>
      </c>
      <c r="Q379" s="3" t="s">
        <v>287</v>
      </c>
      <c r="R379" s="3">
        <v>0</v>
      </c>
      <c r="S379" s="3">
        <v>0</v>
      </c>
      <c r="T379" s="3" t="s">
        <v>31</v>
      </c>
      <c r="U379" s="3" t="s">
        <v>37</v>
      </c>
      <c r="V379" s="3" t="s">
        <v>267</v>
      </c>
      <c r="W379" s="3" t="s">
        <v>145</v>
      </c>
      <c r="X379" s="3" t="s">
        <v>179</v>
      </c>
      <c r="Y379" s="3" t="s">
        <v>273</v>
      </c>
      <c r="Z379" s="3" t="s">
        <v>41</v>
      </c>
      <c r="AA379" s="3" t="s">
        <v>42</v>
      </c>
      <c r="AB379" s="3" t="s">
        <v>78</v>
      </c>
      <c r="AC379" s="3" t="s">
        <v>66</v>
      </c>
    </row>
    <row r="380" spans="1:29" x14ac:dyDescent="0.3">
      <c r="A380" s="3">
        <v>369</v>
      </c>
      <c r="B380" s="3" t="s">
        <v>283</v>
      </c>
      <c r="C380" s="3" t="s">
        <v>267</v>
      </c>
      <c r="D380" s="3" t="s">
        <v>31</v>
      </c>
      <c r="E380" s="3" t="s">
        <v>32</v>
      </c>
      <c r="F380" s="5">
        <v>45657</v>
      </c>
      <c r="G380" s="3">
        <v>2024</v>
      </c>
      <c r="H380" s="3" t="s">
        <v>44</v>
      </c>
      <c r="I380" s="3" t="s">
        <v>53</v>
      </c>
      <c r="J380" s="3">
        <v>2</v>
      </c>
      <c r="K380" s="3">
        <v>108</v>
      </c>
      <c r="L380" s="3">
        <v>77</v>
      </c>
      <c r="M380" s="3">
        <f t="shared" ref="M380:M383" si="75">+L380/K380</f>
        <v>0.71296296296296291</v>
      </c>
      <c r="N380" s="3">
        <f t="shared" si="74"/>
        <v>0.71296296296296291</v>
      </c>
      <c r="O380" s="3" t="s">
        <v>35</v>
      </c>
      <c r="P380" s="3" t="s">
        <v>35</v>
      </c>
      <c r="Q380" s="3" t="s">
        <v>288</v>
      </c>
      <c r="R380" s="3">
        <v>0</v>
      </c>
      <c r="S380" s="3">
        <v>0</v>
      </c>
      <c r="T380" s="3" t="s">
        <v>31</v>
      </c>
      <c r="U380" s="3" t="s">
        <v>37</v>
      </c>
      <c r="V380" s="3" t="s">
        <v>267</v>
      </c>
      <c r="W380" s="3" t="s">
        <v>145</v>
      </c>
      <c r="X380" s="3" t="s">
        <v>179</v>
      </c>
      <c r="Y380" s="3" t="s">
        <v>273</v>
      </c>
      <c r="Z380" s="3" t="s">
        <v>41</v>
      </c>
      <c r="AA380" s="3" t="s">
        <v>42</v>
      </c>
      <c r="AB380" s="3" t="s">
        <v>78</v>
      </c>
      <c r="AC380" s="3" t="s">
        <v>66</v>
      </c>
    </row>
    <row r="381" spans="1:29" x14ac:dyDescent="0.3">
      <c r="A381" s="3">
        <v>369</v>
      </c>
      <c r="B381" s="3" t="s">
        <v>283</v>
      </c>
      <c r="C381" s="3" t="s">
        <v>267</v>
      </c>
      <c r="D381" s="3" t="s">
        <v>31</v>
      </c>
      <c r="E381" s="3" t="s">
        <v>32</v>
      </c>
      <c r="F381" s="5">
        <v>45657</v>
      </c>
      <c r="G381" s="3">
        <v>2024</v>
      </c>
      <c r="H381" s="3" t="s">
        <v>44</v>
      </c>
      <c r="I381" s="3" t="s">
        <v>53</v>
      </c>
      <c r="J381" s="3"/>
      <c r="K381" s="3">
        <v>188</v>
      </c>
      <c r="L381" s="3">
        <v>138</v>
      </c>
      <c r="M381" s="3">
        <f t="shared" si="75"/>
        <v>0.73404255319148937</v>
      </c>
      <c r="N381" s="3">
        <f t="shared" si="74"/>
        <v>0.73404255319148937</v>
      </c>
      <c r="O381" s="3" t="s">
        <v>35</v>
      </c>
      <c r="P381" s="3" t="s">
        <v>35</v>
      </c>
      <c r="Q381" s="3" t="s">
        <v>288</v>
      </c>
      <c r="R381" s="3">
        <v>0</v>
      </c>
      <c r="S381" s="3">
        <v>0</v>
      </c>
      <c r="T381" s="3" t="s">
        <v>443</v>
      </c>
      <c r="U381" s="3" t="s">
        <v>37</v>
      </c>
      <c r="V381" s="3" t="s">
        <v>267</v>
      </c>
      <c r="W381" s="3" t="s">
        <v>145</v>
      </c>
      <c r="X381" s="3" t="s">
        <v>179</v>
      </c>
      <c r="Y381" s="3" t="s">
        <v>273</v>
      </c>
      <c r="Z381" s="3" t="s">
        <v>41</v>
      </c>
      <c r="AA381" s="3" t="s">
        <v>42</v>
      </c>
      <c r="AB381" s="3" t="s">
        <v>78</v>
      </c>
      <c r="AC381" s="3" t="s">
        <v>66</v>
      </c>
    </row>
    <row r="382" spans="1:29" x14ac:dyDescent="0.3">
      <c r="A382" s="3">
        <v>369</v>
      </c>
      <c r="B382" s="3" t="s">
        <v>283</v>
      </c>
      <c r="C382" s="3" t="s">
        <v>267</v>
      </c>
      <c r="D382" s="3" t="s">
        <v>31</v>
      </c>
      <c r="E382" s="3" t="s">
        <v>32</v>
      </c>
      <c r="F382" s="5">
        <v>45838</v>
      </c>
      <c r="G382" s="3">
        <v>2025</v>
      </c>
      <c r="H382" s="3" t="s">
        <v>33</v>
      </c>
      <c r="I382" s="3" t="s">
        <v>404</v>
      </c>
      <c r="J382" s="3">
        <v>1</v>
      </c>
      <c r="K382" s="3">
        <v>81</v>
      </c>
      <c r="L382" s="3">
        <v>72</v>
      </c>
      <c r="M382" s="3">
        <f t="shared" si="75"/>
        <v>0.88888888888888884</v>
      </c>
      <c r="N382" s="3">
        <f t="shared" si="74"/>
        <v>0.88888888888888884</v>
      </c>
      <c r="O382" s="3" t="s">
        <v>35</v>
      </c>
      <c r="P382" s="3" t="s">
        <v>35</v>
      </c>
      <c r="Q382" s="3" t="s">
        <v>428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267</v>
      </c>
      <c r="W382" s="3" t="s">
        <v>145</v>
      </c>
      <c r="X382" s="3" t="s">
        <v>179</v>
      </c>
      <c r="Y382" s="3" t="s">
        <v>273</v>
      </c>
      <c r="Z382" s="3" t="s">
        <v>41</v>
      </c>
      <c r="AA382" s="3" t="s">
        <v>42</v>
      </c>
      <c r="AB382" s="3" t="s">
        <v>78</v>
      </c>
      <c r="AC382" s="3" t="s">
        <v>66</v>
      </c>
    </row>
    <row r="383" spans="1:29" x14ac:dyDescent="0.3">
      <c r="A383" s="3">
        <v>369</v>
      </c>
      <c r="B383" s="3" t="s">
        <v>283</v>
      </c>
      <c r="C383" s="3" t="s">
        <v>267</v>
      </c>
      <c r="D383" s="3" t="s">
        <v>31</v>
      </c>
      <c r="E383" s="3" t="s">
        <v>32</v>
      </c>
      <c r="F383" s="5">
        <v>46022</v>
      </c>
      <c r="G383" s="3">
        <v>2025</v>
      </c>
      <c r="H383" s="3" t="s">
        <v>44</v>
      </c>
      <c r="I383" s="3" t="s">
        <v>465</v>
      </c>
      <c r="J383" s="3">
        <v>2</v>
      </c>
      <c r="K383" s="3">
        <f>98+11</f>
        <v>109</v>
      </c>
      <c r="L383" s="3">
        <f>94+24</f>
        <v>118</v>
      </c>
      <c r="M383" s="3">
        <f t="shared" si="75"/>
        <v>1.0825688073394495</v>
      </c>
      <c r="N383" s="3">
        <f t="shared" si="74"/>
        <v>1.0825688073394495</v>
      </c>
      <c r="O383" s="3" t="s">
        <v>35</v>
      </c>
      <c r="P383" s="3" t="s">
        <v>35</v>
      </c>
      <c r="Q383" s="3" t="s">
        <v>517</v>
      </c>
      <c r="R383" s="3">
        <v>0</v>
      </c>
      <c r="S383" s="3">
        <v>0</v>
      </c>
      <c r="T383" s="3" t="s">
        <v>31</v>
      </c>
      <c r="U383" s="3" t="s">
        <v>37</v>
      </c>
      <c r="V383" s="3" t="s">
        <v>267</v>
      </c>
      <c r="W383" s="3" t="s">
        <v>145</v>
      </c>
      <c r="X383" s="3" t="s">
        <v>179</v>
      </c>
      <c r="Y383" s="3" t="s">
        <v>273</v>
      </c>
      <c r="Z383" s="3" t="s">
        <v>41</v>
      </c>
      <c r="AA383" s="3" t="s">
        <v>42</v>
      </c>
      <c r="AB383" s="3" t="s">
        <v>78</v>
      </c>
      <c r="AC383" s="3" t="s">
        <v>66</v>
      </c>
    </row>
    <row r="384" spans="1:29" x14ac:dyDescent="0.3">
      <c r="A384" s="3">
        <v>376</v>
      </c>
      <c r="B384" s="3" t="s">
        <v>473</v>
      </c>
      <c r="C384" s="3" t="s">
        <v>142</v>
      </c>
      <c r="D384" s="3" t="s">
        <v>31</v>
      </c>
      <c r="E384" s="3" t="s">
        <v>32</v>
      </c>
      <c r="F384" s="5">
        <v>44925</v>
      </c>
      <c r="G384" s="3">
        <v>2022</v>
      </c>
      <c r="H384" s="3" t="s">
        <v>44</v>
      </c>
      <c r="I384" s="3" t="s">
        <v>45</v>
      </c>
      <c r="J384" s="3">
        <v>2</v>
      </c>
      <c r="K384" s="3">
        <v>16064</v>
      </c>
      <c r="L384" s="3">
        <v>24140</v>
      </c>
      <c r="M384" s="3">
        <f>+L384/K384</f>
        <v>1.5027390438247012</v>
      </c>
      <c r="N384" s="3">
        <f t="shared" si="74"/>
        <v>1.5027390438247012</v>
      </c>
      <c r="O384" s="3" t="s">
        <v>143</v>
      </c>
      <c r="P384" s="3" t="s">
        <v>143</v>
      </c>
      <c r="Q384" s="3" t="s">
        <v>291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142</v>
      </c>
      <c r="W384" s="3" t="s">
        <v>145</v>
      </c>
      <c r="X384" s="3" t="s">
        <v>146</v>
      </c>
      <c r="Y384" s="3" t="s">
        <v>147</v>
      </c>
      <c r="Z384" s="3" t="s">
        <v>63</v>
      </c>
      <c r="AA384" s="3" t="s">
        <v>148</v>
      </c>
      <c r="AB384" s="3" t="s">
        <v>43</v>
      </c>
      <c r="AC384" s="3" t="s">
        <v>66</v>
      </c>
    </row>
    <row r="385" spans="1:29" x14ac:dyDescent="0.3">
      <c r="A385" s="3">
        <v>376</v>
      </c>
      <c r="B385" s="3" t="s">
        <v>473</v>
      </c>
      <c r="C385" s="3" t="s">
        <v>142</v>
      </c>
      <c r="D385" s="3" t="s">
        <v>31</v>
      </c>
      <c r="E385" s="3" t="s">
        <v>32</v>
      </c>
      <c r="F385" s="5">
        <v>44925</v>
      </c>
      <c r="G385" s="3">
        <v>2022</v>
      </c>
      <c r="H385" s="3" t="s">
        <v>44</v>
      </c>
      <c r="I385" s="3" t="s">
        <v>45</v>
      </c>
      <c r="J385" s="3"/>
      <c r="K385" s="3">
        <v>16064</v>
      </c>
      <c r="L385" s="3">
        <v>24140</v>
      </c>
      <c r="M385" s="3">
        <f t="shared" ref="M385:M391" si="76">+L385/K385</f>
        <v>1.5027390438247012</v>
      </c>
      <c r="N385" s="3">
        <f t="shared" ref="N385:N391" si="77">+L385/K385</f>
        <v>1.5027390438247012</v>
      </c>
      <c r="O385" s="3" t="s">
        <v>143</v>
      </c>
      <c r="P385" s="3" t="s">
        <v>143</v>
      </c>
      <c r="Q385" s="3" t="s">
        <v>291</v>
      </c>
      <c r="R385" s="3">
        <v>0</v>
      </c>
      <c r="S385" s="3">
        <v>0</v>
      </c>
      <c r="T385" s="3" t="s">
        <v>443</v>
      </c>
      <c r="U385" s="3" t="s">
        <v>37</v>
      </c>
      <c r="V385" s="3" t="s">
        <v>142</v>
      </c>
      <c r="W385" s="3" t="s">
        <v>145</v>
      </c>
      <c r="X385" s="3" t="s">
        <v>146</v>
      </c>
      <c r="Y385" s="3" t="s">
        <v>147</v>
      </c>
      <c r="Z385" s="3" t="s">
        <v>63</v>
      </c>
      <c r="AA385" s="3" t="s">
        <v>148</v>
      </c>
      <c r="AB385" s="3" t="s">
        <v>43</v>
      </c>
      <c r="AC385" s="3" t="s">
        <v>66</v>
      </c>
    </row>
    <row r="386" spans="1:29" x14ac:dyDescent="0.3">
      <c r="A386" s="3">
        <v>376</v>
      </c>
      <c r="B386" s="3" t="s">
        <v>473</v>
      </c>
      <c r="C386" s="3" t="s">
        <v>142</v>
      </c>
      <c r="D386" s="3" t="s">
        <v>31</v>
      </c>
      <c r="E386" s="3" t="s">
        <v>32</v>
      </c>
      <c r="F386" s="5">
        <v>45291</v>
      </c>
      <c r="G386" s="3">
        <v>2023</v>
      </c>
      <c r="H386" s="3" t="s">
        <v>44</v>
      </c>
      <c r="I386" s="3" t="s">
        <v>49</v>
      </c>
      <c r="J386" s="3">
        <v>2</v>
      </c>
      <c r="K386" s="3">
        <v>26073.47270271854</v>
      </c>
      <c r="L386" s="3">
        <v>26403.087925999898</v>
      </c>
      <c r="M386" s="3">
        <f t="shared" si="76"/>
        <v>1.0126417845079374</v>
      </c>
      <c r="N386" s="3">
        <f t="shared" si="77"/>
        <v>1.0126417845079374</v>
      </c>
      <c r="O386" s="3" t="s">
        <v>143</v>
      </c>
      <c r="P386" s="3" t="s">
        <v>143</v>
      </c>
      <c r="Q386" s="3" t="s">
        <v>293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43</v>
      </c>
      <c r="AC386" s="3" t="s">
        <v>66</v>
      </c>
    </row>
    <row r="387" spans="1:29" x14ac:dyDescent="0.3">
      <c r="A387" s="3">
        <v>376</v>
      </c>
      <c r="B387" s="3" t="s">
        <v>473</v>
      </c>
      <c r="C387" s="3" t="s">
        <v>142</v>
      </c>
      <c r="D387" s="3" t="s">
        <v>31</v>
      </c>
      <c r="E387" s="3" t="s">
        <v>32</v>
      </c>
      <c r="F387" s="5">
        <v>45291</v>
      </c>
      <c r="G387" s="3">
        <v>2023</v>
      </c>
      <c r="H387" s="3" t="s">
        <v>44</v>
      </c>
      <c r="I387" s="3" t="s">
        <v>49</v>
      </c>
      <c r="J387" s="3"/>
      <c r="K387" s="3">
        <v>26073.47270271854</v>
      </c>
      <c r="L387" s="3">
        <v>26403.087925999949</v>
      </c>
      <c r="M387" s="3">
        <f t="shared" si="76"/>
        <v>1.0126417845079394</v>
      </c>
      <c r="N387" s="3">
        <f t="shared" si="77"/>
        <v>1.0126417845079394</v>
      </c>
      <c r="O387" s="3" t="s">
        <v>143</v>
      </c>
      <c r="P387" s="3" t="s">
        <v>143</v>
      </c>
      <c r="Q387" s="3" t="s">
        <v>293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43</v>
      </c>
      <c r="AC387" s="3" t="s">
        <v>66</v>
      </c>
    </row>
    <row r="388" spans="1:29" x14ac:dyDescent="0.3">
      <c r="A388" s="3">
        <v>376</v>
      </c>
      <c r="B388" s="3" t="s">
        <v>473</v>
      </c>
      <c r="C388" s="3" t="s">
        <v>142</v>
      </c>
      <c r="D388" s="3" t="s">
        <v>31</v>
      </c>
      <c r="E388" s="3" t="s">
        <v>32</v>
      </c>
      <c r="F388" s="5">
        <v>45657</v>
      </c>
      <c r="G388" s="3">
        <v>2024</v>
      </c>
      <c r="H388" s="3" t="s">
        <v>44</v>
      </c>
      <c r="I388" s="3" t="s">
        <v>53</v>
      </c>
      <c r="J388" s="3">
        <v>2</v>
      </c>
      <c r="K388" s="3">
        <v>27010.108280834509</v>
      </c>
      <c r="L388" s="3">
        <v>29467.922112</v>
      </c>
      <c r="M388" s="3">
        <f t="shared" si="76"/>
        <v>1.0909960747143497</v>
      </c>
      <c r="N388" s="3">
        <f t="shared" si="77"/>
        <v>1.0909960747143497</v>
      </c>
      <c r="O388" s="3" t="s">
        <v>143</v>
      </c>
      <c r="P388" s="3" t="s">
        <v>143</v>
      </c>
      <c r="Q388" s="3" t="s">
        <v>295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43</v>
      </c>
      <c r="AC388" s="3" t="s">
        <v>66</v>
      </c>
    </row>
    <row r="389" spans="1:29" x14ac:dyDescent="0.3">
      <c r="A389" s="3">
        <v>376</v>
      </c>
      <c r="B389" s="3" t="s">
        <v>473</v>
      </c>
      <c r="C389" s="3" t="s">
        <v>142</v>
      </c>
      <c r="D389" s="3" t="s">
        <v>31</v>
      </c>
      <c r="E389" s="3" t="s">
        <v>32</v>
      </c>
      <c r="F389" s="5">
        <v>45657</v>
      </c>
      <c r="G389" s="3">
        <v>2024</v>
      </c>
      <c r="H389" s="3" t="s">
        <v>44</v>
      </c>
      <c r="I389" s="3" t="s">
        <v>53</v>
      </c>
      <c r="J389" s="3"/>
      <c r="K389" s="3">
        <v>27010.108280834509</v>
      </c>
      <c r="L389" s="3">
        <v>29467.922112</v>
      </c>
      <c r="M389" s="3">
        <f t="shared" si="76"/>
        <v>1.0909960747143497</v>
      </c>
      <c r="N389" s="3">
        <f t="shared" si="77"/>
        <v>1.0909960747143497</v>
      </c>
      <c r="O389" s="3" t="s">
        <v>143</v>
      </c>
      <c r="P389" s="3" t="s">
        <v>143</v>
      </c>
      <c r="Q389" s="3" t="s">
        <v>295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43</v>
      </c>
      <c r="AC389" s="3" t="s">
        <v>66</v>
      </c>
    </row>
    <row r="390" spans="1:29" x14ac:dyDescent="0.3">
      <c r="A390" s="3">
        <v>376</v>
      </c>
      <c r="B390" s="3" t="s">
        <v>473</v>
      </c>
      <c r="C390" s="3" t="s">
        <v>142</v>
      </c>
      <c r="D390" s="3" t="s">
        <v>31</v>
      </c>
      <c r="E390" s="3" t="s">
        <v>32</v>
      </c>
      <c r="F390" s="5">
        <v>46022</v>
      </c>
      <c r="G390" s="3">
        <v>2025</v>
      </c>
      <c r="H390" s="3" t="s">
        <v>44</v>
      </c>
      <c r="I390" s="3" t="s">
        <v>465</v>
      </c>
      <c r="J390" s="3">
        <v>2</v>
      </c>
      <c r="K390" s="3">
        <v>32126.483745582696</v>
      </c>
      <c r="L390" s="3">
        <f>44268790671/1000000</f>
        <v>44268.790671000002</v>
      </c>
      <c r="M390" s="3">
        <f t="shared" si="76"/>
        <v>1.3779531872076365</v>
      </c>
      <c r="N390" s="3">
        <f t="shared" si="77"/>
        <v>1.3779531872076365</v>
      </c>
      <c r="O390" s="3" t="s">
        <v>143</v>
      </c>
      <c r="P390" s="3" t="s">
        <v>143</v>
      </c>
      <c r="Q390" s="3" t="s">
        <v>498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43</v>
      </c>
      <c r="AC390" s="3" t="s">
        <v>66</v>
      </c>
    </row>
    <row r="391" spans="1:29" x14ac:dyDescent="0.3">
      <c r="A391" s="3">
        <v>376</v>
      </c>
      <c r="B391" s="3" t="s">
        <v>473</v>
      </c>
      <c r="C391" s="3" t="s">
        <v>142</v>
      </c>
      <c r="D391" s="3" t="s">
        <v>31</v>
      </c>
      <c r="E391" s="3" t="s">
        <v>32</v>
      </c>
      <c r="F391" s="5">
        <v>46022</v>
      </c>
      <c r="G391" s="3">
        <v>2025</v>
      </c>
      <c r="H391" s="3" t="s">
        <v>44</v>
      </c>
      <c r="I391" s="3" t="s">
        <v>465</v>
      </c>
      <c r="J391" s="3"/>
      <c r="K391" s="3">
        <v>32126.483745582696</v>
      </c>
      <c r="L391" s="3">
        <f>44268790671/1000000</f>
        <v>44268.790671000002</v>
      </c>
      <c r="M391" s="3">
        <f t="shared" si="76"/>
        <v>1.3779531872076365</v>
      </c>
      <c r="N391" s="3">
        <f t="shared" si="77"/>
        <v>1.3779531872076365</v>
      </c>
      <c r="O391" s="3" t="s">
        <v>143</v>
      </c>
      <c r="P391" s="3" t="s">
        <v>143</v>
      </c>
      <c r="Q391" s="3" t="s">
        <v>498</v>
      </c>
      <c r="R391" s="3">
        <v>0</v>
      </c>
      <c r="S391" s="3">
        <v>0</v>
      </c>
      <c r="T391" s="3" t="s">
        <v>443</v>
      </c>
      <c r="U391" s="3" t="s">
        <v>37</v>
      </c>
      <c r="V391" s="3" t="s">
        <v>142</v>
      </c>
      <c r="W391" s="3" t="s">
        <v>145</v>
      </c>
      <c r="X391" s="3" t="s">
        <v>146</v>
      </c>
      <c r="Y391" s="3" t="s">
        <v>147</v>
      </c>
      <c r="Z391" s="3" t="s">
        <v>63</v>
      </c>
      <c r="AA391" s="3" t="s">
        <v>148</v>
      </c>
      <c r="AB391" s="3" t="s">
        <v>43</v>
      </c>
      <c r="AC391" s="3" t="s">
        <v>66</v>
      </c>
    </row>
    <row r="392" spans="1:29" x14ac:dyDescent="0.3">
      <c r="A392" s="3">
        <v>377</v>
      </c>
      <c r="B392" s="3" t="s">
        <v>296</v>
      </c>
      <c r="C392" s="3" t="s">
        <v>142</v>
      </c>
      <c r="D392" s="3" t="s">
        <v>31</v>
      </c>
      <c r="E392" s="3" t="s">
        <v>32</v>
      </c>
      <c r="F392" s="5">
        <v>45291</v>
      </c>
      <c r="G392" s="3">
        <v>2023</v>
      </c>
      <c r="H392" s="3" t="s">
        <v>44</v>
      </c>
      <c r="I392" s="3" t="s">
        <v>49</v>
      </c>
      <c r="J392" s="3">
        <v>2</v>
      </c>
      <c r="K392" s="3">
        <v>12518.005306706251</v>
      </c>
      <c r="L392" s="3">
        <v>7607.1384189999999</v>
      </c>
      <c r="M392" s="3">
        <v>1.3</v>
      </c>
      <c r="N392" s="3">
        <v>1.6455603430904591</v>
      </c>
      <c r="O392" s="3" t="s">
        <v>143</v>
      </c>
      <c r="P392" s="3" t="s">
        <v>143</v>
      </c>
      <c r="Q392" s="3" t="s">
        <v>298</v>
      </c>
      <c r="R392" s="3">
        <v>0</v>
      </c>
      <c r="S392" s="3">
        <v>0</v>
      </c>
      <c r="T392" s="3" t="s">
        <v>31</v>
      </c>
      <c r="U392" s="3" t="s">
        <v>37</v>
      </c>
      <c r="V392" s="3" t="s">
        <v>142</v>
      </c>
      <c r="W392" s="3" t="s">
        <v>145</v>
      </c>
      <c r="X392" s="3" t="s">
        <v>146</v>
      </c>
      <c r="Y392" s="3" t="s">
        <v>147</v>
      </c>
      <c r="Z392" s="3" t="s">
        <v>63</v>
      </c>
      <c r="AA392" s="3" t="s">
        <v>148</v>
      </c>
      <c r="AB392" s="3" t="s">
        <v>43</v>
      </c>
      <c r="AC392" s="3" t="s">
        <v>66</v>
      </c>
    </row>
    <row r="393" spans="1:29" x14ac:dyDescent="0.3">
      <c r="A393" s="3">
        <v>377</v>
      </c>
      <c r="B393" s="3" t="s">
        <v>296</v>
      </c>
      <c r="C393" s="3" t="s">
        <v>142</v>
      </c>
      <c r="D393" s="3" t="s">
        <v>31</v>
      </c>
      <c r="E393" s="3" t="s">
        <v>32</v>
      </c>
      <c r="F393" s="5">
        <v>45291</v>
      </c>
      <c r="G393" s="3">
        <v>2023</v>
      </c>
      <c r="H393" s="3" t="s">
        <v>44</v>
      </c>
      <c r="I393" s="3" t="s">
        <v>49</v>
      </c>
      <c r="J393" s="3"/>
      <c r="K393" s="3">
        <v>12518.005306706251</v>
      </c>
      <c r="L393" s="3">
        <v>7607.138418999999</v>
      </c>
      <c r="M393" s="3">
        <v>1.3</v>
      </c>
      <c r="N393" s="3">
        <v>1.64556034309046</v>
      </c>
      <c r="O393" s="3" t="s">
        <v>143</v>
      </c>
      <c r="P393" s="3" t="s">
        <v>143</v>
      </c>
      <c r="Q393" s="3" t="s">
        <v>298</v>
      </c>
      <c r="R393" s="3">
        <v>0</v>
      </c>
      <c r="S393" s="3">
        <v>0</v>
      </c>
      <c r="T393" s="3" t="s">
        <v>443</v>
      </c>
      <c r="U393" s="3" t="s">
        <v>37</v>
      </c>
      <c r="V393" s="3" t="s">
        <v>142</v>
      </c>
      <c r="W393" s="3" t="s">
        <v>145</v>
      </c>
      <c r="X393" s="3" t="s">
        <v>146</v>
      </c>
      <c r="Y393" s="3" t="s">
        <v>147</v>
      </c>
      <c r="Z393" s="3" t="s">
        <v>63</v>
      </c>
      <c r="AA393" s="3" t="s">
        <v>148</v>
      </c>
      <c r="AB393" s="3" t="s">
        <v>43</v>
      </c>
      <c r="AC393" s="3" t="s">
        <v>66</v>
      </c>
    </row>
    <row r="394" spans="1:29" x14ac:dyDescent="0.3">
      <c r="A394" s="3">
        <v>377</v>
      </c>
      <c r="B394" s="3" t="s">
        <v>296</v>
      </c>
      <c r="C394" s="3" t="s">
        <v>142</v>
      </c>
      <c r="D394" s="3" t="s">
        <v>31</v>
      </c>
      <c r="E394" s="3" t="s">
        <v>32</v>
      </c>
      <c r="F394" s="5">
        <v>45657</v>
      </c>
      <c r="G394" s="3">
        <v>2024</v>
      </c>
      <c r="H394" s="3" t="s">
        <v>44</v>
      </c>
      <c r="I394" s="3" t="s">
        <v>53</v>
      </c>
      <c r="J394" s="3">
        <v>2</v>
      </c>
      <c r="K394" s="3">
        <v>9557.1950106811255</v>
      </c>
      <c r="L394" s="3">
        <v>11947.626618</v>
      </c>
      <c r="M394" s="3">
        <v>1.2501185342192269</v>
      </c>
      <c r="N394" s="3">
        <v>1.2501185342192269</v>
      </c>
      <c r="O394" s="3" t="s">
        <v>143</v>
      </c>
      <c r="P394" s="3" t="s">
        <v>143</v>
      </c>
      <c r="Q394" s="3" t="s">
        <v>300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142</v>
      </c>
      <c r="W394" s="3" t="s">
        <v>145</v>
      </c>
      <c r="X394" s="3" t="s">
        <v>146</v>
      </c>
      <c r="Y394" s="3" t="s">
        <v>147</v>
      </c>
      <c r="Z394" s="3" t="s">
        <v>63</v>
      </c>
      <c r="AA394" s="3" t="s">
        <v>148</v>
      </c>
      <c r="AB394" s="3" t="s">
        <v>43</v>
      </c>
      <c r="AC394" s="3" t="s">
        <v>66</v>
      </c>
    </row>
    <row r="395" spans="1:29" x14ac:dyDescent="0.3">
      <c r="A395" s="3">
        <v>377</v>
      </c>
      <c r="B395" s="3" t="s">
        <v>296</v>
      </c>
      <c r="C395" s="3" t="s">
        <v>142</v>
      </c>
      <c r="D395" s="3" t="s">
        <v>31</v>
      </c>
      <c r="E395" s="3" t="s">
        <v>32</v>
      </c>
      <c r="F395" s="5">
        <v>45657</v>
      </c>
      <c r="G395" s="3">
        <v>2024</v>
      </c>
      <c r="H395" s="3" t="s">
        <v>44</v>
      </c>
      <c r="I395" s="3" t="s">
        <v>53</v>
      </c>
      <c r="J395" s="3"/>
      <c r="K395" s="3">
        <v>9557.1950106811255</v>
      </c>
      <c r="L395" s="3">
        <v>11947.626618</v>
      </c>
      <c r="M395" s="3">
        <v>1.2501185342192269</v>
      </c>
      <c r="N395" s="3">
        <v>1.2501185342192269</v>
      </c>
      <c r="O395" s="3" t="s">
        <v>143</v>
      </c>
      <c r="P395" s="3" t="s">
        <v>143</v>
      </c>
      <c r="Q395" s="3" t="s">
        <v>300</v>
      </c>
      <c r="R395" s="3">
        <v>0</v>
      </c>
      <c r="S395" s="3">
        <v>0</v>
      </c>
      <c r="T395" s="3" t="s">
        <v>443</v>
      </c>
      <c r="U395" s="3" t="s">
        <v>37</v>
      </c>
      <c r="V395" s="3" t="s">
        <v>142</v>
      </c>
      <c r="W395" s="3" t="s">
        <v>145</v>
      </c>
      <c r="X395" s="3" t="s">
        <v>146</v>
      </c>
      <c r="Y395" s="3" t="s">
        <v>147</v>
      </c>
      <c r="Z395" s="3" t="s">
        <v>63</v>
      </c>
      <c r="AA395" s="3" t="s">
        <v>148</v>
      </c>
      <c r="AB395" s="3" t="s">
        <v>43</v>
      </c>
      <c r="AC395" s="3" t="s">
        <v>66</v>
      </c>
    </row>
    <row r="396" spans="1:29" x14ac:dyDescent="0.3">
      <c r="A396" s="3">
        <v>377</v>
      </c>
      <c r="B396" s="3" t="s">
        <v>296</v>
      </c>
      <c r="C396" s="3" t="s">
        <v>142</v>
      </c>
      <c r="D396" s="3" t="s">
        <v>31</v>
      </c>
      <c r="E396" s="3" t="s">
        <v>32</v>
      </c>
      <c r="F396" s="5">
        <v>46022</v>
      </c>
      <c r="G396" s="3">
        <v>2025</v>
      </c>
      <c r="H396" s="3" t="s">
        <v>44</v>
      </c>
      <c r="I396" s="3" t="s">
        <v>465</v>
      </c>
      <c r="J396" s="3">
        <v>2</v>
      </c>
      <c r="K396" s="3">
        <v>10285.243493</v>
      </c>
      <c r="L396" s="3">
        <f>11016899103/1000000</f>
        <v>11016.899103</v>
      </c>
      <c r="M396" s="3">
        <f>L396/K396</f>
        <v>1.0711364403281221</v>
      </c>
      <c r="N396" s="3">
        <f>L396/K396</f>
        <v>1.0711364403281221</v>
      </c>
      <c r="O396" s="3" t="s">
        <v>143</v>
      </c>
      <c r="P396" s="3" t="s">
        <v>143</v>
      </c>
      <c r="Q396" s="3" t="s">
        <v>497</v>
      </c>
      <c r="R396" s="3">
        <v>0</v>
      </c>
      <c r="S396" s="3">
        <v>0</v>
      </c>
      <c r="T396" s="3" t="s">
        <v>31</v>
      </c>
      <c r="U396" s="3" t="s">
        <v>37</v>
      </c>
      <c r="V396" s="3" t="s">
        <v>142</v>
      </c>
      <c r="W396" s="3" t="s">
        <v>145</v>
      </c>
      <c r="X396" s="3" t="s">
        <v>146</v>
      </c>
      <c r="Y396" s="3" t="s">
        <v>147</v>
      </c>
      <c r="Z396" s="3" t="s">
        <v>63</v>
      </c>
      <c r="AA396" s="3" t="s">
        <v>148</v>
      </c>
      <c r="AB396" s="3" t="s">
        <v>43</v>
      </c>
      <c r="AC396" s="3" t="s">
        <v>66</v>
      </c>
    </row>
    <row r="397" spans="1:29" x14ac:dyDescent="0.3">
      <c r="A397" s="3">
        <v>379</v>
      </c>
      <c r="B397" s="3" t="s">
        <v>301</v>
      </c>
      <c r="C397" s="3" t="s">
        <v>302</v>
      </c>
      <c r="D397" s="3" t="s">
        <v>31</v>
      </c>
      <c r="E397" s="3" t="s">
        <v>32</v>
      </c>
      <c r="F397" s="5">
        <v>43281</v>
      </c>
      <c r="G397" s="3">
        <f t="shared" ref="G397:G408" si="78">YEAR(F397)</f>
        <v>2018</v>
      </c>
      <c r="H397" s="3" t="str">
        <f t="shared" ref="H397:H408" si="79">PROPER(TEXT(F397,"mmmm"))</f>
        <v>Junio</v>
      </c>
      <c r="I397" s="3" t="str">
        <f t="shared" ref="I397:I408" si="80">IF(H397="Junio",G397&amp;"-1",G397&amp;"-2")</f>
        <v>2018-1</v>
      </c>
      <c r="J397" s="3">
        <v>1</v>
      </c>
      <c r="K397" s="3"/>
      <c r="L397" s="6">
        <v>11960</v>
      </c>
      <c r="M397" s="3"/>
      <c r="N397" s="3"/>
      <c r="O397" s="3" t="s">
        <v>35</v>
      </c>
      <c r="P397" s="3" t="s">
        <v>35</v>
      </c>
      <c r="Q397" s="3" t="str">
        <f t="shared" ref="Q397:Q408" si="81">A397&amp;"-"&amp;TEXT(F397,"yyyy-mm-dd")</f>
        <v>379-2018-06-30</v>
      </c>
      <c r="R397" s="3">
        <v>0</v>
      </c>
      <c r="S397" s="3">
        <v>0</v>
      </c>
      <c r="T397" s="3" t="s">
        <v>31</v>
      </c>
      <c r="U397" s="3" t="s">
        <v>37</v>
      </c>
      <c r="V397" s="3" t="s">
        <v>302</v>
      </c>
      <c r="W397" s="3" t="s">
        <v>38</v>
      </c>
      <c r="X397" s="3" t="s">
        <v>39</v>
      </c>
      <c r="Y397" s="3" t="s">
        <v>40</v>
      </c>
      <c r="Z397" s="3" t="s">
        <v>41</v>
      </c>
      <c r="AA397" s="3" t="s">
        <v>42</v>
      </c>
      <c r="AB397" s="3" t="s">
        <v>78</v>
      </c>
      <c r="AC397" s="3" t="s">
        <v>31</v>
      </c>
    </row>
    <row r="398" spans="1:29" x14ac:dyDescent="0.3">
      <c r="A398" s="3">
        <v>379</v>
      </c>
      <c r="B398" s="3" t="s">
        <v>301</v>
      </c>
      <c r="C398" s="3" t="s">
        <v>302</v>
      </c>
      <c r="D398" s="3" t="s">
        <v>31</v>
      </c>
      <c r="E398" s="3" t="s">
        <v>32</v>
      </c>
      <c r="F398" s="5">
        <v>43465</v>
      </c>
      <c r="G398" s="3">
        <f t="shared" si="78"/>
        <v>2018</v>
      </c>
      <c r="H398" s="3" t="str">
        <f t="shared" si="79"/>
        <v>Diciembre</v>
      </c>
      <c r="I398" s="3" t="str">
        <f t="shared" si="80"/>
        <v>2018-2</v>
      </c>
      <c r="J398" s="3"/>
      <c r="K398" s="3"/>
      <c r="L398" s="3">
        <v>22872</v>
      </c>
      <c r="M398" s="3"/>
      <c r="N398" s="3"/>
      <c r="O398" s="3" t="s">
        <v>35</v>
      </c>
      <c r="P398" s="3" t="s">
        <v>35</v>
      </c>
      <c r="Q398" s="3" t="str">
        <f t="shared" si="81"/>
        <v>379-2018-12-31</v>
      </c>
      <c r="R398" s="3">
        <v>0</v>
      </c>
      <c r="S398" s="3">
        <v>0</v>
      </c>
      <c r="T398" s="3" t="s">
        <v>443</v>
      </c>
      <c r="U398" s="3" t="s">
        <v>37</v>
      </c>
      <c r="V398" s="3" t="s">
        <v>302</v>
      </c>
      <c r="W398" s="3" t="s">
        <v>38</v>
      </c>
      <c r="X398" s="3" t="s">
        <v>39</v>
      </c>
      <c r="Y398" s="3" t="s">
        <v>40</v>
      </c>
      <c r="Z398" s="3" t="s">
        <v>41</v>
      </c>
      <c r="AA398" s="3" t="s">
        <v>42</v>
      </c>
      <c r="AB398" s="3" t="s">
        <v>78</v>
      </c>
      <c r="AC398" s="3" t="s">
        <v>31</v>
      </c>
    </row>
    <row r="399" spans="1:29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5">
        <v>43465</v>
      </c>
      <c r="G399" s="3">
        <f t="shared" si="78"/>
        <v>2018</v>
      </c>
      <c r="H399" s="3" t="str">
        <f t="shared" si="79"/>
        <v>Diciembre</v>
      </c>
      <c r="I399" s="3" t="str">
        <f t="shared" si="80"/>
        <v>2018-2</v>
      </c>
      <c r="J399" s="3">
        <v>2</v>
      </c>
      <c r="K399" s="3"/>
      <c r="L399" s="6">
        <v>10912</v>
      </c>
      <c r="M399" s="3"/>
      <c r="N399" s="3"/>
      <c r="O399" s="3" t="s">
        <v>35</v>
      </c>
      <c r="P399" s="3" t="s">
        <v>35</v>
      </c>
      <c r="Q399" s="3" t="str">
        <f t="shared" si="81"/>
        <v>379-2018-12-31</v>
      </c>
      <c r="R399" s="3">
        <v>0</v>
      </c>
      <c r="S399" s="3">
        <v>0</v>
      </c>
      <c r="T399" s="3" t="s">
        <v>31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</row>
    <row r="400" spans="1:29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5">
        <v>43646</v>
      </c>
      <c r="G400" s="3">
        <f t="shared" si="78"/>
        <v>2019</v>
      </c>
      <c r="H400" s="3" t="str">
        <f t="shared" si="79"/>
        <v>Junio</v>
      </c>
      <c r="I400" s="3" t="str">
        <f t="shared" si="80"/>
        <v>2019-1</v>
      </c>
      <c r="J400" s="3">
        <v>1</v>
      </c>
      <c r="K400" s="3"/>
      <c r="L400" s="6">
        <v>12993</v>
      </c>
      <c r="M400" s="3"/>
      <c r="N400" s="3"/>
      <c r="O400" s="3" t="s">
        <v>35</v>
      </c>
      <c r="P400" s="3" t="s">
        <v>35</v>
      </c>
      <c r="Q400" s="3" t="str">
        <f t="shared" si="81"/>
        <v>379-2019-06-30</v>
      </c>
      <c r="R400" s="3">
        <v>0</v>
      </c>
      <c r="S400" s="3">
        <v>0</v>
      </c>
      <c r="T400" s="3" t="s">
        <v>31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</row>
    <row r="401" spans="1:29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5">
        <v>43830</v>
      </c>
      <c r="G401" s="3">
        <f t="shared" si="78"/>
        <v>2019</v>
      </c>
      <c r="H401" s="3" t="str">
        <f t="shared" si="79"/>
        <v>Diciembre</v>
      </c>
      <c r="I401" s="3" t="str">
        <f t="shared" si="80"/>
        <v>2019-2</v>
      </c>
      <c r="J401" s="3">
        <v>2</v>
      </c>
      <c r="K401" s="3"/>
      <c r="L401" s="6">
        <v>9616</v>
      </c>
      <c r="M401" s="3"/>
      <c r="N401" s="3"/>
      <c r="O401" s="3" t="s">
        <v>35</v>
      </c>
      <c r="P401" s="3" t="s">
        <v>35</v>
      </c>
      <c r="Q401" s="3" t="str">
        <f t="shared" si="81"/>
        <v>379-2019-12-31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</row>
    <row r="402" spans="1:29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5">
        <v>43830</v>
      </c>
      <c r="G402" s="3">
        <f t="shared" si="78"/>
        <v>2019</v>
      </c>
      <c r="H402" s="3" t="str">
        <f t="shared" si="79"/>
        <v>Diciembre</v>
      </c>
      <c r="I402" s="3" t="str">
        <f t="shared" si="80"/>
        <v>2019-2</v>
      </c>
      <c r="J402" s="3"/>
      <c r="K402" s="3"/>
      <c r="L402" s="3">
        <v>22609</v>
      </c>
      <c r="M402" s="3"/>
      <c r="N402" s="3"/>
      <c r="O402" s="3" t="s">
        <v>35</v>
      </c>
      <c r="P402" s="3" t="s">
        <v>35</v>
      </c>
      <c r="Q402" s="3" t="str">
        <f t="shared" si="81"/>
        <v>379-2019-12-31</v>
      </c>
      <c r="R402" s="3">
        <v>0</v>
      </c>
      <c r="S402" s="3">
        <v>0</v>
      </c>
      <c r="T402" s="3" t="s">
        <v>443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</row>
    <row r="403" spans="1:29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5">
        <v>44012</v>
      </c>
      <c r="G403" s="3">
        <f t="shared" si="78"/>
        <v>2020</v>
      </c>
      <c r="H403" s="3" t="str">
        <f t="shared" si="79"/>
        <v>Junio</v>
      </c>
      <c r="I403" s="3" t="str">
        <f t="shared" si="80"/>
        <v>2020-1</v>
      </c>
      <c r="J403" s="3">
        <v>1</v>
      </c>
      <c r="K403" s="3"/>
      <c r="L403" s="6">
        <v>11830</v>
      </c>
      <c r="M403" s="3"/>
      <c r="N403" s="3"/>
      <c r="O403" s="3" t="s">
        <v>35</v>
      </c>
      <c r="P403" s="3" t="s">
        <v>35</v>
      </c>
      <c r="Q403" s="3" t="str">
        <f t="shared" si="81"/>
        <v>379-2020-06-30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</row>
    <row r="404" spans="1:29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5">
        <v>44196</v>
      </c>
      <c r="G404" s="3">
        <f t="shared" si="78"/>
        <v>2020</v>
      </c>
      <c r="H404" s="3" t="str">
        <f t="shared" si="79"/>
        <v>Diciembre</v>
      </c>
      <c r="I404" s="3" t="str">
        <f t="shared" si="80"/>
        <v>2020-2</v>
      </c>
      <c r="J404" s="3">
        <v>2</v>
      </c>
      <c r="K404" s="3"/>
      <c r="L404" s="6">
        <v>10182</v>
      </c>
      <c r="M404" s="3"/>
      <c r="N404" s="3"/>
      <c r="O404" s="3" t="s">
        <v>35</v>
      </c>
      <c r="P404" s="3" t="s">
        <v>35</v>
      </c>
      <c r="Q404" s="3" t="str">
        <f t="shared" si="81"/>
        <v>379-2020-12-31</v>
      </c>
      <c r="R404" s="3">
        <v>0</v>
      </c>
      <c r="S404" s="3">
        <v>0</v>
      </c>
      <c r="T404" s="3" t="s">
        <v>31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</row>
    <row r="405" spans="1:29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5">
        <v>44196</v>
      </c>
      <c r="G405" s="3">
        <f t="shared" si="78"/>
        <v>2020</v>
      </c>
      <c r="H405" s="3" t="str">
        <f t="shared" si="79"/>
        <v>Diciembre</v>
      </c>
      <c r="I405" s="3" t="str">
        <f t="shared" si="80"/>
        <v>2020-2</v>
      </c>
      <c r="J405" s="3"/>
      <c r="K405" s="3"/>
      <c r="L405" s="3">
        <v>22012</v>
      </c>
      <c r="M405" s="3"/>
      <c r="N405" s="3"/>
      <c r="O405" s="3" t="s">
        <v>35</v>
      </c>
      <c r="P405" s="3" t="s">
        <v>35</v>
      </c>
      <c r="Q405" s="3" t="str">
        <f t="shared" si="81"/>
        <v>379-2020-12-31</v>
      </c>
      <c r="R405" s="3">
        <v>0</v>
      </c>
      <c r="S405" s="3">
        <v>0</v>
      </c>
      <c r="T405" s="3" t="s">
        <v>443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</row>
    <row r="406" spans="1:29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5">
        <v>44377</v>
      </c>
      <c r="G406" s="3">
        <f t="shared" si="78"/>
        <v>2021</v>
      </c>
      <c r="H406" s="3" t="str">
        <f t="shared" si="79"/>
        <v>Junio</v>
      </c>
      <c r="I406" s="3" t="str">
        <f t="shared" si="80"/>
        <v>2021-1</v>
      </c>
      <c r="J406" s="3">
        <v>1</v>
      </c>
      <c r="K406" s="3"/>
      <c r="L406" s="6">
        <v>10300</v>
      </c>
      <c r="M406" s="3"/>
      <c r="N406" s="3"/>
      <c r="O406" s="3" t="s">
        <v>35</v>
      </c>
      <c r="P406" s="3" t="s">
        <v>35</v>
      </c>
      <c r="Q406" s="3" t="str">
        <f t="shared" si="81"/>
        <v>379-2021-06-30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</row>
    <row r="407" spans="1:29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5">
        <v>44561</v>
      </c>
      <c r="G407" s="3">
        <f t="shared" si="78"/>
        <v>2021</v>
      </c>
      <c r="H407" s="3" t="str">
        <f t="shared" si="79"/>
        <v>Diciembre</v>
      </c>
      <c r="I407" s="3" t="str">
        <f t="shared" si="80"/>
        <v>2021-2</v>
      </c>
      <c r="J407" s="3">
        <v>2</v>
      </c>
      <c r="K407" s="3"/>
      <c r="L407" s="6">
        <v>8229</v>
      </c>
      <c r="M407" s="3"/>
      <c r="N407" s="3"/>
      <c r="O407" s="3" t="s">
        <v>35</v>
      </c>
      <c r="P407" s="3" t="s">
        <v>35</v>
      </c>
      <c r="Q407" s="3" t="str">
        <f t="shared" si="81"/>
        <v>379-2021-12-31</v>
      </c>
      <c r="R407" s="3">
        <v>0</v>
      </c>
      <c r="S407" s="3">
        <v>0</v>
      </c>
      <c r="T407" s="3" t="s">
        <v>31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</row>
    <row r="408" spans="1:29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5">
        <v>44561</v>
      </c>
      <c r="G408" s="3">
        <f t="shared" si="78"/>
        <v>2021</v>
      </c>
      <c r="H408" s="3" t="str">
        <f t="shared" si="79"/>
        <v>Diciembre</v>
      </c>
      <c r="I408" s="3" t="str">
        <f t="shared" si="80"/>
        <v>2021-2</v>
      </c>
      <c r="J408" s="3"/>
      <c r="K408" s="3"/>
      <c r="L408" s="3">
        <v>18529</v>
      </c>
      <c r="M408" s="3"/>
      <c r="N408" s="3"/>
      <c r="O408" s="3" t="s">
        <v>35</v>
      </c>
      <c r="P408" s="3" t="s">
        <v>35</v>
      </c>
      <c r="Q408" s="3" t="str">
        <f t="shared" si="81"/>
        <v>379-2021-12-31</v>
      </c>
      <c r="R408" s="3">
        <v>0</v>
      </c>
      <c r="S408" s="3">
        <v>0</v>
      </c>
      <c r="T408" s="3" t="s">
        <v>443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</row>
    <row r="409" spans="1:29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5">
        <v>44742</v>
      </c>
      <c r="G409" s="3">
        <v>2022</v>
      </c>
      <c r="H409" s="3" t="s">
        <v>33</v>
      </c>
      <c r="I409" s="3" t="s">
        <v>34</v>
      </c>
      <c r="J409" s="3">
        <v>1</v>
      </c>
      <c r="K409" s="3">
        <v>10808</v>
      </c>
      <c r="L409" s="3">
        <v>11012</v>
      </c>
      <c r="M409" s="3">
        <f>+L409/K409</f>
        <v>1.0188749074759438</v>
      </c>
      <c r="N409" s="3">
        <f>+L409/K409</f>
        <v>1.0188749074759438</v>
      </c>
      <c r="O409" s="3" t="s">
        <v>35</v>
      </c>
      <c r="P409" s="3" t="s">
        <v>35</v>
      </c>
      <c r="Q409" s="3" t="s">
        <v>303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</row>
    <row r="410" spans="1:29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5">
        <v>44926</v>
      </c>
      <c r="G410" s="3">
        <v>2022</v>
      </c>
      <c r="H410" s="3" t="s">
        <v>44</v>
      </c>
      <c r="I410" s="3" t="s">
        <v>45</v>
      </c>
      <c r="J410" s="3">
        <v>2</v>
      </c>
      <c r="K410" s="3">
        <v>9192</v>
      </c>
      <c r="L410" s="3">
        <v>9578</v>
      </c>
      <c r="M410" s="3">
        <f t="shared" ref="M410:M419" si="82">+L410/K410</f>
        <v>1.0419930374238469</v>
      </c>
      <c r="N410" s="3">
        <f t="shared" ref="N410:N419" si="83">+L410/K410</f>
        <v>1.0419930374238469</v>
      </c>
      <c r="O410" s="3" t="s">
        <v>35</v>
      </c>
      <c r="P410" s="3" t="s">
        <v>35</v>
      </c>
      <c r="Q410" s="3" t="s">
        <v>304</v>
      </c>
      <c r="R410" s="3">
        <v>0</v>
      </c>
      <c r="S410" s="3">
        <v>0</v>
      </c>
      <c r="T410" s="3" t="s">
        <v>31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</row>
    <row r="411" spans="1:29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5">
        <v>44926</v>
      </c>
      <c r="G411" s="3">
        <v>2022</v>
      </c>
      <c r="H411" s="3" t="s">
        <v>44</v>
      </c>
      <c r="I411" s="3" t="s">
        <v>45</v>
      </c>
      <c r="J411" s="3"/>
      <c r="K411" s="3">
        <v>20000</v>
      </c>
      <c r="L411" s="3">
        <v>20590</v>
      </c>
      <c r="M411" s="3">
        <f t="shared" si="82"/>
        <v>1.0295000000000001</v>
      </c>
      <c r="N411" s="3">
        <f t="shared" si="83"/>
        <v>1.0295000000000001</v>
      </c>
      <c r="O411" s="3" t="s">
        <v>35</v>
      </c>
      <c r="P411" s="3" t="s">
        <v>35</v>
      </c>
      <c r="Q411" s="3" t="s">
        <v>304</v>
      </c>
      <c r="R411" s="3">
        <v>0</v>
      </c>
      <c r="S411" s="3">
        <v>0</v>
      </c>
      <c r="T411" s="3" t="s">
        <v>443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</row>
    <row r="412" spans="1:29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5">
        <v>45107</v>
      </c>
      <c r="G412" s="3">
        <v>2023</v>
      </c>
      <c r="H412" s="3" t="s">
        <v>33</v>
      </c>
      <c r="I412" s="3" t="s">
        <v>47</v>
      </c>
      <c r="J412" s="3">
        <v>1</v>
      </c>
      <c r="K412" s="3">
        <v>12130</v>
      </c>
      <c r="L412" s="3">
        <v>12382</v>
      </c>
      <c r="M412" s="3">
        <f t="shared" si="82"/>
        <v>1.0207749381698268</v>
      </c>
      <c r="N412" s="3">
        <f t="shared" si="83"/>
        <v>1.0207749381698268</v>
      </c>
      <c r="O412" s="3" t="s">
        <v>35</v>
      </c>
      <c r="P412" s="3" t="s">
        <v>35</v>
      </c>
      <c r="Q412" s="3" t="s">
        <v>305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</row>
    <row r="413" spans="1:29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5">
        <v>45291</v>
      </c>
      <c r="G413" s="3">
        <v>2023</v>
      </c>
      <c r="H413" s="3" t="s">
        <v>44</v>
      </c>
      <c r="I413" s="3" t="s">
        <v>49</v>
      </c>
      <c r="J413" s="3">
        <v>2</v>
      </c>
      <c r="K413" s="3">
        <v>9876</v>
      </c>
      <c r="L413" s="3">
        <v>10605</v>
      </c>
      <c r="M413" s="3">
        <f t="shared" si="82"/>
        <v>1.0738153098420413</v>
      </c>
      <c r="N413" s="3">
        <f t="shared" si="83"/>
        <v>1.0738153098420413</v>
      </c>
      <c r="O413" s="3" t="s">
        <v>35</v>
      </c>
      <c r="P413" s="3" t="s">
        <v>35</v>
      </c>
      <c r="Q413" s="3" t="s">
        <v>306</v>
      </c>
      <c r="R413" s="3">
        <v>0</v>
      </c>
      <c r="S413" s="3">
        <v>0</v>
      </c>
      <c r="T413" s="3" t="s">
        <v>31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</row>
    <row r="414" spans="1:29" x14ac:dyDescent="0.3">
      <c r="A414" s="3">
        <v>379</v>
      </c>
      <c r="B414" s="3" t="s">
        <v>301</v>
      </c>
      <c r="C414" s="3" t="s">
        <v>302</v>
      </c>
      <c r="D414" s="3" t="s">
        <v>31</v>
      </c>
      <c r="E414" s="3" t="s">
        <v>32</v>
      </c>
      <c r="F414" s="5">
        <v>45291</v>
      </c>
      <c r="G414" s="3">
        <v>2023</v>
      </c>
      <c r="H414" s="3" t="s">
        <v>44</v>
      </c>
      <c r="I414" s="3" t="s">
        <v>49</v>
      </c>
      <c r="J414" s="3"/>
      <c r="K414" s="3">
        <v>22006</v>
      </c>
      <c r="L414" s="3">
        <v>22987</v>
      </c>
      <c r="M414" s="3">
        <f t="shared" si="82"/>
        <v>1.0445787512496592</v>
      </c>
      <c r="N414" s="3">
        <f t="shared" si="83"/>
        <v>1.0445787512496592</v>
      </c>
      <c r="O414" s="3" t="s">
        <v>35</v>
      </c>
      <c r="P414" s="3" t="s">
        <v>35</v>
      </c>
      <c r="Q414" s="3" t="s">
        <v>306</v>
      </c>
      <c r="R414" s="3">
        <v>0</v>
      </c>
      <c r="S414" s="3">
        <v>0</v>
      </c>
      <c r="T414" s="3" t="s">
        <v>443</v>
      </c>
      <c r="U414" s="3" t="s">
        <v>37</v>
      </c>
      <c r="V414" s="3" t="s">
        <v>302</v>
      </c>
      <c r="W414" s="3" t="s">
        <v>38</v>
      </c>
      <c r="X414" s="3" t="s">
        <v>39</v>
      </c>
      <c r="Y414" s="3" t="s">
        <v>40</v>
      </c>
      <c r="Z414" s="3" t="s">
        <v>41</v>
      </c>
      <c r="AA414" s="3" t="s">
        <v>42</v>
      </c>
      <c r="AB414" s="3" t="s">
        <v>78</v>
      </c>
      <c r="AC414" s="3" t="s">
        <v>31</v>
      </c>
    </row>
    <row r="415" spans="1:29" x14ac:dyDescent="0.3">
      <c r="A415" s="3">
        <v>379</v>
      </c>
      <c r="B415" s="3" t="s">
        <v>301</v>
      </c>
      <c r="C415" s="3" t="s">
        <v>302</v>
      </c>
      <c r="D415" s="3" t="s">
        <v>31</v>
      </c>
      <c r="E415" s="3" t="s">
        <v>32</v>
      </c>
      <c r="F415" s="5">
        <v>45473</v>
      </c>
      <c r="G415" s="3">
        <v>2024</v>
      </c>
      <c r="H415" s="3" t="s">
        <v>33</v>
      </c>
      <c r="I415" s="3" t="s">
        <v>51</v>
      </c>
      <c r="J415" s="3">
        <v>1</v>
      </c>
      <c r="K415" s="3">
        <v>13590</v>
      </c>
      <c r="L415" s="3">
        <v>12987</v>
      </c>
      <c r="M415" s="3">
        <f t="shared" si="82"/>
        <v>0.95562913907284763</v>
      </c>
      <c r="N415" s="3">
        <f t="shared" si="83"/>
        <v>0.95562913907284763</v>
      </c>
      <c r="O415" s="3" t="s">
        <v>35</v>
      </c>
      <c r="P415" s="3" t="s">
        <v>35</v>
      </c>
      <c r="Q415" s="3" t="s">
        <v>307</v>
      </c>
      <c r="R415" s="3">
        <v>0</v>
      </c>
      <c r="S415" s="3">
        <v>0</v>
      </c>
      <c r="T415" s="3" t="s">
        <v>31</v>
      </c>
      <c r="U415" s="3" t="s">
        <v>37</v>
      </c>
      <c r="V415" s="3" t="s">
        <v>302</v>
      </c>
      <c r="W415" s="3" t="s">
        <v>38</v>
      </c>
      <c r="X415" s="3" t="s">
        <v>39</v>
      </c>
      <c r="Y415" s="3" t="s">
        <v>40</v>
      </c>
      <c r="Z415" s="3" t="s">
        <v>41</v>
      </c>
      <c r="AA415" s="3" t="s">
        <v>42</v>
      </c>
      <c r="AB415" s="3" t="s">
        <v>78</v>
      </c>
      <c r="AC415" s="3" t="s">
        <v>31</v>
      </c>
    </row>
    <row r="416" spans="1:29" x14ac:dyDescent="0.3">
      <c r="A416" s="3">
        <v>379</v>
      </c>
      <c r="B416" s="3" t="s">
        <v>301</v>
      </c>
      <c r="C416" s="3" t="s">
        <v>302</v>
      </c>
      <c r="D416" s="3" t="s">
        <v>31</v>
      </c>
      <c r="E416" s="3" t="s">
        <v>32</v>
      </c>
      <c r="F416" s="5">
        <v>45657</v>
      </c>
      <c r="G416" s="3">
        <v>2024</v>
      </c>
      <c r="H416" s="3" t="s">
        <v>44</v>
      </c>
      <c r="I416" s="3" t="s">
        <v>53</v>
      </c>
      <c r="J416" s="3">
        <v>2</v>
      </c>
      <c r="K416" s="3">
        <v>10675</v>
      </c>
      <c r="L416" s="3">
        <v>10569</v>
      </c>
      <c r="M416" s="3">
        <f t="shared" si="82"/>
        <v>0.99007025761124123</v>
      </c>
      <c r="N416" s="3">
        <f t="shared" si="83"/>
        <v>0.99007025761124123</v>
      </c>
      <c r="O416" s="3" t="s">
        <v>35</v>
      </c>
      <c r="P416" s="3" t="s">
        <v>35</v>
      </c>
      <c r="Q416" s="3" t="s">
        <v>308</v>
      </c>
      <c r="R416" s="3">
        <v>0</v>
      </c>
      <c r="S416" s="3">
        <v>0</v>
      </c>
      <c r="T416" s="3" t="s">
        <v>31</v>
      </c>
      <c r="U416" s="3" t="s">
        <v>37</v>
      </c>
      <c r="V416" s="3" t="s">
        <v>302</v>
      </c>
      <c r="W416" s="3" t="s">
        <v>38</v>
      </c>
      <c r="X416" s="3" t="s">
        <v>39</v>
      </c>
      <c r="Y416" s="3" t="s">
        <v>40</v>
      </c>
      <c r="Z416" s="3" t="s">
        <v>41</v>
      </c>
      <c r="AA416" s="3" t="s">
        <v>42</v>
      </c>
      <c r="AB416" s="3" t="s">
        <v>78</v>
      </c>
      <c r="AC416" s="3" t="s">
        <v>31</v>
      </c>
    </row>
    <row r="417" spans="1:29" x14ac:dyDescent="0.3">
      <c r="A417" s="3">
        <v>379</v>
      </c>
      <c r="B417" s="3" t="s">
        <v>301</v>
      </c>
      <c r="C417" s="3" t="s">
        <v>302</v>
      </c>
      <c r="D417" s="3" t="s">
        <v>31</v>
      </c>
      <c r="E417" s="3" t="s">
        <v>32</v>
      </c>
      <c r="F417" s="5">
        <v>45657</v>
      </c>
      <c r="G417" s="3">
        <v>2024</v>
      </c>
      <c r="H417" s="3" t="s">
        <v>44</v>
      </c>
      <c r="I417" s="3" t="s">
        <v>53</v>
      </c>
      <c r="J417" s="3"/>
      <c r="K417" s="3">
        <v>24265</v>
      </c>
      <c r="L417" s="3">
        <v>23556</v>
      </c>
      <c r="M417" s="3">
        <f t="shared" si="82"/>
        <v>0.97078096023078508</v>
      </c>
      <c r="N417" s="3">
        <f t="shared" si="83"/>
        <v>0.97078096023078508</v>
      </c>
      <c r="O417" s="3" t="s">
        <v>35</v>
      </c>
      <c r="P417" s="3" t="s">
        <v>35</v>
      </c>
      <c r="Q417" s="3" t="s">
        <v>308</v>
      </c>
      <c r="R417" s="3">
        <v>0</v>
      </c>
      <c r="S417" s="3">
        <v>0</v>
      </c>
      <c r="T417" s="3" t="s">
        <v>443</v>
      </c>
      <c r="U417" s="3" t="s">
        <v>37</v>
      </c>
      <c r="V417" s="3" t="s">
        <v>302</v>
      </c>
      <c r="W417" s="3" t="s">
        <v>38</v>
      </c>
      <c r="X417" s="3" t="s">
        <v>39</v>
      </c>
      <c r="Y417" s="3" t="s">
        <v>40</v>
      </c>
      <c r="Z417" s="3" t="s">
        <v>41</v>
      </c>
      <c r="AA417" s="3" t="s">
        <v>42</v>
      </c>
      <c r="AB417" s="3" t="s">
        <v>78</v>
      </c>
      <c r="AC417" s="3" t="s">
        <v>31</v>
      </c>
    </row>
    <row r="418" spans="1:29" x14ac:dyDescent="0.3">
      <c r="A418" s="3">
        <v>379</v>
      </c>
      <c r="B418" s="3" t="s">
        <v>301</v>
      </c>
      <c r="C418" s="3" t="s">
        <v>302</v>
      </c>
      <c r="D418" s="3" t="s">
        <v>31</v>
      </c>
      <c r="E418" s="3" t="s">
        <v>32</v>
      </c>
      <c r="F418" s="5">
        <v>45838</v>
      </c>
      <c r="G418" s="3">
        <v>2025</v>
      </c>
      <c r="H418" s="3" t="s">
        <v>33</v>
      </c>
      <c r="I418" s="3" t="s">
        <v>404</v>
      </c>
      <c r="J418" s="3">
        <v>1</v>
      </c>
      <c r="K418" s="3">
        <v>13609</v>
      </c>
      <c r="L418" s="3">
        <v>14141</v>
      </c>
      <c r="M418" s="3">
        <f t="shared" si="82"/>
        <v>1.0390917775001838</v>
      </c>
      <c r="N418" s="3">
        <f t="shared" si="83"/>
        <v>1.0390917775001838</v>
      </c>
      <c r="O418" s="3" t="s">
        <v>35</v>
      </c>
      <c r="P418" s="3" t="s">
        <v>35</v>
      </c>
      <c r="Q418" s="3" t="s">
        <v>412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302</v>
      </c>
      <c r="W418" s="3" t="s">
        <v>38</v>
      </c>
      <c r="X418" s="3" t="s">
        <v>39</v>
      </c>
      <c r="Y418" s="3" t="s">
        <v>40</v>
      </c>
      <c r="Z418" s="3" t="s">
        <v>41</v>
      </c>
      <c r="AA418" s="3" t="s">
        <v>42</v>
      </c>
      <c r="AB418" s="3" t="s">
        <v>78</v>
      </c>
      <c r="AC418" s="3" t="s">
        <v>31</v>
      </c>
    </row>
    <row r="419" spans="1:29" x14ac:dyDescent="0.3">
      <c r="A419" s="3">
        <v>379</v>
      </c>
      <c r="B419" s="3" t="s">
        <v>301</v>
      </c>
      <c r="C419" s="3" t="s">
        <v>302</v>
      </c>
      <c r="D419" s="3" t="s">
        <v>31</v>
      </c>
      <c r="E419" s="3" t="s">
        <v>32</v>
      </c>
      <c r="F419" s="5">
        <v>46022</v>
      </c>
      <c r="G419" s="3">
        <f>YEAR(F419)</f>
        <v>2025</v>
      </c>
      <c r="H419" s="3" t="str">
        <f>PROPER(TEXT(F419,"mmmm"))</f>
        <v>Diciembre</v>
      </c>
      <c r="I419" s="3" t="str">
        <f>IF(H419="Junio",G419&amp;"-1",G419&amp;"-2")</f>
        <v>2025-2</v>
      </c>
      <c r="J419" s="3">
        <v>2</v>
      </c>
      <c r="K419" s="3">
        <v>11019</v>
      </c>
      <c r="L419" s="3">
        <v>11224</v>
      </c>
      <c r="M419" s="3">
        <f t="shared" si="82"/>
        <v>1.0186042290588984</v>
      </c>
      <c r="N419" s="3">
        <f t="shared" si="83"/>
        <v>1.0186042290588984</v>
      </c>
      <c r="O419" s="3" t="s">
        <v>35</v>
      </c>
      <c r="P419" s="3" t="s">
        <v>35</v>
      </c>
      <c r="Q419" s="3" t="str">
        <f>A419&amp;"-"&amp;TEXT(F419,"yyyy-mm-dd")</f>
        <v>379-2025-12-31</v>
      </c>
      <c r="R419" s="3">
        <v>0</v>
      </c>
      <c r="S419" s="3">
        <v>0</v>
      </c>
      <c r="T419" s="3" t="s">
        <v>31</v>
      </c>
      <c r="U419" s="3" t="s">
        <v>37</v>
      </c>
      <c r="V419" s="3" t="s">
        <v>302</v>
      </c>
      <c r="W419" s="3" t="s">
        <v>38</v>
      </c>
      <c r="X419" s="3" t="s">
        <v>39</v>
      </c>
      <c r="Y419" s="3" t="s">
        <v>40</v>
      </c>
      <c r="Z419" s="3" t="s">
        <v>41</v>
      </c>
      <c r="AA419" s="3" t="s">
        <v>42</v>
      </c>
      <c r="AB419" s="3" t="s">
        <v>78</v>
      </c>
      <c r="AC419" s="3" t="s">
        <v>31</v>
      </c>
    </row>
    <row r="420" spans="1:29" x14ac:dyDescent="0.3">
      <c r="A420" s="3">
        <v>385</v>
      </c>
      <c r="B420" s="3" t="s">
        <v>309</v>
      </c>
      <c r="C420" s="3" t="s">
        <v>310</v>
      </c>
      <c r="D420" s="3" t="s">
        <v>31</v>
      </c>
      <c r="E420" s="3" t="s">
        <v>32</v>
      </c>
      <c r="F420" s="5">
        <v>44926</v>
      </c>
      <c r="G420" s="3">
        <v>2022</v>
      </c>
      <c r="H420" s="3" t="s">
        <v>44</v>
      </c>
      <c r="I420" s="3" t="s">
        <v>45</v>
      </c>
      <c r="J420" s="3">
        <v>2</v>
      </c>
      <c r="K420" s="3">
        <v>13361</v>
      </c>
      <c r="L420" s="3">
        <v>10035.311890999999</v>
      </c>
      <c r="M420" s="3">
        <f>L420/K420</f>
        <v>0.75108988032332902</v>
      </c>
      <c r="N420" s="3">
        <f>L420/K420</f>
        <v>0.75108988032332902</v>
      </c>
      <c r="O420" s="3" t="s">
        <v>143</v>
      </c>
      <c r="P420" s="3" t="s">
        <v>143</v>
      </c>
      <c r="Q420" s="3" t="s">
        <v>315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310</v>
      </c>
      <c r="W420" s="3" t="s">
        <v>312</v>
      </c>
      <c r="X420" s="3" t="s">
        <v>313</v>
      </c>
      <c r="Y420" s="3" t="s">
        <v>314</v>
      </c>
      <c r="Z420" s="3" t="s">
        <v>63</v>
      </c>
      <c r="AA420" s="3" t="s">
        <v>148</v>
      </c>
      <c r="AB420" s="3" t="s">
        <v>43</v>
      </c>
      <c r="AC420" s="3" t="s">
        <v>66</v>
      </c>
    </row>
    <row r="421" spans="1:29" x14ac:dyDescent="0.3">
      <c r="A421" s="3">
        <v>385</v>
      </c>
      <c r="B421" s="3" t="s">
        <v>309</v>
      </c>
      <c r="C421" s="3" t="s">
        <v>310</v>
      </c>
      <c r="D421" s="3" t="s">
        <v>31</v>
      </c>
      <c r="E421" s="3" t="s">
        <v>32</v>
      </c>
      <c r="F421" s="5">
        <v>44926</v>
      </c>
      <c r="G421" s="3">
        <v>2022</v>
      </c>
      <c r="H421" s="3" t="s">
        <v>44</v>
      </c>
      <c r="I421" s="3" t="s">
        <v>45</v>
      </c>
      <c r="J421" s="3"/>
      <c r="K421" s="3">
        <v>13361</v>
      </c>
      <c r="L421" s="3">
        <v>10035.311890999999</v>
      </c>
      <c r="M421" s="3">
        <f t="shared" ref="M421:M426" si="84">L421/K421</f>
        <v>0.75108988032332902</v>
      </c>
      <c r="N421" s="3">
        <f t="shared" ref="N421:N426" si="85">L421/K421</f>
        <v>0.75108988032332902</v>
      </c>
      <c r="O421" s="3" t="s">
        <v>143</v>
      </c>
      <c r="P421" s="3" t="s">
        <v>143</v>
      </c>
      <c r="Q421" s="3" t="s">
        <v>315</v>
      </c>
      <c r="R421" s="3">
        <v>0</v>
      </c>
      <c r="S421" s="3">
        <v>0</v>
      </c>
      <c r="T421" s="3" t="s">
        <v>443</v>
      </c>
      <c r="U421" s="3" t="s">
        <v>37</v>
      </c>
      <c r="V421" s="3" t="s">
        <v>310</v>
      </c>
      <c r="W421" s="3" t="s">
        <v>312</v>
      </c>
      <c r="X421" s="3" t="s">
        <v>313</v>
      </c>
      <c r="Y421" s="3" t="s">
        <v>314</v>
      </c>
      <c r="Z421" s="3" t="s">
        <v>63</v>
      </c>
      <c r="AA421" s="3" t="s">
        <v>148</v>
      </c>
      <c r="AB421" s="3" t="s">
        <v>43</v>
      </c>
      <c r="AC421" s="3" t="s">
        <v>66</v>
      </c>
    </row>
    <row r="422" spans="1:29" x14ac:dyDescent="0.3">
      <c r="A422" s="3">
        <v>385</v>
      </c>
      <c r="B422" s="3" t="s">
        <v>309</v>
      </c>
      <c r="C422" s="3" t="s">
        <v>310</v>
      </c>
      <c r="D422" s="3" t="s">
        <v>31</v>
      </c>
      <c r="E422" s="3" t="s">
        <v>32</v>
      </c>
      <c r="F422" s="5">
        <v>45291</v>
      </c>
      <c r="G422" s="3">
        <v>2023</v>
      </c>
      <c r="H422" s="3" t="s">
        <v>44</v>
      </c>
      <c r="I422" s="3" t="s">
        <v>49</v>
      </c>
      <c r="J422" s="3">
        <v>2</v>
      </c>
      <c r="K422" s="3">
        <v>14097.721</v>
      </c>
      <c r="L422" s="3">
        <v>17697.080526999998</v>
      </c>
      <c r="M422" s="3">
        <f t="shared" si="84"/>
        <v>1.2553149921891629</v>
      </c>
      <c r="N422" s="3">
        <f t="shared" si="85"/>
        <v>1.2553149921891629</v>
      </c>
      <c r="O422" s="3" t="s">
        <v>143</v>
      </c>
      <c r="P422" s="3" t="s">
        <v>143</v>
      </c>
      <c r="Q422" s="3" t="s">
        <v>317</v>
      </c>
      <c r="R422" s="3">
        <v>0</v>
      </c>
      <c r="S422" s="3">
        <v>0</v>
      </c>
      <c r="T422" s="3" t="s">
        <v>31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43</v>
      </c>
      <c r="AC422" s="3" t="s">
        <v>66</v>
      </c>
    </row>
    <row r="423" spans="1:29" x14ac:dyDescent="0.3">
      <c r="A423" s="3">
        <v>385</v>
      </c>
      <c r="B423" s="3" t="s">
        <v>309</v>
      </c>
      <c r="C423" s="3" t="s">
        <v>310</v>
      </c>
      <c r="D423" s="3" t="s">
        <v>31</v>
      </c>
      <c r="E423" s="3" t="s">
        <v>32</v>
      </c>
      <c r="F423" s="5">
        <v>45291</v>
      </c>
      <c r="G423" s="3">
        <v>2023</v>
      </c>
      <c r="H423" s="3" t="s">
        <v>44</v>
      </c>
      <c r="I423" s="3" t="s">
        <v>49</v>
      </c>
      <c r="J423" s="3"/>
      <c r="K423" s="3">
        <v>14097.721</v>
      </c>
      <c r="L423" s="3">
        <v>17697.080526999998</v>
      </c>
      <c r="M423" s="3">
        <f t="shared" si="84"/>
        <v>1.2553149921891629</v>
      </c>
      <c r="N423" s="3">
        <f t="shared" si="85"/>
        <v>1.2553149921891629</v>
      </c>
      <c r="O423" s="3" t="s">
        <v>143</v>
      </c>
      <c r="P423" s="3" t="s">
        <v>143</v>
      </c>
      <c r="Q423" s="3" t="s">
        <v>317</v>
      </c>
      <c r="R423" s="3">
        <v>0</v>
      </c>
      <c r="S423" s="3">
        <v>0</v>
      </c>
      <c r="T423" s="3" t="s">
        <v>443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43</v>
      </c>
      <c r="AC423" s="3" t="s">
        <v>66</v>
      </c>
    </row>
    <row r="424" spans="1:29" x14ac:dyDescent="0.3">
      <c r="A424" s="3">
        <v>385</v>
      </c>
      <c r="B424" s="3" t="s">
        <v>309</v>
      </c>
      <c r="C424" s="3" t="s">
        <v>310</v>
      </c>
      <c r="D424" s="3" t="s">
        <v>31</v>
      </c>
      <c r="E424" s="3" t="s">
        <v>32</v>
      </c>
      <c r="F424" s="5">
        <v>45657</v>
      </c>
      <c r="G424" s="3">
        <v>2024</v>
      </c>
      <c r="H424" s="3" t="s">
        <v>44</v>
      </c>
      <c r="I424" s="3" t="s">
        <v>53</v>
      </c>
      <c r="J424" s="3">
        <v>2</v>
      </c>
      <c r="K424" s="3">
        <v>15507.493100000003</v>
      </c>
      <c r="L424" s="3">
        <v>13243.138849000001</v>
      </c>
      <c r="M424" s="3">
        <f t="shared" si="84"/>
        <v>0.85398321724869886</v>
      </c>
      <c r="N424" s="3">
        <f t="shared" si="85"/>
        <v>0.85398321724869886</v>
      </c>
      <c r="O424" s="3" t="s">
        <v>143</v>
      </c>
      <c r="P424" s="3" t="s">
        <v>143</v>
      </c>
      <c r="Q424" s="3" t="s">
        <v>319</v>
      </c>
      <c r="R424" s="3">
        <v>0</v>
      </c>
      <c r="S424" s="3">
        <v>0</v>
      </c>
      <c r="T424" s="3" t="s">
        <v>31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43</v>
      </c>
      <c r="AC424" s="3" t="s">
        <v>66</v>
      </c>
    </row>
    <row r="425" spans="1:29" x14ac:dyDescent="0.3">
      <c r="A425" s="3">
        <v>385</v>
      </c>
      <c r="B425" s="3" t="s">
        <v>309</v>
      </c>
      <c r="C425" s="3" t="s">
        <v>310</v>
      </c>
      <c r="D425" s="3" t="s">
        <v>31</v>
      </c>
      <c r="E425" s="3" t="s">
        <v>32</v>
      </c>
      <c r="F425" s="5">
        <v>45657</v>
      </c>
      <c r="G425" s="3">
        <v>2024</v>
      </c>
      <c r="H425" s="3" t="s">
        <v>44</v>
      </c>
      <c r="I425" s="3" t="s">
        <v>53</v>
      </c>
      <c r="J425" s="3"/>
      <c r="K425" s="3">
        <v>15507.493100000003</v>
      </c>
      <c r="L425" s="3">
        <v>13243.138849000001</v>
      </c>
      <c r="M425" s="3">
        <f t="shared" si="84"/>
        <v>0.85398321724869886</v>
      </c>
      <c r="N425" s="3">
        <f t="shared" si="85"/>
        <v>0.85398321724869886</v>
      </c>
      <c r="O425" s="3" t="s">
        <v>143</v>
      </c>
      <c r="P425" s="3" t="s">
        <v>143</v>
      </c>
      <c r="Q425" s="3" t="s">
        <v>319</v>
      </c>
      <c r="R425" s="3">
        <v>0</v>
      </c>
      <c r="S425" s="3">
        <v>0</v>
      </c>
      <c r="T425" s="3" t="s">
        <v>443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43</v>
      </c>
      <c r="AC425" s="3" t="s">
        <v>66</v>
      </c>
    </row>
    <row r="426" spans="1:29" x14ac:dyDescent="0.3">
      <c r="A426" s="3">
        <v>385</v>
      </c>
      <c r="B426" s="3" t="s">
        <v>309</v>
      </c>
      <c r="C426" s="3" t="s">
        <v>310</v>
      </c>
      <c r="D426" s="3" t="s">
        <v>31</v>
      </c>
      <c r="E426" s="3" t="s">
        <v>32</v>
      </c>
      <c r="F426" s="5">
        <v>46022</v>
      </c>
      <c r="G426" s="3">
        <v>2025</v>
      </c>
      <c r="H426" s="3" t="s">
        <v>44</v>
      </c>
      <c r="I426" s="3" t="s">
        <v>465</v>
      </c>
      <c r="J426" s="3">
        <v>2</v>
      </c>
      <c r="K426" s="3">
        <f>17058242411/1000000</f>
        <v>17058.242410999999</v>
      </c>
      <c r="L426" s="3">
        <f>18570267021/1000000</f>
        <v>18570.267021</v>
      </c>
      <c r="M426" s="3">
        <f t="shared" si="84"/>
        <v>1.0886389449492739</v>
      </c>
      <c r="N426" s="3">
        <f t="shared" si="85"/>
        <v>1.0886389449492739</v>
      </c>
      <c r="O426" s="3" t="s">
        <v>143</v>
      </c>
      <c r="P426" s="3" t="s">
        <v>143</v>
      </c>
      <c r="Q426" s="3" t="s">
        <v>486</v>
      </c>
      <c r="R426" s="3">
        <v>0</v>
      </c>
      <c r="S426" s="3">
        <v>0</v>
      </c>
      <c r="T426" s="3" t="s">
        <v>31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43</v>
      </c>
      <c r="AC426" s="3" t="s">
        <v>66</v>
      </c>
    </row>
    <row r="427" spans="1:29" x14ac:dyDescent="0.3">
      <c r="A427" s="3">
        <v>386.1</v>
      </c>
      <c r="B427" s="3" t="s">
        <v>377</v>
      </c>
      <c r="C427" s="3" t="s">
        <v>310</v>
      </c>
      <c r="D427" s="3" t="s">
        <v>31</v>
      </c>
      <c r="E427" s="3" t="s">
        <v>32</v>
      </c>
      <c r="F427" s="5">
        <v>44926</v>
      </c>
      <c r="G427" s="3">
        <v>2022</v>
      </c>
      <c r="H427" s="3" t="s">
        <v>44</v>
      </c>
      <c r="I427" s="3" t="s">
        <v>45</v>
      </c>
      <c r="J427" s="3">
        <v>2</v>
      </c>
      <c r="K427" s="3">
        <f>894406923/1000000</f>
        <v>894.40692300000001</v>
      </c>
      <c r="L427" s="3">
        <f>894406923/1000000</f>
        <v>894.40692300000001</v>
      </c>
      <c r="M427" s="3">
        <f>+L427/K427</f>
        <v>1</v>
      </c>
      <c r="N427" s="3">
        <f t="shared" ref="N427:N433" si="86">+L427/K427</f>
        <v>1</v>
      </c>
      <c r="O427" s="3" t="s">
        <v>143</v>
      </c>
      <c r="P427" s="3" t="s">
        <v>143</v>
      </c>
      <c r="Q427" s="3" t="s">
        <v>491</v>
      </c>
      <c r="R427" s="3">
        <v>0</v>
      </c>
      <c r="S427" s="3">
        <v>0</v>
      </c>
      <c r="T427" s="3" t="s">
        <v>31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 t="s">
        <v>63</v>
      </c>
      <c r="AA427" s="3" t="s">
        <v>148</v>
      </c>
      <c r="AB427" s="3" t="s">
        <v>78</v>
      </c>
      <c r="AC427" s="3" t="s">
        <v>66</v>
      </c>
    </row>
    <row r="428" spans="1:29" x14ac:dyDescent="0.3">
      <c r="A428" s="3">
        <v>386.1</v>
      </c>
      <c r="B428" s="3" t="s">
        <v>377</v>
      </c>
      <c r="C428" s="3" t="s">
        <v>310</v>
      </c>
      <c r="D428" s="3" t="s">
        <v>31</v>
      </c>
      <c r="E428" s="3" t="s">
        <v>32</v>
      </c>
      <c r="F428" s="5">
        <v>44926</v>
      </c>
      <c r="G428" s="3">
        <v>2022</v>
      </c>
      <c r="H428" s="3" t="s">
        <v>44</v>
      </c>
      <c r="I428" s="3" t="s">
        <v>45</v>
      </c>
      <c r="J428" s="3"/>
      <c r="K428" s="3">
        <f>894406923/1000000</f>
        <v>894.40692300000001</v>
      </c>
      <c r="L428" s="3">
        <f>894406923/1000000</f>
        <v>894.40692300000001</v>
      </c>
      <c r="M428" s="3">
        <f>+L428/K428</f>
        <v>1</v>
      </c>
      <c r="N428" s="3">
        <f t="shared" si="86"/>
        <v>1</v>
      </c>
      <c r="O428" s="3" t="s">
        <v>143</v>
      </c>
      <c r="P428" s="3" t="s">
        <v>143</v>
      </c>
      <c r="Q428" s="3" t="s">
        <v>491</v>
      </c>
      <c r="R428" s="3">
        <v>0</v>
      </c>
      <c r="S428" s="3">
        <v>0</v>
      </c>
      <c r="T428" s="3" t="s">
        <v>443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 t="s">
        <v>63</v>
      </c>
      <c r="AA428" s="3" t="s">
        <v>148</v>
      </c>
      <c r="AB428" s="3" t="s">
        <v>78</v>
      </c>
      <c r="AC428" s="3" t="s">
        <v>66</v>
      </c>
    </row>
    <row r="429" spans="1:29" x14ac:dyDescent="0.3">
      <c r="A429" s="3">
        <v>386.1</v>
      </c>
      <c r="B429" s="3" t="s">
        <v>377</v>
      </c>
      <c r="C429" s="3" t="s">
        <v>310</v>
      </c>
      <c r="D429" s="3" t="s">
        <v>31</v>
      </c>
      <c r="E429" s="3" t="s">
        <v>32</v>
      </c>
      <c r="F429" s="5">
        <v>45291</v>
      </c>
      <c r="G429" s="3">
        <v>2023</v>
      </c>
      <c r="H429" s="3" t="s">
        <v>44</v>
      </c>
      <c r="I429" s="3" t="s">
        <v>49</v>
      </c>
      <c r="J429" s="3">
        <v>2</v>
      </c>
      <c r="K429" s="3">
        <v>1357.778</v>
      </c>
      <c r="L429" s="3">
        <f>3779928348/1000000</f>
        <v>3779.9283479999999</v>
      </c>
      <c r="M429" s="3">
        <f>IF(+L429/K429&gt;1.3,1.3,L429/K429)</f>
        <v>1.3</v>
      </c>
      <c r="N429" s="3">
        <f t="shared" si="86"/>
        <v>2.7839074929774967</v>
      </c>
      <c r="O429" s="3" t="s">
        <v>143</v>
      </c>
      <c r="P429" s="3" t="s">
        <v>143</v>
      </c>
      <c r="Q429" s="3" t="s">
        <v>379</v>
      </c>
      <c r="R429" s="3">
        <v>0</v>
      </c>
      <c r="S429" s="3">
        <v>0</v>
      </c>
      <c r="T429" s="3" t="s">
        <v>31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</row>
    <row r="430" spans="1:29" x14ac:dyDescent="0.3">
      <c r="A430" s="3">
        <v>386.1</v>
      </c>
      <c r="B430" s="3" t="s">
        <v>377</v>
      </c>
      <c r="C430" s="3" t="s">
        <v>310</v>
      </c>
      <c r="D430" s="3" t="s">
        <v>31</v>
      </c>
      <c r="E430" s="3" t="s">
        <v>32</v>
      </c>
      <c r="F430" s="5">
        <v>45291</v>
      </c>
      <c r="G430" s="3">
        <v>2023</v>
      </c>
      <c r="H430" s="3" t="s">
        <v>44</v>
      </c>
      <c r="I430" s="3" t="s">
        <v>49</v>
      </c>
      <c r="J430" s="3"/>
      <c r="K430" s="3">
        <v>1357.778</v>
      </c>
      <c r="L430" s="3">
        <f>3779928348/1000000</f>
        <v>3779.9283479999999</v>
      </c>
      <c r="M430" s="3">
        <f t="shared" ref="M430:M433" si="87">IF(+L430/K430&gt;1.3,1.3,L430/K430)</f>
        <v>1.3</v>
      </c>
      <c r="N430" s="3">
        <f t="shared" si="86"/>
        <v>2.7839074929774967</v>
      </c>
      <c r="O430" s="3" t="s">
        <v>143</v>
      </c>
      <c r="P430" s="3" t="s">
        <v>143</v>
      </c>
      <c r="Q430" s="3" t="s">
        <v>379</v>
      </c>
      <c r="R430" s="3">
        <v>0</v>
      </c>
      <c r="S430" s="3">
        <v>0</v>
      </c>
      <c r="T430" s="3" t="s">
        <v>443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</row>
    <row r="431" spans="1:29" x14ac:dyDescent="0.3">
      <c r="A431" s="3">
        <v>386.1</v>
      </c>
      <c r="B431" s="3" t="s">
        <v>377</v>
      </c>
      <c r="C431" s="3" t="s">
        <v>310</v>
      </c>
      <c r="D431" s="3" t="s">
        <v>31</v>
      </c>
      <c r="E431" s="3" t="s">
        <v>32</v>
      </c>
      <c r="F431" s="5">
        <v>45657</v>
      </c>
      <c r="G431" s="3">
        <v>2024</v>
      </c>
      <c r="H431" s="3" t="s">
        <v>44</v>
      </c>
      <c r="I431" s="3" t="s">
        <v>53</v>
      </c>
      <c r="J431" s="3">
        <v>2</v>
      </c>
      <c r="K431" s="3">
        <v>3424.2073961999995</v>
      </c>
      <c r="L431" s="3">
        <v>4694.2130900000002</v>
      </c>
      <c r="M431" s="3">
        <f t="shared" si="87"/>
        <v>1.3</v>
      </c>
      <c r="N431" s="3">
        <f t="shared" si="86"/>
        <v>1.3708904125402521</v>
      </c>
      <c r="O431" s="3" t="s">
        <v>143</v>
      </c>
      <c r="P431" s="3" t="s">
        <v>143</v>
      </c>
      <c r="Q431" s="3" t="s">
        <v>381</v>
      </c>
      <c r="R431" s="3">
        <v>0</v>
      </c>
      <c r="S431" s="3">
        <v>0</v>
      </c>
      <c r="T431" s="3" t="s">
        <v>31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</row>
    <row r="432" spans="1:29" x14ac:dyDescent="0.3">
      <c r="A432" s="3">
        <v>386.1</v>
      </c>
      <c r="B432" s="3" t="s">
        <v>377</v>
      </c>
      <c r="C432" s="3" t="s">
        <v>310</v>
      </c>
      <c r="D432" s="3" t="s">
        <v>31</v>
      </c>
      <c r="E432" s="3" t="s">
        <v>32</v>
      </c>
      <c r="F432" s="5">
        <v>45657</v>
      </c>
      <c r="G432" s="3">
        <v>2024</v>
      </c>
      <c r="H432" s="3" t="s">
        <v>44</v>
      </c>
      <c r="I432" s="3" t="s">
        <v>53</v>
      </c>
      <c r="J432" s="3"/>
      <c r="K432" s="3">
        <v>3424.2073961999995</v>
      </c>
      <c r="L432" s="3">
        <v>4694.2130900000002</v>
      </c>
      <c r="M432" s="3">
        <f t="shared" si="87"/>
        <v>1.3</v>
      </c>
      <c r="N432" s="3">
        <f t="shared" si="86"/>
        <v>1.3708904125402521</v>
      </c>
      <c r="O432" s="3" t="s">
        <v>143</v>
      </c>
      <c r="P432" s="3" t="s">
        <v>143</v>
      </c>
      <c r="Q432" s="3" t="s">
        <v>381</v>
      </c>
      <c r="R432" s="3">
        <v>0</v>
      </c>
      <c r="S432" s="3">
        <v>0</v>
      </c>
      <c r="T432" s="3" t="s">
        <v>443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</row>
    <row r="433" spans="1:29" x14ac:dyDescent="0.3">
      <c r="A433" s="3">
        <v>386.1</v>
      </c>
      <c r="B433" s="3" t="s">
        <v>377</v>
      </c>
      <c r="C433" s="3" t="s">
        <v>310</v>
      </c>
      <c r="D433" s="3" t="s">
        <v>31</v>
      </c>
      <c r="E433" s="3" t="s">
        <v>32</v>
      </c>
      <c r="F433" s="5">
        <v>46022</v>
      </c>
      <c r="G433" s="3">
        <v>2025</v>
      </c>
      <c r="H433" s="3" t="s">
        <v>44</v>
      </c>
      <c r="I433" s="3" t="s">
        <v>465</v>
      </c>
      <c r="J433" s="3">
        <v>2</v>
      </c>
      <c r="K433" s="3">
        <f>4332800610/1000000</f>
        <v>4332.8006100000002</v>
      </c>
      <c r="L433" s="3">
        <f>4700694763/1000000</f>
        <v>4700.6947630000004</v>
      </c>
      <c r="M433" s="3">
        <f t="shared" si="87"/>
        <v>1.0849090890891468</v>
      </c>
      <c r="N433" s="3">
        <f t="shared" si="86"/>
        <v>1.0849090890891468</v>
      </c>
      <c r="O433" s="3" t="s">
        <v>143</v>
      </c>
      <c r="P433" s="3" t="s">
        <v>143</v>
      </c>
      <c r="Q433" s="3" t="s">
        <v>490</v>
      </c>
      <c r="R433" s="3">
        <v>0</v>
      </c>
      <c r="S433" s="3">
        <v>0</v>
      </c>
      <c r="T433" s="3" t="s">
        <v>31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/>
      <c r="AA433" s="3"/>
      <c r="AB433" s="3" t="s">
        <v>78</v>
      </c>
      <c r="AC433" s="3" t="s">
        <v>66</v>
      </c>
    </row>
    <row r="434" spans="1:29" x14ac:dyDescent="0.3">
      <c r="A434" s="3">
        <v>386.2</v>
      </c>
      <c r="B434" s="3" t="s">
        <v>382</v>
      </c>
      <c r="C434" s="3" t="s">
        <v>310</v>
      </c>
      <c r="D434" s="3" t="s">
        <v>31</v>
      </c>
      <c r="E434" s="3" t="s">
        <v>32</v>
      </c>
      <c r="F434" s="5">
        <v>44926</v>
      </c>
      <c r="G434" s="3">
        <f>YEAR(F434)</f>
        <v>2022</v>
      </c>
      <c r="H434" s="3" t="s">
        <v>44</v>
      </c>
      <c r="I434" s="3" t="s">
        <v>45</v>
      </c>
      <c r="J434" s="3">
        <v>2</v>
      </c>
      <c r="K434" s="3">
        <f>5335242827/1000000</f>
        <v>5335.242827</v>
      </c>
      <c r="L434" s="3">
        <f>5335242827/1000000</f>
        <v>5335.242827</v>
      </c>
      <c r="M434" s="3">
        <f>L434/K434</f>
        <v>1</v>
      </c>
      <c r="N434" s="3">
        <f>L434/K434</f>
        <v>1</v>
      </c>
      <c r="O434" s="3" t="s">
        <v>143</v>
      </c>
      <c r="P434" s="3" t="s">
        <v>143</v>
      </c>
      <c r="Q434" s="3" t="s">
        <v>384</v>
      </c>
      <c r="R434" s="3">
        <v>0</v>
      </c>
      <c r="S434" s="3">
        <v>0</v>
      </c>
      <c r="T434" s="3" t="s">
        <v>31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 t="s">
        <v>63</v>
      </c>
      <c r="AA434" s="3" t="s">
        <v>148</v>
      </c>
      <c r="AB434" s="3" t="s">
        <v>78</v>
      </c>
      <c r="AC434" s="3" t="s">
        <v>66</v>
      </c>
    </row>
    <row r="435" spans="1:29" x14ac:dyDescent="0.3">
      <c r="A435" s="3">
        <v>386.2</v>
      </c>
      <c r="B435" s="3" t="s">
        <v>382</v>
      </c>
      <c r="C435" s="3" t="s">
        <v>310</v>
      </c>
      <c r="D435" s="3" t="s">
        <v>31</v>
      </c>
      <c r="E435" s="3" t="s">
        <v>32</v>
      </c>
      <c r="F435" s="5">
        <v>44926</v>
      </c>
      <c r="G435" s="3">
        <f>YEAR(F435)</f>
        <v>2022</v>
      </c>
      <c r="H435" s="3" t="s">
        <v>44</v>
      </c>
      <c r="I435" s="3" t="s">
        <v>45</v>
      </c>
      <c r="J435" s="3"/>
      <c r="K435" s="3">
        <f>5335242827/1000000</f>
        <v>5335.242827</v>
      </c>
      <c r="L435" s="3">
        <f>5335242827/1000000</f>
        <v>5335.242827</v>
      </c>
      <c r="M435" s="3">
        <f>L435/K435</f>
        <v>1</v>
      </c>
      <c r="N435" s="3">
        <f t="shared" ref="N435:N441" si="88">L435/K435</f>
        <v>1</v>
      </c>
      <c r="O435" s="3" t="s">
        <v>143</v>
      </c>
      <c r="P435" s="3" t="s">
        <v>143</v>
      </c>
      <c r="Q435" s="3" t="s">
        <v>384</v>
      </c>
      <c r="R435" s="3">
        <v>0</v>
      </c>
      <c r="S435" s="3">
        <v>0</v>
      </c>
      <c r="T435" s="3" t="s">
        <v>443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 t="s">
        <v>63</v>
      </c>
      <c r="AA435" s="3" t="s">
        <v>148</v>
      </c>
      <c r="AB435" s="3" t="s">
        <v>78</v>
      </c>
      <c r="AC435" s="3" t="s">
        <v>66</v>
      </c>
    </row>
    <row r="436" spans="1:29" x14ac:dyDescent="0.3">
      <c r="A436" s="3">
        <v>386.2</v>
      </c>
      <c r="B436" s="3" t="s">
        <v>382</v>
      </c>
      <c r="C436" s="3" t="s">
        <v>310</v>
      </c>
      <c r="D436" s="3" t="s">
        <v>31</v>
      </c>
      <c r="E436" s="3" t="s">
        <v>32</v>
      </c>
      <c r="F436" s="5">
        <v>45291</v>
      </c>
      <c r="G436" s="3">
        <v>2023</v>
      </c>
      <c r="H436" s="3" t="s">
        <v>44</v>
      </c>
      <c r="I436" s="3" t="s">
        <v>49</v>
      </c>
      <c r="J436" s="3">
        <v>2</v>
      </c>
      <c r="K436" s="3">
        <v>7082.0029999999988</v>
      </c>
      <c r="L436" s="3">
        <f>9868418317/1000000</f>
        <v>9868.4183169999997</v>
      </c>
      <c r="M436" s="3">
        <f t="shared" ref="M436:M441" si="89">L436/K436</f>
        <v>1.393450174618678</v>
      </c>
      <c r="N436" s="3">
        <f t="shared" si="88"/>
        <v>1.393450174618678</v>
      </c>
      <c r="O436" s="3" t="s">
        <v>143</v>
      </c>
      <c r="P436" s="3" t="s">
        <v>143</v>
      </c>
      <c r="Q436" s="3" t="s">
        <v>384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</row>
    <row r="437" spans="1:29" x14ac:dyDescent="0.3">
      <c r="A437" s="3">
        <v>386.2</v>
      </c>
      <c r="B437" s="3" t="s">
        <v>382</v>
      </c>
      <c r="C437" s="3" t="s">
        <v>310</v>
      </c>
      <c r="D437" s="3" t="s">
        <v>31</v>
      </c>
      <c r="E437" s="3" t="s">
        <v>32</v>
      </c>
      <c r="F437" s="5">
        <v>45291</v>
      </c>
      <c r="G437" s="3">
        <v>2023</v>
      </c>
      <c r="H437" s="3" t="s">
        <v>44</v>
      </c>
      <c r="I437" s="3" t="s">
        <v>49</v>
      </c>
      <c r="J437" s="3"/>
      <c r="K437" s="3">
        <v>7082.0029999999988</v>
      </c>
      <c r="L437" s="3">
        <f>9868418317/1000000</f>
        <v>9868.4183169999997</v>
      </c>
      <c r="M437" s="3">
        <f t="shared" si="89"/>
        <v>1.393450174618678</v>
      </c>
      <c r="N437" s="3">
        <f t="shared" si="88"/>
        <v>1.393450174618678</v>
      </c>
      <c r="O437" s="3" t="s">
        <v>143</v>
      </c>
      <c r="P437" s="3" t="s">
        <v>143</v>
      </c>
      <c r="Q437" s="3" t="s">
        <v>384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</row>
    <row r="438" spans="1:29" x14ac:dyDescent="0.3">
      <c r="A438" s="3">
        <v>386.2</v>
      </c>
      <c r="B438" s="3" t="s">
        <v>382</v>
      </c>
      <c r="C438" s="3" t="s">
        <v>310</v>
      </c>
      <c r="D438" s="3" t="s">
        <v>31</v>
      </c>
      <c r="E438" s="3" t="s">
        <v>32</v>
      </c>
      <c r="F438" s="5">
        <v>45657</v>
      </c>
      <c r="G438" s="3">
        <v>2024</v>
      </c>
      <c r="H438" s="3" t="s">
        <v>44</v>
      </c>
      <c r="I438" s="3" t="s">
        <v>53</v>
      </c>
      <c r="J438" s="3">
        <v>2</v>
      </c>
      <c r="K438" s="3">
        <v>7711.1257611000001</v>
      </c>
      <c r="L438" s="3">
        <v>4170.686009</v>
      </c>
      <c r="M438" s="3">
        <f t="shared" si="89"/>
        <v>0.54086603411912804</v>
      </c>
      <c r="N438" s="3">
        <f t="shared" si="88"/>
        <v>0.54086603411912804</v>
      </c>
      <c r="O438" s="3" t="s">
        <v>143</v>
      </c>
      <c r="P438" s="3" t="s">
        <v>143</v>
      </c>
      <c r="Q438" s="3" t="s">
        <v>386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</row>
    <row r="439" spans="1:29" x14ac:dyDescent="0.3">
      <c r="A439" s="3">
        <v>386.2</v>
      </c>
      <c r="B439" s="3" t="s">
        <v>382</v>
      </c>
      <c r="C439" s="3" t="s">
        <v>310</v>
      </c>
      <c r="D439" s="3" t="s">
        <v>31</v>
      </c>
      <c r="E439" s="3" t="s">
        <v>32</v>
      </c>
      <c r="F439" s="5">
        <v>45657</v>
      </c>
      <c r="G439" s="3">
        <v>2024</v>
      </c>
      <c r="H439" s="3" t="s">
        <v>44</v>
      </c>
      <c r="I439" s="3" t="s">
        <v>53</v>
      </c>
      <c r="J439" s="3"/>
      <c r="K439" s="3">
        <v>7711.1257611000001</v>
      </c>
      <c r="L439" s="3">
        <v>4170.686009</v>
      </c>
      <c r="M439" s="3">
        <f t="shared" si="89"/>
        <v>0.54086603411912804</v>
      </c>
      <c r="N439" s="3">
        <f t="shared" si="88"/>
        <v>0.54086603411912804</v>
      </c>
      <c r="O439" s="3" t="s">
        <v>143</v>
      </c>
      <c r="P439" s="3" t="s">
        <v>143</v>
      </c>
      <c r="Q439" s="3" t="s">
        <v>386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</row>
    <row r="440" spans="1:29" x14ac:dyDescent="0.3">
      <c r="A440" s="3">
        <v>386.2</v>
      </c>
      <c r="B440" s="3" t="s">
        <v>382</v>
      </c>
      <c r="C440" s="3" t="s">
        <v>310</v>
      </c>
      <c r="D440" s="3" t="s">
        <v>31</v>
      </c>
      <c r="E440" s="3" t="s">
        <v>32</v>
      </c>
      <c r="F440" s="5">
        <v>46022</v>
      </c>
      <c r="G440" s="3">
        <v>2025</v>
      </c>
      <c r="H440" s="3" t="s">
        <v>44</v>
      </c>
      <c r="I440" s="3" t="s">
        <v>465</v>
      </c>
      <c r="J440" s="3">
        <v>2</v>
      </c>
      <c r="K440" s="3">
        <f>7446830696/1000000</f>
        <v>7446.830696</v>
      </c>
      <c r="L440" s="3">
        <f>7473892508/1000000</f>
        <v>7473.8925079999999</v>
      </c>
      <c r="M440" s="3">
        <f t="shared" si="89"/>
        <v>1.0036340039279443</v>
      </c>
      <c r="N440" s="3">
        <f t="shared" si="88"/>
        <v>1.0036340039279443</v>
      </c>
      <c r="O440" s="3" t="s">
        <v>143</v>
      </c>
      <c r="P440" s="3" t="s">
        <v>143</v>
      </c>
      <c r="Q440" s="3" t="s">
        <v>489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/>
      <c r="AA440" s="3"/>
      <c r="AB440" s="3" t="s">
        <v>78</v>
      </c>
      <c r="AC440" s="3" t="s">
        <v>66</v>
      </c>
    </row>
    <row r="441" spans="1:29" x14ac:dyDescent="0.3">
      <c r="A441" s="3">
        <v>386.2</v>
      </c>
      <c r="B441" s="3" t="s">
        <v>382</v>
      </c>
      <c r="C441" s="3" t="s">
        <v>310</v>
      </c>
      <c r="D441" s="3" t="s">
        <v>31</v>
      </c>
      <c r="E441" s="3" t="s">
        <v>32</v>
      </c>
      <c r="F441" s="5">
        <v>46022</v>
      </c>
      <c r="G441" s="3">
        <v>2025</v>
      </c>
      <c r="H441" s="3" t="s">
        <v>44</v>
      </c>
      <c r="I441" s="3" t="s">
        <v>465</v>
      </c>
      <c r="J441" s="3"/>
      <c r="K441" s="3">
        <f>7446830696/1000000</f>
        <v>7446.830696</v>
      </c>
      <c r="L441" s="3">
        <f>7473892508/1000000</f>
        <v>7473.8925079999999</v>
      </c>
      <c r="M441" s="3">
        <f t="shared" si="89"/>
        <v>1.0036340039279443</v>
      </c>
      <c r="N441" s="3">
        <f t="shared" si="88"/>
        <v>1.0036340039279443</v>
      </c>
      <c r="O441" s="3" t="s">
        <v>143</v>
      </c>
      <c r="P441" s="3" t="s">
        <v>143</v>
      </c>
      <c r="Q441" s="3" t="s">
        <v>489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/>
      <c r="AA441" s="3"/>
      <c r="AB441" s="3" t="s">
        <v>78</v>
      </c>
      <c r="AC441" s="3" t="s">
        <v>66</v>
      </c>
    </row>
    <row r="442" spans="1:29" x14ac:dyDescent="0.3">
      <c r="A442" s="3">
        <v>386.3</v>
      </c>
      <c r="B442" s="3" t="s">
        <v>387</v>
      </c>
      <c r="C442" s="3" t="s">
        <v>310</v>
      </c>
      <c r="D442" s="3" t="s">
        <v>31</v>
      </c>
      <c r="E442" s="3" t="s">
        <v>32</v>
      </c>
      <c r="F442" s="5">
        <v>44926</v>
      </c>
      <c r="G442" s="3">
        <v>2022</v>
      </c>
      <c r="H442" s="3" t="s">
        <v>44</v>
      </c>
      <c r="I442" s="3" t="s">
        <v>45</v>
      </c>
      <c r="J442" s="3">
        <v>2</v>
      </c>
      <c r="K442" s="3">
        <f>3805662141/1000000</f>
        <v>3805.6621409999998</v>
      </c>
      <c r="L442" s="3">
        <f>3805662141/1000000</f>
        <v>3805.6621409999998</v>
      </c>
      <c r="M442" s="3">
        <f>IF(L442/K442&gt;1.3,1.3,L442/K442)</f>
        <v>1</v>
      </c>
      <c r="N442" s="3">
        <f>L442/K442</f>
        <v>1</v>
      </c>
      <c r="O442" s="3" t="s">
        <v>143</v>
      </c>
      <c r="P442" s="3" t="s">
        <v>143</v>
      </c>
      <c r="Q442" s="3" t="s">
        <v>493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 t="s">
        <v>63</v>
      </c>
      <c r="AA442" s="3" t="s">
        <v>148</v>
      </c>
      <c r="AB442" s="3" t="s">
        <v>78</v>
      </c>
      <c r="AC442" s="3" t="s">
        <v>66</v>
      </c>
    </row>
    <row r="443" spans="1:29" x14ac:dyDescent="0.3">
      <c r="A443" s="3">
        <v>386.3</v>
      </c>
      <c r="B443" s="3" t="s">
        <v>387</v>
      </c>
      <c r="C443" s="3" t="s">
        <v>310</v>
      </c>
      <c r="D443" s="3" t="s">
        <v>31</v>
      </c>
      <c r="E443" s="3" t="s">
        <v>32</v>
      </c>
      <c r="F443" s="5">
        <v>44926</v>
      </c>
      <c r="G443" s="3">
        <v>2022</v>
      </c>
      <c r="H443" s="3" t="s">
        <v>44</v>
      </c>
      <c r="I443" s="3" t="s">
        <v>45</v>
      </c>
      <c r="J443" s="3"/>
      <c r="K443" s="3">
        <f>3805662141/1000000</f>
        <v>3805.6621409999998</v>
      </c>
      <c r="L443" s="3">
        <f>3805662141/1000000</f>
        <v>3805.6621409999998</v>
      </c>
      <c r="M443" s="3">
        <f t="shared" ref="M443:M449" si="90">IF(L443/K443&gt;1.3,1.3,L443/K443)</f>
        <v>1</v>
      </c>
      <c r="N443" s="3">
        <f t="shared" ref="N443:N449" si="91">L443/K443</f>
        <v>1</v>
      </c>
      <c r="O443" s="3" t="s">
        <v>143</v>
      </c>
      <c r="P443" s="3" t="s">
        <v>143</v>
      </c>
      <c r="Q443" s="3" t="s">
        <v>493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 t="s">
        <v>63</v>
      </c>
      <c r="AA443" s="3" t="s">
        <v>148</v>
      </c>
      <c r="AB443" s="3" t="s">
        <v>78</v>
      </c>
      <c r="AC443" s="3" t="s">
        <v>66</v>
      </c>
    </row>
    <row r="444" spans="1:29" x14ac:dyDescent="0.3">
      <c r="A444" s="3">
        <v>386.3</v>
      </c>
      <c r="B444" s="3" t="s">
        <v>387</v>
      </c>
      <c r="C444" s="3" t="s">
        <v>310</v>
      </c>
      <c r="D444" s="3" t="s">
        <v>31</v>
      </c>
      <c r="E444" s="3" t="s">
        <v>32</v>
      </c>
      <c r="F444" s="5">
        <v>45291</v>
      </c>
      <c r="G444" s="3">
        <v>2023</v>
      </c>
      <c r="H444" s="3" t="s">
        <v>44</v>
      </c>
      <c r="I444" s="3" t="s">
        <v>49</v>
      </c>
      <c r="J444" s="3">
        <v>2</v>
      </c>
      <c r="K444" s="3">
        <v>5657.94</v>
      </c>
      <c r="L444" s="3">
        <f>4048733862/1000000</f>
        <v>4048.733862</v>
      </c>
      <c r="M444" s="3">
        <f t="shared" si="90"/>
        <v>0.71558444628256934</v>
      </c>
      <c r="N444" s="3">
        <f t="shared" si="91"/>
        <v>0.71558444628256934</v>
      </c>
      <c r="O444" s="3" t="s">
        <v>143</v>
      </c>
      <c r="P444" s="3" t="s">
        <v>143</v>
      </c>
      <c r="Q444" s="3" t="s">
        <v>389</v>
      </c>
      <c r="R444" s="3">
        <v>0</v>
      </c>
      <c r="S444" s="3">
        <v>0</v>
      </c>
      <c r="T444" s="3" t="s">
        <v>31</v>
      </c>
      <c r="U444" s="3" t="s">
        <v>37</v>
      </c>
      <c r="V444" s="3" t="s">
        <v>310</v>
      </c>
      <c r="W444" s="3" t="s">
        <v>312</v>
      </c>
      <c r="X444" s="3" t="s">
        <v>313</v>
      </c>
      <c r="Y444" s="3" t="s">
        <v>314</v>
      </c>
      <c r="Z444" s="3" t="s">
        <v>63</v>
      </c>
      <c r="AA444" s="3" t="s">
        <v>148</v>
      </c>
      <c r="AB444" s="3" t="s">
        <v>78</v>
      </c>
      <c r="AC444" s="3" t="s">
        <v>66</v>
      </c>
    </row>
    <row r="445" spans="1:29" x14ac:dyDescent="0.3">
      <c r="A445" s="3">
        <v>386.3</v>
      </c>
      <c r="B445" s="3" t="s">
        <v>387</v>
      </c>
      <c r="C445" s="3" t="s">
        <v>310</v>
      </c>
      <c r="D445" s="3" t="s">
        <v>31</v>
      </c>
      <c r="E445" s="3" t="s">
        <v>32</v>
      </c>
      <c r="F445" s="5">
        <v>45291</v>
      </c>
      <c r="G445" s="3">
        <v>2023</v>
      </c>
      <c r="H445" s="3" t="s">
        <v>44</v>
      </c>
      <c r="I445" s="3" t="s">
        <v>49</v>
      </c>
      <c r="J445" s="3"/>
      <c r="K445" s="3">
        <v>5657.94</v>
      </c>
      <c r="L445" s="3">
        <f>4048733862/1000000</f>
        <v>4048.733862</v>
      </c>
      <c r="M445" s="3">
        <f t="shared" si="90"/>
        <v>0.71558444628256934</v>
      </c>
      <c r="N445" s="3">
        <f t="shared" si="91"/>
        <v>0.71558444628256934</v>
      </c>
      <c r="O445" s="3" t="s">
        <v>143</v>
      </c>
      <c r="P445" s="3" t="s">
        <v>143</v>
      </c>
      <c r="Q445" s="3" t="s">
        <v>389</v>
      </c>
      <c r="R445" s="3">
        <v>0</v>
      </c>
      <c r="S445" s="3">
        <v>0</v>
      </c>
      <c r="T445" s="3" t="s">
        <v>443</v>
      </c>
      <c r="U445" s="3" t="s">
        <v>37</v>
      </c>
      <c r="V445" s="3" t="s">
        <v>310</v>
      </c>
      <c r="W445" s="3" t="s">
        <v>312</v>
      </c>
      <c r="X445" s="3" t="s">
        <v>313</v>
      </c>
      <c r="Y445" s="3" t="s">
        <v>314</v>
      </c>
      <c r="Z445" s="3" t="s">
        <v>63</v>
      </c>
      <c r="AA445" s="3" t="s">
        <v>148</v>
      </c>
      <c r="AB445" s="3" t="s">
        <v>78</v>
      </c>
      <c r="AC445" s="3" t="s">
        <v>66</v>
      </c>
    </row>
    <row r="446" spans="1:29" x14ac:dyDescent="0.3">
      <c r="A446" s="3">
        <v>386.3</v>
      </c>
      <c r="B446" s="3" t="s">
        <v>387</v>
      </c>
      <c r="C446" s="3" t="s">
        <v>310</v>
      </c>
      <c r="D446" s="3" t="s">
        <v>31</v>
      </c>
      <c r="E446" s="3" t="s">
        <v>32</v>
      </c>
      <c r="F446" s="5">
        <v>45657</v>
      </c>
      <c r="G446" s="3">
        <v>2024</v>
      </c>
      <c r="H446" s="3" t="s">
        <v>44</v>
      </c>
      <c r="I446" s="3" t="s">
        <v>53</v>
      </c>
      <c r="J446" s="3">
        <v>2</v>
      </c>
      <c r="K446" s="3">
        <v>4372.1599426999992</v>
      </c>
      <c r="L446" s="3">
        <v>4378.2397499999997</v>
      </c>
      <c r="M446" s="3">
        <f t="shared" si="90"/>
        <v>1.0013905729387031</v>
      </c>
      <c r="N446" s="3">
        <f t="shared" si="91"/>
        <v>1.0013905729387031</v>
      </c>
      <c r="O446" s="3" t="s">
        <v>143</v>
      </c>
      <c r="P446" s="3" t="s">
        <v>143</v>
      </c>
      <c r="Q446" s="3" t="s">
        <v>391</v>
      </c>
      <c r="R446" s="3">
        <v>0</v>
      </c>
      <c r="S446" s="3">
        <v>0</v>
      </c>
      <c r="T446" s="3" t="s">
        <v>31</v>
      </c>
      <c r="U446" s="3" t="s">
        <v>37</v>
      </c>
      <c r="V446" s="3" t="s">
        <v>310</v>
      </c>
      <c r="W446" s="3" t="s">
        <v>312</v>
      </c>
      <c r="X446" s="3" t="s">
        <v>313</v>
      </c>
      <c r="Y446" s="3" t="s">
        <v>314</v>
      </c>
      <c r="Z446" s="3" t="s">
        <v>63</v>
      </c>
      <c r="AA446" s="3" t="s">
        <v>148</v>
      </c>
      <c r="AB446" s="3" t="s">
        <v>78</v>
      </c>
      <c r="AC446" s="3" t="s">
        <v>66</v>
      </c>
    </row>
    <row r="447" spans="1:29" x14ac:dyDescent="0.3">
      <c r="A447" s="3">
        <v>386.3</v>
      </c>
      <c r="B447" s="3" t="s">
        <v>387</v>
      </c>
      <c r="C447" s="3" t="s">
        <v>310</v>
      </c>
      <c r="D447" s="3" t="s">
        <v>31</v>
      </c>
      <c r="E447" s="3" t="s">
        <v>32</v>
      </c>
      <c r="F447" s="5">
        <v>45657</v>
      </c>
      <c r="G447" s="3">
        <v>2024</v>
      </c>
      <c r="H447" s="3" t="s">
        <v>44</v>
      </c>
      <c r="I447" s="3" t="s">
        <v>53</v>
      </c>
      <c r="J447" s="3"/>
      <c r="K447" s="3">
        <v>4372.1599426999992</v>
      </c>
      <c r="L447" s="3">
        <v>4378.2397499999997</v>
      </c>
      <c r="M447" s="3">
        <f t="shared" si="90"/>
        <v>1.0013905729387031</v>
      </c>
      <c r="N447" s="3">
        <f t="shared" si="91"/>
        <v>1.0013905729387031</v>
      </c>
      <c r="O447" s="3" t="s">
        <v>143</v>
      </c>
      <c r="P447" s="3" t="s">
        <v>143</v>
      </c>
      <c r="Q447" s="3" t="s">
        <v>391</v>
      </c>
      <c r="R447" s="3">
        <v>0</v>
      </c>
      <c r="S447" s="3">
        <v>0</v>
      </c>
      <c r="T447" s="3" t="s">
        <v>443</v>
      </c>
      <c r="U447" s="3" t="s">
        <v>37</v>
      </c>
      <c r="V447" s="3" t="s">
        <v>310</v>
      </c>
      <c r="W447" s="3" t="s">
        <v>312</v>
      </c>
      <c r="X447" s="3" t="s">
        <v>313</v>
      </c>
      <c r="Y447" s="3" t="s">
        <v>314</v>
      </c>
      <c r="Z447" s="3" t="s">
        <v>63</v>
      </c>
      <c r="AA447" s="3" t="s">
        <v>148</v>
      </c>
      <c r="AB447" s="3" t="s">
        <v>78</v>
      </c>
      <c r="AC447" s="3" t="s">
        <v>66</v>
      </c>
    </row>
    <row r="448" spans="1:29" x14ac:dyDescent="0.3">
      <c r="A448" s="3">
        <v>386.3</v>
      </c>
      <c r="B448" s="3" t="s">
        <v>387</v>
      </c>
      <c r="C448" s="3" t="s">
        <v>310</v>
      </c>
      <c r="D448" s="3" t="s">
        <v>31</v>
      </c>
      <c r="E448" s="3" t="s">
        <v>32</v>
      </c>
      <c r="F448" s="5">
        <v>46022</v>
      </c>
      <c r="G448" s="3">
        <v>2025</v>
      </c>
      <c r="H448" s="3" t="s">
        <v>44</v>
      </c>
      <c r="I448" s="3" t="s">
        <v>465</v>
      </c>
      <c r="J448" s="3">
        <v>2</v>
      </c>
      <c r="K448" s="3">
        <f>(5278611105+290168214)/1000000</f>
        <v>5568.7793190000002</v>
      </c>
      <c r="L448" s="3">
        <f>6395679750/1000000</f>
        <v>6395.6797500000002</v>
      </c>
      <c r="M448" s="3">
        <f t="shared" si="90"/>
        <v>1.1484886334386992</v>
      </c>
      <c r="N448" s="3">
        <f t="shared" si="91"/>
        <v>1.1484886334386992</v>
      </c>
      <c r="O448" s="3" t="s">
        <v>143</v>
      </c>
      <c r="P448" s="3" t="s">
        <v>143</v>
      </c>
      <c r="Q448" s="3" t="s">
        <v>492</v>
      </c>
      <c r="R448" s="3">
        <v>0</v>
      </c>
      <c r="S448" s="3">
        <v>0</v>
      </c>
      <c r="T448" s="3" t="s">
        <v>31</v>
      </c>
      <c r="U448" s="3" t="s">
        <v>37</v>
      </c>
      <c r="V448" s="3" t="s">
        <v>310</v>
      </c>
      <c r="W448" s="3" t="s">
        <v>312</v>
      </c>
      <c r="X448" s="3" t="s">
        <v>313</v>
      </c>
      <c r="Y448" s="3" t="s">
        <v>314</v>
      </c>
      <c r="Z448" s="3"/>
      <c r="AA448" s="3"/>
      <c r="AB448" s="3" t="s">
        <v>78</v>
      </c>
      <c r="AC448" s="3" t="s">
        <v>66</v>
      </c>
    </row>
    <row r="449" spans="1:29" x14ac:dyDescent="0.3">
      <c r="A449" s="3">
        <v>386.3</v>
      </c>
      <c r="B449" s="3" t="s">
        <v>387</v>
      </c>
      <c r="C449" s="3" t="s">
        <v>310</v>
      </c>
      <c r="D449" s="3" t="s">
        <v>31</v>
      </c>
      <c r="E449" s="3" t="s">
        <v>32</v>
      </c>
      <c r="F449" s="5">
        <v>46022</v>
      </c>
      <c r="G449" s="3">
        <v>2025</v>
      </c>
      <c r="H449" s="3" t="s">
        <v>44</v>
      </c>
      <c r="I449" s="3" t="s">
        <v>465</v>
      </c>
      <c r="J449" s="3"/>
      <c r="K449" s="3">
        <f>(5278611105+290168214)/1000000</f>
        <v>5568.7793190000002</v>
      </c>
      <c r="L449" s="3">
        <f>6395679750/1000000</f>
        <v>6395.6797500000002</v>
      </c>
      <c r="M449" s="3">
        <f t="shared" si="90"/>
        <v>1.1484886334386992</v>
      </c>
      <c r="N449" s="3">
        <f t="shared" si="91"/>
        <v>1.1484886334386992</v>
      </c>
      <c r="O449" s="3" t="s">
        <v>143</v>
      </c>
      <c r="P449" s="3" t="s">
        <v>143</v>
      </c>
      <c r="Q449" s="3" t="s">
        <v>492</v>
      </c>
      <c r="R449" s="3">
        <v>0</v>
      </c>
      <c r="S449" s="3">
        <v>0</v>
      </c>
      <c r="T449" s="3" t="s">
        <v>443</v>
      </c>
      <c r="U449" s="3" t="s">
        <v>37</v>
      </c>
      <c r="V449" s="3" t="s">
        <v>310</v>
      </c>
      <c r="W449" s="3" t="s">
        <v>312</v>
      </c>
      <c r="X449" s="3" t="s">
        <v>313</v>
      </c>
      <c r="Y449" s="3" t="s">
        <v>314</v>
      </c>
      <c r="Z449" s="3"/>
      <c r="AA449" s="3"/>
      <c r="AB449" s="3" t="s">
        <v>78</v>
      </c>
      <c r="AC449" s="3" t="s">
        <v>66</v>
      </c>
    </row>
    <row r="450" spans="1:29" x14ac:dyDescent="0.3">
      <c r="A450" s="3">
        <v>423</v>
      </c>
      <c r="B450" s="3" t="s">
        <v>320</v>
      </c>
      <c r="C450" s="3" t="s">
        <v>83</v>
      </c>
      <c r="D450" s="3" t="s">
        <v>66</v>
      </c>
      <c r="E450" s="3" t="s">
        <v>32</v>
      </c>
      <c r="F450" s="5">
        <v>44926</v>
      </c>
      <c r="G450" s="3">
        <v>2022</v>
      </c>
      <c r="H450" s="3" t="s">
        <v>44</v>
      </c>
      <c r="I450" s="3" t="s">
        <v>45</v>
      </c>
      <c r="J450" s="3">
        <v>2</v>
      </c>
      <c r="K450" s="3">
        <v>8.8000000000000007</v>
      </c>
      <c r="L450" s="3">
        <v>7.8</v>
      </c>
      <c r="M450" s="3">
        <f>+L450/K450</f>
        <v>0.88636363636363624</v>
      </c>
      <c r="N450" s="3">
        <f>+L450/K450</f>
        <v>0.88636363636363624</v>
      </c>
      <c r="O450" s="3" t="s">
        <v>245</v>
      </c>
      <c r="P450" s="3" t="s">
        <v>245</v>
      </c>
      <c r="Q450" s="3" t="s">
        <v>321</v>
      </c>
      <c r="R450" s="3">
        <v>1</v>
      </c>
      <c r="S450" s="3">
        <v>1</v>
      </c>
      <c r="T450" s="3" t="s">
        <v>31</v>
      </c>
      <c r="U450" s="3" t="s">
        <v>37</v>
      </c>
      <c r="V450" s="3" t="s">
        <v>83</v>
      </c>
      <c r="W450" s="3" t="s">
        <v>38</v>
      </c>
      <c r="X450" s="3" t="s">
        <v>39</v>
      </c>
      <c r="Y450" s="3" t="s">
        <v>322</v>
      </c>
      <c r="Z450" s="3" t="s">
        <v>274</v>
      </c>
      <c r="AA450" s="3" t="s">
        <v>275</v>
      </c>
      <c r="AB450" s="3" t="s">
        <v>43</v>
      </c>
      <c r="AC450" s="3" t="s">
        <v>66</v>
      </c>
    </row>
    <row r="451" spans="1:29" x14ac:dyDescent="0.3">
      <c r="A451" s="3">
        <v>423</v>
      </c>
      <c r="B451" s="3" t="s">
        <v>320</v>
      </c>
      <c r="C451" s="3" t="s">
        <v>83</v>
      </c>
      <c r="D451" s="3" t="s">
        <v>66</v>
      </c>
      <c r="E451" s="3" t="s">
        <v>32</v>
      </c>
      <c r="F451" s="5">
        <v>44926</v>
      </c>
      <c r="G451" s="3">
        <v>2022</v>
      </c>
      <c r="H451" s="3" t="s">
        <v>44</v>
      </c>
      <c r="I451" s="3" t="s">
        <v>45</v>
      </c>
      <c r="J451" s="3"/>
      <c r="K451" s="3">
        <v>8.8000000000000007</v>
      </c>
      <c r="L451" s="3">
        <v>7.8</v>
      </c>
      <c r="M451" s="3">
        <f t="shared" ref="M451:M456" si="92">+L451/K451</f>
        <v>0.88636363636363624</v>
      </c>
      <c r="N451" s="3">
        <f t="shared" ref="N451:N456" si="93">+L451/K451</f>
        <v>0.88636363636363624</v>
      </c>
      <c r="O451" s="3" t="s">
        <v>245</v>
      </c>
      <c r="P451" s="3" t="s">
        <v>245</v>
      </c>
      <c r="Q451" s="3" t="s">
        <v>321</v>
      </c>
      <c r="R451" s="3">
        <v>1</v>
      </c>
      <c r="S451" s="3">
        <v>1</v>
      </c>
      <c r="T451" s="3" t="s">
        <v>443</v>
      </c>
      <c r="U451" s="3" t="s">
        <v>37</v>
      </c>
      <c r="V451" s="3" t="s">
        <v>83</v>
      </c>
      <c r="W451" s="3" t="s">
        <v>38</v>
      </c>
      <c r="X451" s="3" t="s">
        <v>39</v>
      </c>
      <c r="Y451" s="3" t="s">
        <v>322</v>
      </c>
      <c r="Z451" s="3" t="s">
        <v>274</v>
      </c>
      <c r="AA451" s="3" t="s">
        <v>275</v>
      </c>
      <c r="AB451" s="3" t="s">
        <v>43</v>
      </c>
      <c r="AC451" s="3" t="s">
        <v>66</v>
      </c>
    </row>
    <row r="452" spans="1:29" x14ac:dyDescent="0.3">
      <c r="A452" s="3">
        <v>423</v>
      </c>
      <c r="B452" s="3" t="s">
        <v>320</v>
      </c>
      <c r="C452" s="3" t="s">
        <v>83</v>
      </c>
      <c r="D452" s="3" t="s">
        <v>66</v>
      </c>
      <c r="E452" s="3" t="s">
        <v>32</v>
      </c>
      <c r="F452" s="5">
        <v>45291</v>
      </c>
      <c r="G452" s="3">
        <v>2023</v>
      </c>
      <c r="H452" s="3" t="s">
        <v>44</v>
      </c>
      <c r="I452" s="3" t="s">
        <v>49</v>
      </c>
      <c r="J452" s="3">
        <v>2</v>
      </c>
      <c r="K452" s="3">
        <v>8.4</v>
      </c>
      <c r="L452" s="3">
        <v>7.9</v>
      </c>
      <c r="M452" s="3">
        <f t="shared" si="92"/>
        <v>0.94047619047619047</v>
      </c>
      <c r="N452" s="3">
        <f t="shared" si="93"/>
        <v>0.94047619047619047</v>
      </c>
      <c r="O452" s="3" t="s">
        <v>245</v>
      </c>
      <c r="P452" s="3" t="s">
        <v>245</v>
      </c>
      <c r="Q452" s="3" t="s">
        <v>323</v>
      </c>
      <c r="R452" s="3">
        <v>1</v>
      </c>
      <c r="S452" s="3">
        <v>1</v>
      </c>
      <c r="T452" s="3" t="s">
        <v>31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</row>
    <row r="453" spans="1:29" x14ac:dyDescent="0.3">
      <c r="A453" s="3">
        <v>423</v>
      </c>
      <c r="B453" s="3" t="s">
        <v>320</v>
      </c>
      <c r="C453" s="3" t="s">
        <v>83</v>
      </c>
      <c r="D453" s="3" t="s">
        <v>66</v>
      </c>
      <c r="E453" s="3" t="s">
        <v>32</v>
      </c>
      <c r="F453" s="5">
        <v>45291</v>
      </c>
      <c r="G453" s="3">
        <v>2023</v>
      </c>
      <c r="H453" s="3" t="s">
        <v>44</v>
      </c>
      <c r="I453" s="3" t="s">
        <v>49</v>
      </c>
      <c r="J453" s="3"/>
      <c r="K453" s="3">
        <v>8.4</v>
      </c>
      <c r="L453" s="3">
        <v>7.9</v>
      </c>
      <c r="M453" s="3">
        <f t="shared" si="92"/>
        <v>0.94047619047619047</v>
      </c>
      <c r="N453" s="3">
        <f t="shared" si="93"/>
        <v>0.94047619047619047</v>
      </c>
      <c r="O453" s="3" t="s">
        <v>245</v>
      </c>
      <c r="P453" s="3" t="s">
        <v>245</v>
      </c>
      <c r="Q453" s="3" t="s">
        <v>323</v>
      </c>
      <c r="R453" s="3">
        <v>1</v>
      </c>
      <c r="S453" s="3">
        <v>1</v>
      </c>
      <c r="T453" s="3" t="s">
        <v>443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</row>
    <row r="454" spans="1:29" x14ac:dyDescent="0.3">
      <c r="A454" s="3">
        <v>423</v>
      </c>
      <c r="B454" s="3" t="s">
        <v>320</v>
      </c>
      <c r="C454" s="3" t="s">
        <v>83</v>
      </c>
      <c r="D454" s="3" t="s">
        <v>66</v>
      </c>
      <c r="E454" s="3" t="s">
        <v>32</v>
      </c>
      <c r="F454" s="5">
        <v>45657</v>
      </c>
      <c r="G454" s="3">
        <v>2024</v>
      </c>
      <c r="H454" s="3" t="s">
        <v>44</v>
      </c>
      <c r="I454" s="3" t="s">
        <v>53</v>
      </c>
      <c r="J454" s="3">
        <v>2</v>
      </c>
      <c r="K454" s="3">
        <v>8.3000000000000007</v>
      </c>
      <c r="L454" s="3">
        <v>12.4</v>
      </c>
      <c r="M454" s="3">
        <f t="shared" si="92"/>
        <v>1.4939759036144578</v>
      </c>
      <c r="N454" s="3">
        <f t="shared" si="93"/>
        <v>1.4939759036144578</v>
      </c>
      <c r="O454" s="3" t="s">
        <v>245</v>
      </c>
      <c r="P454" s="3" t="s">
        <v>245</v>
      </c>
      <c r="Q454" s="3" t="s">
        <v>324</v>
      </c>
      <c r="R454" s="3">
        <v>1</v>
      </c>
      <c r="S454" s="3">
        <v>1</v>
      </c>
      <c r="T454" s="3" t="s">
        <v>31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</row>
    <row r="455" spans="1:29" x14ac:dyDescent="0.3">
      <c r="A455" s="3">
        <v>423</v>
      </c>
      <c r="B455" s="3" t="s">
        <v>320</v>
      </c>
      <c r="C455" s="3" t="s">
        <v>83</v>
      </c>
      <c r="D455" s="3" t="s">
        <v>66</v>
      </c>
      <c r="E455" s="3" t="s">
        <v>32</v>
      </c>
      <c r="F455" s="5">
        <v>45657</v>
      </c>
      <c r="G455" s="3">
        <v>2024</v>
      </c>
      <c r="H455" s="3" t="s">
        <v>44</v>
      </c>
      <c r="I455" s="3" t="s">
        <v>53</v>
      </c>
      <c r="J455" s="3"/>
      <c r="K455" s="3">
        <v>8.3000000000000007</v>
      </c>
      <c r="L455" s="3">
        <v>12.4</v>
      </c>
      <c r="M455" s="3">
        <f t="shared" si="92"/>
        <v>1.4939759036144578</v>
      </c>
      <c r="N455" s="3">
        <f t="shared" si="93"/>
        <v>1.4939759036144578</v>
      </c>
      <c r="O455" s="3" t="s">
        <v>245</v>
      </c>
      <c r="P455" s="3" t="s">
        <v>245</v>
      </c>
      <c r="Q455" s="3" t="s">
        <v>324</v>
      </c>
      <c r="R455" s="3">
        <v>1</v>
      </c>
      <c r="S455" s="3">
        <v>1</v>
      </c>
      <c r="T455" s="3" t="s">
        <v>443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</row>
    <row r="456" spans="1:29" x14ac:dyDescent="0.3">
      <c r="A456" s="3">
        <v>423</v>
      </c>
      <c r="B456" s="3" t="s">
        <v>320</v>
      </c>
      <c r="C456" s="3" t="s">
        <v>83</v>
      </c>
      <c r="D456" s="3" t="s">
        <v>66</v>
      </c>
      <c r="E456" s="3" t="s">
        <v>32</v>
      </c>
      <c r="F456" s="5">
        <v>46022</v>
      </c>
      <c r="G456" s="3">
        <v>2025</v>
      </c>
      <c r="H456" s="3" t="s">
        <v>44</v>
      </c>
      <c r="I456" s="3" t="s">
        <v>465</v>
      </c>
      <c r="J456" s="3">
        <v>2</v>
      </c>
      <c r="K456" s="3">
        <v>12</v>
      </c>
      <c r="L456" s="3">
        <v>15.1</v>
      </c>
      <c r="M456" s="3">
        <f t="shared" si="92"/>
        <v>1.2583333333333333</v>
      </c>
      <c r="N456" s="3">
        <f t="shared" si="93"/>
        <v>1.2583333333333333</v>
      </c>
      <c r="O456" s="3" t="s">
        <v>245</v>
      </c>
      <c r="P456" s="3" t="s">
        <v>245</v>
      </c>
      <c r="Q456" s="3" t="s">
        <v>455</v>
      </c>
      <c r="R456" s="3">
        <v>1</v>
      </c>
      <c r="S456" s="3">
        <v>1</v>
      </c>
      <c r="T456" s="3" t="s">
        <v>31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</row>
    <row r="457" spans="1:29" x14ac:dyDescent="0.3">
      <c r="A457" s="3">
        <v>424</v>
      </c>
      <c r="B457" s="3" t="s">
        <v>325</v>
      </c>
      <c r="C457" s="3" t="s">
        <v>83</v>
      </c>
      <c r="D457" s="3" t="s">
        <v>66</v>
      </c>
      <c r="E457" s="3" t="s">
        <v>32</v>
      </c>
      <c r="F457" s="5">
        <v>44926</v>
      </c>
      <c r="G457" s="3">
        <v>2022</v>
      </c>
      <c r="H457" s="3" t="s">
        <v>44</v>
      </c>
      <c r="I457" s="3" t="s">
        <v>45</v>
      </c>
      <c r="J457" s="3">
        <v>2</v>
      </c>
      <c r="K457" s="3">
        <v>6.5</v>
      </c>
      <c r="L457" s="3">
        <v>5</v>
      </c>
      <c r="M457" s="3">
        <f>+L457/K457</f>
        <v>0.76923076923076927</v>
      </c>
      <c r="N457" s="3">
        <f>+L457/K457</f>
        <v>0.76923076923076927</v>
      </c>
      <c r="O457" s="3" t="s">
        <v>245</v>
      </c>
      <c r="P457" s="3" t="s">
        <v>35</v>
      </c>
      <c r="Q457" s="3" t="s">
        <v>326</v>
      </c>
      <c r="R457" s="3">
        <v>0</v>
      </c>
      <c r="S457" s="3">
        <v>0</v>
      </c>
      <c r="T457" s="3" t="s">
        <v>31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</row>
    <row r="458" spans="1:29" x14ac:dyDescent="0.3">
      <c r="A458" s="3">
        <v>424</v>
      </c>
      <c r="B458" s="3" t="s">
        <v>325</v>
      </c>
      <c r="C458" s="3" t="s">
        <v>83</v>
      </c>
      <c r="D458" s="3" t="s">
        <v>66</v>
      </c>
      <c r="E458" s="3" t="s">
        <v>32</v>
      </c>
      <c r="F458" s="5">
        <v>44926</v>
      </c>
      <c r="G458" s="3">
        <v>2022</v>
      </c>
      <c r="H458" s="3" t="s">
        <v>44</v>
      </c>
      <c r="I458" s="3" t="s">
        <v>45</v>
      </c>
      <c r="J458" s="3"/>
      <c r="K458" s="3">
        <v>6.5</v>
      </c>
      <c r="L458" s="3">
        <v>5</v>
      </c>
      <c r="M458" s="3">
        <f t="shared" ref="M458:M463" si="94">+L458/K458</f>
        <v>0.76923076923076927</v>
      </c>
      <c r="N458" s="3">
        <f t="shared" ref="N458:N463" si="95">+L458/K458</f>
        <v>0.76923076923076927</v>
      </c>
      <c r="O458" s="3" t="s">
        <v>245</v>
      </c>
      <c r="P458" s="3" t="s">
        <v>35</v>
      </c>
      <c r="Q458" s="3" t="s">
        <v>326</v>
      </c>
      <c r="R458" s="3">
        <v>1</v>
      </c>
      <c r="S458" s="3">
        <v>0</v>
      </c>
      <c r="T458" s="3" t="s">
        <v>443</v>
      </c>
      <c r="U458" s="3" t="s">
        <v>37</v>
      </c>
      <c r="V458" s="3" t="s">
        <v>83</v>
      </c>
      <c r="W458" s="3" t="s">
        <v>38</v>
      </c>
      <c r="X458" s="3" t="s">
        <v>39</v>
      </c>
      <c r="Y458" s="3" t="s">
        <v>322</v>
      </c>
      <c r="Z458" s="3" t="s">
        <v>274</v>
      </c>
      <c r="AA458" s="3" t="s">
        <v>275</v>
      </c>
      <c r="AB458" s="3" t="s">
        <v>43</v>
      </c>
      <c r="AC458" s="3" t="s">
        <v>66</v>
      </c>
    </row>
    <row r="459" spans="1:29" x14ac:dyDescent="0.3">
      <c r="A459" s="3">
        <v>424</v>
      </c>
      <c r="B459" s="3" t="s">
        <v>325</v>
      </c>
      <c r="C459" s="3" t="s">
        <v>83</v>
      </c>
      <c r="D459" s="3" t="s">
        <v>66</v>
      </c>
      <c r="E459" s="3" t="s">
        <v>32</v>
      </c>
      <c r="F459" s="5">
        <v>45291</v>
      </c>
      <c r="G459" s="3">
        <v>2023</v>
      </c>
      <c r="H459" s="3" t="s">
        <v>44</v>
      </c>
      <c r="I459" s="3" t="s">
        <v>49</v>
      </c>
      <c r="J459" s="3">
        <v>2</v>
      </c>
      <c r="K459" s="3">
        <v>6</v>
      </c>
      <c r="L459" s="3">
        <v>6</v>
      </c>
      <c r="M459" s="3">
        <f t="shared" si="94"/>
        <v>1</v>
      </c>
      <c r="N459" s="3">
        <f t="shared" si="95"/>
        <v>1</v>
      </c>
      <c r="O459" s="3" t="s">
        <v>35</v>
      </c>
      <c r="P459" s="3" t="s">
        <v>35</v>
      </c>
      <c r="Q459" s="3" t="s">
        <v>327</v>
      </c>
      <c r="R459" s="3">
        <v>0</v>
      </c>
      <c r="S459" s="3">
        <v>0</v>
      </c>
      <c r="T459" s="3" t="s">
        <v>31</v>
      </c>
      <c r="U459" s="3" t="s">
        <v>37</v>
      </c>
      <c r="V459" s="3" t="s">
        <v>83</v>
      </c>
      <c r="W459" s="3" t="s">
        <v>38</v>
      </c>
      <c r="X459" s="3" t="s">
        <v>39</v>
      </c>
      <c r="Y459" s="3" t="s">
        <v>322</v>
      </c>
      <c r="Z459" s="3" t="s">
        <v>274</v>
      </c>
      <c r="AA459" s="3" t="s">
        <v>275</v>
      </c>
      <c r="AB459" s="3" t="s">
        <v>43</v>
      </c>
      <c r="AC459" s="3" t="s">
        <v>66</v>
      </c>
    </row>
    <row r="460" spans="1:29" x14ac:dyDescent="0.3">
      <c r="A460" s="3">
        <v>424</v>
      </c>
      <c r="B460" s="3" t="s">
        <v>325</v>
      </c>
      <c r="C460" s="3" t="s">
        <v>83</v>
      </c>
      <c r="D460" s="3" t="s">
        <v>66</v>
      </c>
      <c r="E460" s="3" t="s">
        <v>32</v>
      </c>
      <c r="F460" s="5">
        <v>45291</v>
      </c>
      <c r="G460" s="3">
        <v>2023</v>
      </c>
      <c r="H460" s="3" t="s">
        <v>44</v>
      </c>
      <c r="I460" s="3" t="s">
        <v>49</v>
      </c>
      <c r="J460" s="3"/>
      <c r="K460" s="3">
        <v>6</v>
      </c>
      <c r="L460" s="3">
        <v>6</v>
      </c>
      <c r="M460" s="3">
        <f t="shared" si="94"/>
        <v>1</v>
      </c>
      <c r="N460" s="3">
        <f t="shared" si="95"/>
        <v>1</v>
      </c>
      <c r="O460" s="3" t="s">
        <v>35</v>
      </c>
      <c r="P460" s="3" t="s">
        <v>35</v>
      </c>
      <c r="Q460" s="3" t="s">
        <v>327</v>
      </c>
      <c r="R460" s="3">
        <v>0</v>
      </c>
      <c r="S460" s="3">
        <v>0</v>
      </c>
      <c r="T460" s="3" t="s">
        <v>443</v>
      </c>
      <c r="U460" s="3" t="s">
        <v>37</v>
      </c>
      <c r="V460" s="3" t="s">
        <v>83</v>
      </c>
      <c r="W460" s="3" t="s">
        <v>38</v>
      </c>
      <c r="X460" s="3" t="s">
        <v>39</v>
      </c>
      <c r="Y460" s="3" t="s">
        <v>322</v>
      </c>
      <c r="Z460" s="3" t="s">
        <v>274</v>
      </c>
      <c r="AA460" s="3" t="s">
        <v>275</v>
      </c>
      <c r="AB460" s="3" t="s">
        <v>43</v>
      </c>
      <c r="AC460" s="3" t="s">
        <v>66</v>
      </c>
    </row>
    <row r="461" spans="1:29" x14ac:dyDescent="0.3">
      <c r="A461" s="3">
        <v>424</v>
      </c>
      <c r="B461" s="3" t="s">
        <v>325</v>
      </c>
      <c r="C461" s="3" t="s">
        <v>83</v>
      </c>
      <c r="D461" s="3" t="s">
        <v>66</v>
      </c>
      <c r="E461" s="3" t="s">
        <v>32</v>
      </c>
      <c r="F461" s="5">
        <v>45657</v>
      </c>
      <c r="G461" s="3">
        <v>2024</v>
      </c>
      <c r="H461" s="3" t="s">
        <v>44</v>
      </c>
      <c r="I461" s="3" t="s">
        <v>53</v>
      </c>
      <c r="J461" s="3">
        <v>2</v>
      </c>
      <c r="K461" s="3">
        <v>7</v>
      </c>
      <c r="L461" s="3">
        <v>9</v>
      </c>
      <c r="M461" s="3">
        <f t="shared" si="94"/>
        <v>1.2857142857142858</v>
      </c>
      <c r="N461" s="3">
        <f t="shared" si="95"/>
        <v>1.2857142857142858</v>
      </c>
      <c r="O461" s="3" t="s">
        <v>35</v>
      </c>
      <c r="P461" s="3" t="s">
        <v>35</v>
      </c>
      <c r="Q461" s="3" t="s">
        <v>328</v>
      </c>
      <c r="R461" s="3">
        <v>0</v>
      </c>
      <c r="S461" s="3">
        <v>0</v>
      </c>
      <c r="T461" s="3" t="s">
        <v>31</v>
      </c>
      <c r="U461" s="3" t="s">
        <v>37</v>
      </c>
      <c r="V461" s="3" t="s">
        <v>83</v>
      </c>
      <c r="W461" s="3" t="s">
        <v>38</v>
      </c>
      <c r="X461" s="3" t="s">
        <v>39</v>
      </c>
      <c r="Y461" s="3" t="s">
        <v>322</v>
      </c>
      <c r="Z461" s="3" t="s">
        <v>274</v>
      </c>
      <c r="AA461" s="3" t="s">
        <v>275</v>
      </c>
      <c r="AB461" s="3" t="s">
        <v>43</v>
      </c>
      <c r="AC461" s="3" t="s">
        <v>66</v>
      </c>
    </row>
    <row r="462" spans="1:29" x14ac:dyDescent="0.3">
      <c r="A462" s="3">
        <v>424</v>
      </c>
      <c r="B462" s="3" t="s">
        <v>325</v>
      </c>
      <c r="C462" s="3" t="s">
        <v>83</v>
      </c>
      <c r="D462" s="3" t="s">
        <v>66</v>
      </c>
      <c r="E462" s="3" t="s">
        <v>32</v>
      </c>
      <c r="F462" s="5">
        <v>45657</v>
      </c>
      <c r="G462" s="3">
        <v>2024</v>
      </c>
      <c r="H462" s="3" t="s">
        <v>44</v>
      </c>
      <c r="I462" s="3" t="s">
        <v>53</v>
      </c>
      <c r="J462" s="3"/>
      <c r="K462" s="3">
        <v>7</v>
      </c>
      <c r="L462" s="3">
        <v>9</v>
      </c>
      <c r="M462" s="3">
        <f t="shared" si="94"/>
        <v>1.2857142857142858</v>
      </c>
      <c r="N462" s="3">
        <f t="shared" si="95"/>
        <v>1.2857142857142858</v>
      </c>
      <c r="O462" s="3" t="s">
        <v>35</v>
      </c>
      <c r="P462" s="3" t="s">
        <v>35</v>
      </c>
      <c r="Q462" s="3" t="s">
        <v>328</v>
      </c>
      <c r="R462" s="3">
        <v>0</v>
      </c>
      <c r="S462" s="3">
        <v>0</v>
      </c>
      <c r="T462" s="3" t="s">
        <v>443</v>
      </c>
      <c r="U462" s="3" t="s">
        <v>37</v>
      </c>
      <c r="V462" s="3" t="s">
        <v>83</v>
      </c>
      <c r="W462" s="3" t="s">
        <v>38</v>
      </c>
      <c r="X462" s="3" t="s">
        <v>39</v>
      </c>
      <c r="Y462" s="3" t="s">
        <v>322</v>
      </c>
      <c r="Z462" s="3" t="s">
        <v>274</v>
      </c>
      <c r="AA462" s="3" t="s">
        <v>275</v>
      </c>
      <c r="AB462" s="3" t="s">
        <v>43</v>
      </c>
      <c r="AC462" s="3" t="s">
        <v>66</v>
      </c>
    </row>
    <row r="463" spans="1:29" x14ac:dyDescent="0.3">
      <c r="A463" s="3">
        <v>424</v>
      </c>
      <c r="B463" s="3" t="s">
        <v>325</v>
      </c>
      <c r="C463" s="3" t="s">
        <v>83</v>
      </c>
      <c r="D463" s="3" t="s">
        <v>66</v>
      </c>
      <c r="E463" s="3" t="s">
        <v>32</v>
      </c>
      <c r="F463" s="5">
        <v>46022</v>
      </c>
      <c r="G463" s="3">
        <v>2025</v>
      </c>
      <c r="H463" s="3" t="s">
        <v>44</v>
      </c>
      <c r="I463" s="3" t="s">
        <v>465</v>
      </c>
      <c r="J463" s="3">
        <v>2</v>
      </c>
      <c r="K463" s="3">
        <v>9</v>
      </c>
      <c r="L463" s="3">
        <v>11</v>
      </c>
      <c r="M463" s="3">
        <f t="shared" si="94"/>
        <v>1.2222222222222223</v>
      </c>
      <c r="N463" s="3">
        <f t="shared" si="95"/>
        <v>1.2222222222222223</v>
      </c>
      <c r="O463" s="3" t="s">
        <v>35</v>
      </c>
      <c r="P463" s="3" t="s">
        <v>35</v>
      </c>
      <c r="Q463" s="3" t="s">
        <v>495</v>
      </c>
      <c r="R463" s="3">
        <v>0</v>
      </c>
      <c r="S463" s="3">
        <v>0</v>
      </c>
      <c r="T463" s="3" t="s">
        <v>31</v>
      </c>
      <c r="U463" s="3" t="s">
        <v>37</v>
      </c>
      <c r="V463" s="3" t="s">
        <v>83</v>
      </c>
      <c r="W463" s="3" t="s">
        <v>38</v>
      </c>
      <c r="X463" s="3" t="s">
        <v>39</v>
      </c>
      <c r="Y463" s="3" t="s">
        <v>322</v>
      </c>
      <c r="Z463" s="3" t="s">
        <v>274</v>
      </c>
      <c r="AA463" s="3" t="s">
        <v>275</v>
      </c>
      <c r="AB463" s="3" t="s">
        <v>43</v>
      </c>
      <c r="AC463" s="3" t="s">
        <v>66</v>
      </c>
    </row>
    <row r="464" spans="1:29" x14ac:dyDescent="0.3">
      <c r="A464" s="3">
        <v>460</v>
      </c>
      <c r="B464" s="3" t="s">
        <v>329</v>
      </c>
      <c r="C464" s="3" t="s">
        <v>130</v>
      </c>
      <c r="D464" s="3" t="s">
        <v>66</v>
      </c>
      <c r="E464" s="3" t="s">
        <v>32</v>
      </c>
      <c r="F464" s="5">
        <v>45291</v>
      </c>
      <c r="G464" s="3">
        <v>2023</v>
      </c>
      <c r="H464" s="3" t="s">
        <v>44</v>
      </c>
      <c r="I464" s="3" t="s">
        <v>49</v>
      </c>
      <c r="J464" s="3">
        <v>2</v>
      </c>
      <c r="K464" s="3"/>
      <c r="L464" s="3">
        <v>94.85</v>
      </c>
      <c r="M464" s="3"/>
      <c r="N464" s="3"/>
      <c r="O464" s="3" t="s">
        <v>284</v>
      </c>
      <c r="P464" s="3" t="s">
        <v>58</v>
      </c>
      <c r="Q464" s="3" t="s">
        <v>449</v>
      </c>
      <c r="R464" s="3">
        <v>0</v>
      </c>
      <c r="S464" s="3">
        <v>0</v>
      </c>
      <c r="T464" s="3" t="s">
        <v>31</v>
      </c>
      <c r="U464" s="3" t="s">
        <v>37</v>
      </c>
      <c r="V464" s="3" t="s">
        <v>130</v>
      </c>
      <c r="W464" s="3" t="s">
        <v>73</v>
      </c>
      <c r="X464" s="3" t="s">
        <v>218</v>
      </c>
      <c r="Y464" s="3" t="s">
        <v>331</v>
      </c>
      <c r="Z464" s="3" t="s">
        <v>134</v>
      </c>
      <c r="AA464" s="3" t="s">
        <v>135</v>
      </c>
      <c r="AB464" s="3" t="s">
        <v>43</v>
      </c>
      <c r="AC464" s="3" t="s">
        <v>66</v>
      </c>
    </row>
    <row r="465" spans="1:29" x14ac:dyDescent="0.3">
      <c r="A465" s="3">
        <v>460</v>
      </c>
      <c r="B465" s="3" t="s">
        <v>329</v>
      </c>
      <c r="C465" s="3" t="s">
        <v>130</v>
      </c>
      <c r="D465" s="3" t="s">
        <v>66</v>
      </c>
      <c r="E465" s="3" t="s">
        <v>32</v>
      </c>
      <c r="F465" s="5">
        <v>45291</v>
      </c>
      <c r="G465" s="3">
        <v>2023</v>
      </c>
      <c r="H465" s="3" t="s">
        <v>44</v>
      </c>
      <c r="I465" s="3" t="s">
        <v>49</v>
      </c>
      <c r="J465" s="3"/>
      <c r="K465" s="3"/>
      <c r="L465" s="3">
        <v>94.85</v>
      </c>
      <c r="M465" s="3"/>
      <c r="N465" s="3"/>
      <c r="O465" s="3" t="s">
        <v>284</v>
      </c>
      <c r="P465" s="3" t="s">
        <v>58</v>
      </c>
      <c r="Q465" s="3" t="s">
        <v>449</v>
      </c>
      <c r="R465" s="3">
        <v>0</v>
      </c>
      <c r="S465" s="3">
        <v>0</v>
      </c>
      <c r="T465" s="3" t="s">
        <v>443</v>
      </c>
      <c r="U465" s="3" t="s">
        <v>37</v>
      </c>
      <c r="V465" s="3" t="s">
        <v>130</v>
      </c>
      <c r="W465" s="3" t="s">
        <v>73</v>
      </c>
      <c r="X465" s="3" t="s">
        <v>218</v>
      </c>
      <c r="Y465" s="3" t="s">
        <v>331</v>
      </c>
      <c r="Z465" s="3" t="s">
        <v>134</v>
      </c>
      <c r="AA465" s="3" t="s">
        <v>135</v>
      </c>
      <c r="AB465" s="3" t="s">
        <v>43</v>
      </c>
      <c r="AC465" s="3" t="s">
        <v>66</v>
      </c>
    </row>
    <row r="466" spans="1:29" x14ac:dyDescent="0.3">
      <c r="A466" s="3">
        <v>460</v>
      </c>
      <c r="B466" s="3" t="s">
        <v>329</v>
      </c>
      <c r="C466" s="3" t="s">
        <v>130</v>
      </c>
      <c r="D466" s="3" t="s">
        <v>66</v>
      </c>
      <c r="E466" s="3" t="s">
        <v>32</v>
      </c>
      <c r="F466" s="5">
        <v>45657</v>
      </c>
      <c r="G466" s="3">
        <v>2024</v>
      </c>
      <c r="H466" s="3" t="s">
        <v>44</v>
      </c>
      <c r="I466" s="3" t="s">
        <v>53</v>
      </c>
      <c r="J466" s="3">
        <v>2</v>
      </c>
      <c r="K466" s="3">
        <v>80</v>
      </c>
      <c r="L466" s="3">
        <v>91.44</v>
      </c>
      <c r="M466" s="3">
        <f>L466/K466</f>
        <v>1.143</v>
      </c>
      <c r="N466" s="3">
        <f>L466/K466</f>
        <v>1.143</v>
      </c>
      <c r="O466" s="3" t="s">
        <v>58</v>
      </c>
      <c r="P466" s="3" t="s">
        <v>58</v>
      </c>
      <c r="Q466" s="3" t="s">
        <v>330</v>
      </c>
      <c r="R466" s="3">
        <v>0</v>
      </c>
      <c r="S466" s="3">
        <v>1</v>
      </c>
      <c r="T466" s="3" t="s">
        <v>31</v>
      </c>
      <c r="U466" s="3" t="s">
        <v>37</v>
      </c>
      <c r="V466" s="3" t="s">
        <v>130</v>
      </c>
      <c r="W466" s="3" t="s">
        <v>73</v>
      </c>
      <c r="X466" s="3" t="s">
        <v>218</v>
      </c>
      <c r="Y466" s="3" t="s">
        <v>331</v>
      </c>
      <c r="Z466" s="3" t="s">
        <v>134</v>
      </c>
      <c r="AA466" s="3" t="s">
        <v>135</v>
      </c>
      <c r="AB466" s="3" t="s">
        <v>43</v>
      </c>
      <c r="AC466" s="3" t="s">
        <v>66</v>
      </c>
    </row>
    <row r="467" spans="1:29" x14ac:dyDescent="0.3">
      <c r="A467" s="3">
        <v>460</v>
      </c>
      <c r="B467" s="3" t="s">
        <v>329</v>
      </c>
      <c r="C467" s="3" t="s">
        <v>130</v>
      </c>
      <c r="D467" s="3" t="s">
        <v>66</v>
      </c>
      <c r="E467" s="3" t="s">
        <v>32</v>
      </c>
      <c r="F467" s="5">
        <v>45657</v>
      </c>
      <c r="G467" s="3">
        <v>2024</v>
      </c>
      <c r="H467" s="3" t="s">
        <v>44</v>
      </c>
      <c r="I467" s="3" t="s">
        <v>53</v>
      </c>
      <c r="J467" s="3"/>
      <c r="K467" s="3">
        <v>80</v>
      </c>
      <c r="L467" s="3">
        <v>91.44</v>
      </c>
      <c r="M467" s="3">
        <f>L467/K467</f>
        <v>1.143</v>
      </c>
      <c r="N467" s="3">
        <f>L467/K467</f>
        <v>1.143</v>
      </c>
      <c r="O467" s="3" t="s">
        <v>58</v>
      </c>
      <c r="P467" s="3" t="s">
        <v>58</v>
      </c>
      <c r="Q467" s="3" t="s">
        <v>330</v>
      </c>
      <c r="R467" s="3">
        <v>0</v>
      </c>
      <c r="S467" s="3">
        <v>1</v>
      </c>
      <c r="T467" s="3" t="s">
        <v>443</v>
      </c>
      <c r="U467" s="3" t="s">
        <v>37</v>
      </c>
      <c r="V467" s="3" t="s">
        <v>130</v>
      </c>
      <c r="W467" s="3" t="s">
        <v>73</v>
      </c>
      <c r="X467" s="3" t="s">
        <v>218</v>
      </c>
      <c r="Y467" s="3" t="s">
        <v>331</v>
      </c>
      <c r="Z467" s="3" t="s">
        <v>134</v>
      </c>
      <c r="AA467" s="3" t="s">
        <v>135</v>
      </c>
      <c r="AB467" s="3" t="s">
        <v>43</v>
      </c>
      <c r="AC467" s="3" t="s">
        <v>66</v>
      </c>
    </row>
    <row r="468" spans="1:29" x14ac:dyDescent="0.3">
      <c r="A468" s="3">
        <v>460</v>
      </c>
      <c r="B468" s="3" t="s">
        <v>329</v>
      </c>
      <c r="C468" s="3" t="s">
        <v>130</v>
      </c>
      <c r="D468" s="3" t="s">
        <v>66</v>
      </c>
      <c r="E468" s="3" t="s">
        <v>32</v>
      </c>
      <c r="F468" s="5">
        <v>45838</v>
      </c>
      <c r="G468" s="3">
        <v>2025</v>
      </c>
      <c r="H468" s="3" t="s">
        <v>44</v>
      </c>
      <c r="I468" s="3" t="s">
        <v>465</v>
      </c>
      <c r="J468" s="3">
        <v>2</v>
      </c>
      <c r="K468" s="3">
        <v>80</v>
      </c>
      <c r="L468" s="3">
        <v>84.18</v>
      </c>
      <c r="M468" s="3">
        <f>L468/K468</f>
        <v>1.0522500000000001</v>
      </c>
      <c r="N468" s="3">
        <f>L468/K468</f>
        <v>1.0522500000000001</v>
      </c>
      <c r="O468" s="3" t="s">
        <v>58</v>
      </c>
      <c r="P468" s="3" t="s">
        <v>58</v>
      </c>
      <c r="Q468" s="3" t="s">
        <v>519</v>
      </c>
      <c r="R468" s="3">
        <v>0</v>
      </c>
      <c r="S468" s="3">
        <v>1</v>
      </c>
      <c r="T468" s="3" t="s">
        <v>31</v>
      </c>
      <c r="U468" s="3" t="s">
        <v>37</v>
      </c>
      <c r="V468" s="3" t="s">
        <v>130</v>
      </c>
      <c r="W468" s="3" t="s">
        <v>73</v>
      </c>
      <c r="X468" s="3" t="s">
        <v>218</v>
      </c>
      <c r="Y468" s="3" t="s">
        <v>331</v>
      </c>
      <c r="Z468" s="3" t="s">
        <v>134</v>
      </c>
      <c r="AA468" s="3" t="s">
        <v>135</v>
      </c>
      <c r="AB468" s="3" t="s">
        <v>43</v>
      </c>
      <c r="AC468" s="3" t="s">
        <v>66</v>
      </c>
    </row>
    <row r="469" spans="1:29" x14ac:dyDescent="0.3">
      <c r="A469" s="3">
        <v>466</v>
      </c>
      <c r="B469" s="3" t="s">
        <v>341</v>
      </c>
      <c r="C469" s="3" t="s">
        <v>30</v>
      </c>
      <c r="D469" s="3" t="s">
        <v>31</v>
      </c>
      <c r="E469" s="3" t="s">
        <v>32</v>
      </c>
      <c r="F469" s="5">
        <v>44926</v>
      </c>
      <c r="G469" s="3">
        <v>2022</v>
      </c>
      <c r="H469" s="3" t="s">
        <v>44</v>
      </c>
      <c r="I469" s="3" t="s">
        <v>45</v>
      </c>
      <c r="J469" s="3">
        <v>2</v>
      </c>
      <c r="K469" s="3">
        <v>25</v>
      </c>
      <c r="L469" s="3">
        <v>43.56</v>
      </c>
      <c r="M469" s="3">
        <v>1.3</v>
      </c>
      <c r="N469" s="3">
        <f>+L469/K469</f>
        <v>1.7424000000000002</v>
      </c>
      <c r="O469" s="3" t="s">
        <v>35</v>
      </c>
      <c r="P469" s="3" t="s">
        <v>245</v>
      </c>
      <c r="Q469" s="3" t="s">
        <v>451</v>
      </c>
      <c r="R469" s="3">
        <v>1</v>
      </c>
      <c r="S469" s="3">
        <v>1</v>
      </c>
      <c r="T469" s="3" t="s">
        <v>31</v>
      </c>
      <c r="U469" s="3" t="s">
        <v>37</v>
      </c>
      <c r="V469" s="3" t="s">
        <v>342</v>
      </c>
      <c r="W469" s="3" t="s">
        <v>112</v>
      </c>
      <c r="X469" s="3" t="s">
        <v>113</v>
      </c>
      <c r="Y469" s="3" t="s">
        <v>114</v>
      </c>
      <c r="Z469" s="3" t="s">
        <v>41</v>
      </c>
      <c r="AA469" s="3" t="s">
        <v>102</v>
      </c>
      <c r="AB469" s="3" t="s">
        <v>43</v>
      </c>
      <c r="AC469" s="3" t="s">
        <v>66</v>
      </c>
    </row>
    <row r="470" spans="1:29" x14ac:dyDescent="0.3">
      <c r="A470" s="3">
        <v>466</v>
      </c>
      <c r="B470" s="3" t="s">
        <v>341</v>
      </c>
      <c r="C470" s="3" t="s">
        <v>30</v>
      </c>
      <c r="D470" s="3" t="s">
        <v>31</v>
      </c>
      <c r="E470" s="3" t="s">
        <v>32</v>
      </c>
      <c r="F470" s="5">
        <v>44926</v>
      </c>
      <c r="G470" s="3">
        <v>2022</v>
      </c>
      <c r="H470" s="3" t="s">
        <v>44</v>
      </c>
      <c r="I470" s="3" t="s">
        <v>45</v>
      </c>
      <c r="J470" s="3"/>
      <c r="K470" s="3">
        <v>25</v>
      </c>
      <c r="L470" s="3">
        <v>43.56</v>
      </c>
      <c r="M470" s="3">
        <v>1.3</v>
      </c>
      <c r="N470" s="3">
        <f t="shared" ref="N470:N475" si="96">+L470/K470</f>
        <v>1.7424000000000002</v>
      </c>
      <c r="O470" s="3" t="s">
        <v>35</v>
      </c>
      <c r="P470" s="3" t="s">
        <v>245</v>
      </c>
      <c r="Q470" s="3" t="s">
        <v>451</v>
      </c>
      <c r="R470" s="3">
        <v>1</v>
      </c>
      <c r="S470" s="3">
        <v>1</v>
      </c>
      <c r="T470" s="3" t="s">
        <v>443</v>
      </c>
      <c r="U470" s="3" t="s">
        <v>37</v>
      </c>
      <c r="V470" s="3" t="s">
        <v>342</v>
      </c>
      <c r="W470" s="3" t="s">
        <v>112</v>
      </c>
      <c r="X470" s="3" t="s">
        <v>113</v>
      </c>
      <c r="Y470" s="3" t="s">
        <v>114</v>
      </c>
      <c r="Z470" s="3" t="s">
        <v>41</v>
      </c>
      <c r="AA470" s="3" t="s">
        <v>102</v>
      </c>
      <c r="AB470" s="3" t="s">
        <v>43</v>
      </c>
      <c r="AC470" s="3" t="s">
        <v>66</v>
      </c>
    </row>
    <row r="471" spans="1:29" x14ac:dyDescent="0.3">
      <c r="A471" s="3">
        <v>466</v>
      </c>
      <c r="B471" s="3" t="s">
        <v>341</v>
      </c>
      <c r="C471" s="3" t="s">
        <v>30</v>
      </c>
      <c r="D471" s="3" t="s">
        <v>31</v>
      </c>
      <c r="E471" s="3" t="s">
        <v>32</v>
      </c>
      <c r="F471" s="5">
        <v>45291</v>
      </c>
      <c r="G471" s="3">
        <v>2023</v>
      </c>
      <c r="H471" s="3" t="s">
        <v>44</v>
      </c>
      <c r="I471" s="3" t="s">
        <v>49</v>
      </c>
      <c r="J471" s="3">
        <v>2</v>
      </c>
      <c r="K471" s="3">
        <v>42</v>
      </c>
      <c r="L471" s="3">
        <v>53.34</v>
      </c>
      <c r="M471" s="3">
        <v>1.27</v>
      </c>
      <c r="N471" s="3">
        <f t="shared" si="96"/>
        <v>1.27</v>
      </c>
      <c r="O471" s="3" t="s">
        <v>35</v>
      </c>
      <c r="P471" s="3" t="s">
        <v>245</v>
      </c>
      <c r="Q471" s="3" t="s">
        <v>452</v>
      </c>
      <c r="R471" s="3">
        <v>1</v>
      </c>
      <c r="S471" s="3">
        <v>1</v>
      </c>
      <c r="T471" s="3" t="s">
        <v>31</v>
      </c>
      <c r="U471" s="3" t="s">
        <v>37</v>
      </c>
      <c r="V471" s="3" t="s">
        <v>342</v>
      </c>
      <c r="W471" s="3" t="s">
        <v>112</v>
      </c>
      <c r="X471" s="3" t="s">
        <v>113</v>
      </c>
      <c r="Y471" s="3" t="s">
        <v>114</v>
      </c>
      <c r="Z471" s="3" t="s">
        <v>41</v>
      </c>
      <c r="AA471" s="3" t="s">
        <v>102</v>
      </c>
      <c r="AB471" s="3" t="s">
        <v>43</v>
      </c>
      <c r="AC471" s="3" t="s">
        <v>66</v>
      </c>
    </row>
    <row r="472" spans="1:29" x14ac:dyDescent="0.3">
      <c r="A472" s="3">
        <v>466</v>
      </c>
      <c r="B472" s="3" t="s">
        <v>341</v>
      </c>
      <c r="C472" s="3" t="s">
        <v>30</v>
      </c>
      <c r="D472" s="3" t="s">
        <v>31</v>
      </c>
      <c r="E472" s="3" t="s">
        <v>32</v>
      </c>
      <c r="F472" s="5">
        <v>45291</v>
      </c>
      <c r="G472" s="3">
        <v>2023</v>
      </c>
      <c r="H472" s="3" t="s">
        <v>44</v>
      </c>
      <c r="I472" s="3" t="s">
        <v>49</v>
      </c>
      <c r="J472" s="3"/>
      <c r="K472" s="3">
        <v>42</v>
      </c>
      <c r="L472" s="3">
        <v>53.34</v>
      </c>
      <c r="M472" s="3">
        <v>1.27</v>
      </c>
      <c r="N472" s="3">
        <f t="shared" si="96"/>
        <v>1.27</v>
      </c>
      <c r="O472" s="3" t="s">
        <v>35</v>
      </c>
      <c r="P472" s="3" t="s">
        <v>245</v>
      </c>
      <c r="Q472" s="3" t="s">
        <v>452</v>
      </c>
      <c r="R472" s="3">
        <v>1</v>
      </c>
      <c r="S472" s="3">
        <v>1</v>
      </c>
      <c r="T472" s="3" t="s">
        <v>443</v>
      </c>
      <c r="U472" s="3" t="s">
        <v>37</v>
      </c>
      <c r="V472" s="3" t="s">
        <v>342</v>
      </c>
      <c r="W472" s="3" t="s">
        <v>112</v>
      </c>
      <c r="X472" s="3" t="s">
        <v>113</v>
      </c>
      <c r="Y472" s="3" t="s">
        <v>114</v>
      </c>
      <c r="Z472" s="3" t="s">
        <v>41</v>
      </c>
      <c r="AA472" s="3" t="s">
        <v>102</v>
      </c>
      <c r="AB472" s="3" t="s">
        <v>43</v>
      </c>
      <c r="AC472" s="3" t="s">
        <v>66</v>
      </c>
    </row>
    <row r="473" spans="1:29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5">
        <v>45657</v>
      </c>
      <c r="G473" s="3">
        <v>2024</v>
      </c>
      <c r="H473" s="3" t="s">
        <v>44</v>
      </c>
      <c r="I473" s="3" t="s">
        <v>53</v>
      </c>
      <c r="J473" s="3">
        <v>2</v>
      </c>
      <c r="K473" s="3">
        <v>50</v>
      </c>
      <c r="L473" s="3">
        <v>53.8</v>
      </c>
      <c r="M473" s="3">
        <v>1.0760000000000001</v>
      </c>
      <c r="N473" s="3">
        <f t="shared" si="96"/>
        <v>1.0759999999999998</v>
      </c>
      <c r="O473" s="3" t="s">
        <v>35</v>
      </c>
      <c r="P473" s="3" t="s">
        <v>245</v>
      </c>
      <c r="Q473" s="3" t="s">
        <v>344</v>
      </c>
      <c r="R473" s="3">
        <v>1</v>
      </c>
      <c r="S473" s="3">
        <v>1</v>
      </c>
      <c r="T473" s="3" t="s">
        <v>31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</row>
    <row r="474" spans="1:29" x14ac:dyDescent="0.3">
      <c r="A474" s="3">
        <v>466</v>
      </c>
      <c r="B474" s="3" t="s">
        <v>341</v>
      </c>
      <c r="C474" s="3" t="s">
        <v>342</v>
      </c>
      <c r="D474" s="3" t="s">
        <v>31</v>
      </c>
      <c r="E474" s="3" t="s">
        <v>32</v>
      </c>
      <c r="F474" s="5">
        <v>45657</v>
      </c>
      <c r="G474" s="3">
        <v>2024</v>
      </c>
      <c r="H474" s="3" t="s">
        <v>44</v>
      </c>
      <c r="I474" s="3" t="s">
        <v>53</v>
      </c>
      <c r="J474" s="3"/>
      <c r="K474" s="3">
        <v>50</v>
      </c>
      <c r="L474" s="3">
        <v>53.8</v>
      </c>
      <c r="M474" s="3">
        <v>1.0760000000000001</v>
      </c>
      <c r="N474" s="3">
        <f t="shared" si="96"/>
        <v>1.0759999999999998</v>
      </c>
      <c r="O474" s="3" t="s">
        <v>35</v>
      </c>
      <c r="P474" s="3" t="s">
        <v>245</v>
      </c>
      <c r="Q474" s="3" t="s">
        <v>344</v>
      </c>
      <c r="R474" s="3">
        <v>0</v>
      </c>
      <c r="S474" s="3">
        <v>0</v>
      </c>
      <c r="T474" s="3" t="s">
        <v>443</v>
      </c>
      <c r="U474" s="3" t="s">
        <v>37</v>
      </c>
      <c r="V474" s="3" t="s">
        <v>342</v>
      </c>
      <c r="W474" s="3" t="s">
        <v>112</v>
      </c>
      <c r="X474" s="3" t="s">
        <v>113</v>
      </c>
      <c r="Y474" s="3" t="s">
        <v>114</v>
      </c>
      <c r="Z474" s="3" t="s">
        <v>41</v>
      </c>
      <c r="AA474" s="3" t="s">
        <v>102</v>
      </c>
      <c r="AB474" s="3" t="s">
        <v>43</v>
      </c>
      <c r="AC474" s="3" t="s">
        <v>66</v>
      </c>
    </row>
    <row r="475" spans="1:29" x14ac:dyDescent="0.3">
      <c r="A475" s="3">
        <v>466</v>
      </c>
      <c r="B475" s="3" t="s">
        <v>341</v>
      </c>
      <c r="C475" s="3" t="s">
        <v>30</v>
      </c>
      <c r="D475" s="3" t="s">
        <v>31</v>
      </c>
      <c r="E475" s="3" t="s">
        <v>32</v>
      </c>
      <c r="F475" s="5">
        <v>46022</v>
      </c>
      <c r="G475" s="3">
        <v>2025</v>
      </c>
      <c r="H475" s="3" t="s">
        <v>44</v>
      </c>
      <c r="I475" s="3" t="s">
        <v>465</v>
      </c>
      <c r="J475" s="3">
        <v>2</v>
      </c>
      <c r="K475" s="3">
        <v>55</v>
      </c>
      <c r="L475" s="3">
        <v>58.6</v>
      </c>
      <c r="M475" s="3">
        <f t="shared" ref="M475:M479" si="97">+L475/K475</f>
        <v>1.0654545454545454</v>
      </c>
      <c r="N475" s="3">
        <f t="shared" si="96"/>
        <v>1.0654545454545454</v>
      </c>
      <c r="O475" s="3" t="s">
        <v>35</v>
      </c>
      <c r="P475" s="3" t="s">
        <v>245</v>
      </c>
      <c r="Q475" s="3" t="s">
        <v>457</v>
      </c>
      <c r="R475" s="3">
        <v>1</v>
      </c>
      <c r="S475" s="3">
        <v>1</v>
      </c>
      <c r="T475" s="3" t="s">
        <v>31</v>
      </c>
      <c r="U475" s="3" t="s">
        <v>37</v>
      </c>
      <c r="V475" s="3" t="s">
        <v>342</v>
      </c>
      <c r="W475" s="3" t="s">
        <v>112</v>
      </c>
      <c r="X475" s="3" t="s">
        <v>113</v>
      </c>
      <c r="Y475" s="3" t="s">
        <v>114</v>
      </c>
      <c r="Z475" s="3" t="s">
        <v>41</v>
      </c>
      <c r="AA475" s="3" t="s">
        <v>102</v>
      </c>
      <c r="AB475" s="3" t="s">
        <v>43</v>
      </c>
      <c r="AC475" s="3" t="s">
        <v>66</v>
      </c>
    </row>
    <row r="476" spans="1:29" x14ac:dyDescent="0.3">
      <c r="A476" s="3">
        <v>203</v>
      </c>
      <c r="B476" s="3" t="s">
        <v>141</v>
      </c>
      <c r="C476" s="3" t="s">
        <v>142</v>
      </c>
      <c r="D476" s="3" t="s">
        <v>31</v>
      </c>
      <c r="E476" s="3" t="s">
        <v>32</v>
      </c>
      <c r="F476" s="5">
        <v>46022</v>
      </c>
      <c r="G476" s="3">
        <f>YEAR(F476)</f>
        <v>2025</v>
      </c>
      <c r="H476" s="3" t="str">
        <f>PROPER(TEXT(F476,"mmmm"))</f>
        <v>Diciembre</v>
      </c>
      <c r="I476" s="3" t="str">
        <f>IF(H476="Junio",G476&amp;"-1",G476&amp;"-2")</f>
        <v>2025-2</v>
      </c>
      <c r="J476" s="3">
        <v>2</v>
      </c>
      <c r="K476" s="3">
        <f>159353929960/1000000</f>
        <v>159353.92996000001</v>
      </c>
      <c r="L476" s="3">
        <f>176757251547/1000000</f>
        <v>176757.25154699999</v>
      </c>
      <c r="M476" s="3">
        <f t="shared" si="97"/>
        <v>1.1092117501674947</v>
      </c>
      <c r="N476" s="3">
        <f t="shared" ref="N476:N477" si="98">+L476/K476</f>
        <v>1.1092117501674947</v>
      </c>
      <c r="O476" s="3" t="s">
        <v>143</v>
      </c>
      <c r="P476" s="3" t="s">
        <v>143</v>
      </c>
      <c r="Q476" s="3" t="str">
        <f>A476&amp;"-"&amp;TEXT(F476,"yyyy-mm-dd")</f>
        <v>203-2025-12-31</v>
      </c>
      <c r="R476" s="3">
        <v>0</v>
      </c>
      <c r="S476" s="3">
        <v>0</v>
      </c>
      <c r="T476" s="3" t="s">
        <v>31</v>
      </c>
      <c r="U476" s="3" t="s">
        <v>37</v>
      </c>
      <c r="V476" s="3" t="s">
        <v>142</v>
      </c>
      <c r="W476" s="3" t="s">
        <v>145</v>
      </c>
      <c r="X476" s="3" t="s">
        <v>146</v>
      </c>
      <c r="Y476" s="3" t="s">
        <v>147</v>
      </c>
      <c r="Z476" s="3" t="s">
        <v>63</v>
      </c>
      <c r="AA476" s="3" t="s">
        <v>148</v>
      </c>
      <c r="AB476" s="3" t="s">
        <v>78</v>
      </c>
      <c r="AC476" s="3" t="s">
        <v>66</v>
      </c>
    </row>
    <row r="477" spans="1:29" x14ac:dyDescent="0.3">
      <c r="A477" s="3">
        <v>203</v>
      </c>
      <c r="B477" s="3" t="s">
        <v>141</v>
      </c>
      <c r="C477" s="3" t="s">
        <v>142</v>
      </c>
      <c r="D477" s="3" t="s">
        <v>31</v>
      </c>
      <c r="E477" s="3" t="s">
        <v>32</v>
      </c>
      <c r="F477" s="5">
        <v>46022</v>
      </c>
      <c r="G477" s="3">
        <f>YEAR(F477)</f>
        <v>2025</v>
      </c>
      <c r="H477" s="3" t="str">
        <f>PROPER(TEXT(F477,"mmmm"))</f>
        <v>Diciembre</v>
      </c>
      <c r="I477" s="3" t="str">
        <f>IF(H477="Junio",G477&amp;"-1",G477&amp;"-2")</f>
        <v>2025-2</v>
      </c>
      <c r="J477" s="3"/>
      <c r="K477" s="3">
        <f>309304697290/1000000</f>
        <v>309304.69728999998</v>
      </c>
      <c r="L477" s="3">
        <f>311035325740/1000000</f>
        <v>311035.32574</v>
      </c>
      <c r="M477" s="3">
        <f t="shared" si="97"/>
        <v>1.0055952220097628</v>
      </c>
      <c r="N477" s="3">
        <f t="shared" si="98"/>
        <v>1.0055952220097628</v>
      </c>
      <c r="O477" s="3" t="s">
        <v>143</v>
      </c>
      <c r="P477" s="3" t="s">
        <v>143</v>
      </c>
      <c r="Q477" s="3" t="str">
        <f>A477&amp;"-"&amp;TEXT(F477,"yyyy-mm-dd")</f>
        <v>203-2025-12-31</v>
      </c>
      <c r="R477" s="3">
        <v>0</v>
      </c>
      <c r="S477" s="3">
        <v>0</v>
      </c>
      <c r="T477" s="3" t="s">
        <v>443</v>
      </c>
      <c r="U477" s="3" t="s">
        <v>37</v>
      </c>
      <c r="V477" s="3" t="s">
        <v>142</v>
      </c>
      <c r="W477" s="3" t="s">
        <v>145</v>
      </c>
      <c r="X477" s="3" t="s">
        <v>146</v>
      </c>
      <c r="Y477" s="3" t="s">
        <v>147</v>
      </c>
      <c r="Z477" s="3" t="s">
        <v>63</v>
      </c>
      <c r="AA477" s="3" t="s">
        <v>148</v>
      </c>
      <c r="AB477" s="3" t="s">
        <v>78</v>
      </c>
      <c r="AC477" s="3" t="s">
        <v>66</v>
      </c>
    </row>
    <row r="478" spans="1:29" x14ac:dyDescent="0.3">
      <c r="A478" s="3">
        <v>148</v>
      </c>
      <c r="B478" s="3" t="s">
        <v>104</v>
      </c>
      <c r="C478" s="3" t="s">
        <v>105</v>
      </c>
      <c r="D478" s="3" t="s">
        <v>31</v>
      </c>
      <c r="E478" s="3" t="s">
        <v>32</v>
      </c>
      <c r="F478" s="5">
        <v>46022</v>
      </c>
      <c r="G478" s="3">
        <v>2025</v>
      </c>
      <c r="H478" s="3" t="s">
        <v>44</v>
      </c>
      <c r="I478" s="3" t="s">
        <v>465</v>
      </c>
      <c r="J478" s="3"/>
      <c r="K478" s="3">
        <v>5</v>
      </c>
      <c r="L478" s="3">
        <v>6.78</v>
      </c>
      <c r="M478" s="3">
        <f>IF(+L478/K478&gt;1.3,1.3,L478/K478)</f>
        <v>1.3</v>
      </c>
      <c r="N478" s="3">
        <f>+L478/K478</f>
        <v>1.3560000000000001</v>
      </c>
      <c r="O478" s="3" t="s">
        <v>58</v>
      </c>
      <c r="P478" s="3" t="s">
        <v>58</v>
      </c>
      <c r="Q478" s="3" t="s">
        <v>510</v>
      </c>
      <c r="R478" s="3">
        <v>0</v>
      </c>
      <c r="S478" s="3">
        <v>1</v>
      </c>
      <c r="T478" s="3" t="s">
        <v>443</v>
      </c>
      <c r="U478" s="3" t="s">
        <v>37</v>
      </c>
      <c r="V478" s="3" t="s">
        <v>105</v>
      </c>
      <c r="W478" s="3" t="s">
        <v>73</v>
      </c>
      <c r="X478" s="3" t="s">
        <v>74</v>
      </c>
      <c r="Y478" s="3" t="s">
        <v>75</v>
      </c>
      <c r="Z478" s="3" t="s">
        <v>76</v>
      </c>
      <c r="AA478" s="3" t="s">
        <v>77</v>
      </c>
      <c r="AB478" s="3" t="s">
        <v>43</v>
      </c>
      <c r="AC478" s="3" t="s">
        <v>31</v>
      </c>
    </row>
    <row r="479" spans="1:29" x14ac:dyDescent="0.3">
      <c r="A479" s="3">
        <v>466</v>
      </c>
      <c r="B479" s="3" t="s">
        <v>341</v>
      </c>
      <c r="C479" s="3" t="s">
        <v>30</v>
      </c>
      <c r="D479" s="3" t="s">
        <v>31</v>
      </c>
      <c r="E479" s="3" t="s">
        <v>32</v>
      </c>
      <c r="F479" s="5">
        <v>46022</v>
      </c>
      <c r="G479" s="3">
        <v>2025</v>
      </c>
      <c r="H479" s="3" t="s">
        <v>44</v>
      </c>
      <c r="I479" s="3" t="s">
        <v>465</v>
      </c>
      <c r="J479" s="3"/>
      <c r="K479" s="3">
        <v>55</v>
      </c>
      <c r="L479" s="3">
        <v>58.6</v>
      </c>
      <c r="M479" s="3">
        <f t="shared" si="97"/>
        <v>1.0654545454545454</v>
      </c>
      <c r="N479" s="3">
        <f>+L479/K479</f>
        <v>1.0654545454545454</v>
      </c>
      <c r="O479" s="3" t="s">
        <v>35</v>
      </c>
      <c r="P479" s="3" t="s">
        <v>245</v>
      </c>
      <c r="Q479" s="3" t="s">
        <v>487</v>
      </c>
      <c r="R479" s="3">
        <v>1</v>
      </c>
      <c r="S479" s="3">
        <v>1</v>
      </c>
      <c r="T479" s="3" t="s">
        <v>443</v>
      </c>
      <c r="U479" s="3" t="s">
        <v>37</v>
      </c>
      <c r="V479" s="3" t="s">
        <v>342</v>
      </c>
      <c r="W479" s="3" t="s">
        <v>112</v>
      </c>
      <c r="X479" s="3" t="s">
        <v>113</v>
      </c>
      <c r="Y479" s="3" t="s">
        <v>114</v>
      </c>
      <c r="Z479" s="3" t="s">
        <v>41</v>
      </c>
      <c r="AA479" s="3" t="s">
        <v>102</v>
      </c>
      <c r="AB479" s="3" t="s">
        <v>43</v>
      </c>
      <c r="AC479" s="3" t="s">
        <v>66</v>
      </c>
    </row>
    <row r="480" spans="1:29" x14ac:dyDescent="0.3">
      <c r="A480" s="3">
        <v>109</v>
      </c>
      <c r="B480" s="3" t="s">
        <v>96</v>
      </c>
      <c r="C480" s="3" t="s">
        <v>99</v>
      </c>
      <c r="D480" s="3" t="s">
        <v>66</v>
      </c>
      <c r="E480" s="3" t="s">
        <v>32</v>
      </c>
      <c r="F480" s="5">
        <v>46022</v>
      </c>
      <c r="G480" s="3">
        <v>2024</v>
      </c>
      <c r="H480" s="3" t="s">
        <v>44</v>
      </c>
      <c r="I480" s="3" t="s">
        <v>465</v>
      </c>
      <c r="J480" s="3">
        <v>2</v>
      </c>
      <c r="K480" s="3">
        <v>80</v>
      </c>
      <c r="L480" s="3">
        <v>94</v>
      </c>
      <c r="M480" s="3">
        <f>+L480/K480</f>
        <v>1.175</v>
      </c>
      <c r="N480" s="3">
        <v>1.0625</v>
      </c>
      <c r="O480" s="3" t="s">
        <v>58</v>
      </c>
      <c r="P480" s="3" t="s">
        <v>58</v>
      </c>
      <c r="Q480" s="3" t="s">
        <v>488</v>
      </c>
      <c r="R480" s="3">
        <v>0</v>
      </c>
      <c r="S480" s="3">
        <v>0</v>
      </c>
      <c r="T480" s="3" t="s">
        <v>31</v>
      </c>
      <c r="U480" s="3" t="s">
        <v>37</v>
      </c>
      <c r="V480" s="3" t="s">
        <v>99</v>
      </c>
      <c r="W480" s="3" t="s">
        <v>60</v>
      </c>
      <c r="X480" s="3" t="s">
        <v>100</v>
      </c>
      <c r="Y480" s="3"/>
      <c r="Z480" s="3" t="s">
        <v>101</v>
      </c>
      <c r="AA480" s="3" t="s">
        <v>102</v>
      </c>
      <c r="AB480" s="3" t="s">
        <v>65</v>
      </c>
      <c r="AC480" s="3" t="s">
        <v>66</v>
      </c>
    </row>
    <row r="481" spans="1:29" x14ac:dyDescent="0.3">
      <c r="A481" s="3">
        <v>109</v>
      </c>
      <c r="B481" s="3" t="s">
        <v>96</v>
      </c>
      <c r="C481" s="3" t="s">
        <v>99</v>
      </c>
      <c r="D481" s="3" t="s">
        <v>66</v>
      </c>
      <c r="E481" s="3" t="s">
        <v>32</v>
      </c>
      <c r="F481" s="5">
        <v>46022</v>
      </c>
      <c r="G481" s="3">
        <v>2025</v>
      </c>
      <c r="H481" s="3" t="s">
        <v>44</v>
      </c>
      <c r="I481" s="3" t="s">
        <v>465</v>
      </c>
      <c r="J481" s="3"/>
      <c r="K481" s="3">
        <v>80</v>
      </c>
      <c r="L481" s="3">
        <v>94</v>
      </c>
      <c r="M481" s="3">
        <f>+L481/K481</f>
        <v>1.175</v>
      </c>
      <c r="N481" s="3">
        <v>1.0625</v>
      </c>
      <c r="O481" s="3" t="s">
        <v>58</v>
      </c>
      <c r="P481" s="3" t="s">
        <v>58</v>
      </c>
      <c r="Q481" s="3" t="s">
        <v>488</v>
      </c>
      <c r="R481" s="3">
        <v>0</v>
      </c>
      <c r="S481" s="3">
        <v>0</v>
      </c>
      <c r="T481" s="3" t="s">
        <v>443</v>
      </c>
      <c r="U481" s="3" t="s">
        <v>37</v>
      </c>
      <c r="V481" s="3" t="s">
        <v>99</v>
      </c>
      <c r="W481" s="3" t="s">
        <v>60</v>
      </c>
      <c r="X481" s="3" t="s">
        <v>100</v>
      </c>
      <c r="Y481" s="3"/>
      <c r="Z481" s="3" t="s">
        <v>101</v>
      </c>
      <c r="AA481" s="3" t="s">
        <v>102</v>
      </c>
      <c r="AB481" s="3" t="s">
        <v>65</v>
      </c>
      <c r="AC481" s="3" t="s">
        <v>66</v>
      </c>
    </row>
    <row r="482" spans="1:29" x14ac:dyDescent="0.3">
      <c r="A482" s="3">
        <v>386.1</v>
      </c>
      <c r="B482" s="3" t="s">
        <v>377</v>
      </c>
      <c r="C482" s="3" t="s">
        <v>310</v>
      </c>
      <c r="D482" s="3" t="s">
        <v>31</v>
      </c>
      <c r="E482" s="3" t="s">
        <v>32</v>
      </c>
      <c r="F482" s="5">
        <v>46022</v>
      </c>
      <c r="G482" s="3">
        <v>2025</v>
      </c>
      <c r="H482" s="3" t="s">
        <v>44</v>
      </c>
      <c r="I482" s="3" t="s">
        <v>465</v>
      </c>
      <c r="J482" s="3"/>
      <c r="K482" s="3">
        <f>4332800610/1000000</f>
        <v>4332.8006100000002</v>
      </c>
      <c r="L482" s="3">
        <f>4700694763/1000000</f>
        <v>4700.6947630000004</v>
      </c>
      <c r="M482" s="3">
        <f>IF(+L482/K482&gt;1.3,1.3,L482/K482)</f>
        <v>1.0849090890891468</v>
      </c>
      <c r="N482" s="3">
        <f>+L482/K482</f>
        <v>1.0849090890891468</v>
      </c>
      <c r="O482" s="3" t="s">
        <v>143</v>
      </c>
      <c r="P482" s="3" t="s">
        <v>143</v>
      </c>
      <c r="Q482" s="3" t="s">
        <v>490</v>
      </c>
      <c r="R482" s="3">
        <v>0</v>
      </c>
      <c r="S482" s="3">
        <v>0</v>
      </c>
      <c r="T482" s="3" t="s">
        <v>443</v>
      </c>
      <c r="U482" s="3" t="s">
        <v>37</v>
      </c>
      <c r="V482" s="3" t="s">
        <v>310</v>
      </c>
      <c r="W482" s="3" t="s">
        <v>312</v>
      </c>
      <c r="X482" s="3" t="s">
        <v>313</v>
      </c>
      <c r="Y482" s="3" t="s">
        <v>314</v>
      </c>
      <c r="Z482" s="3"/>
      <c r="AA482" s="3"/>
      <c r="AB482" s="3" t="s">
        <v>78</v>
      </c>
      <c r="AC482" s="3" t="s">
        <v>66</v>
      </c>
    </row>
    <row r="483" spans="1:29" x14ac:dyDescent="0.3">
      <c r="A483" s="3">
        <v>385</v>
      </c>
      <c r="B483" s="3" t="s">
        <v>309</v>
      </c>
      <c r="C483" s="3" t="s">
        <v>310</v>
      </c>
      <c r="D483" s="3" t="s">
        <v>31</v>
      </c>
      <c r="E483" s="3" t="s">
        <v>32</v>
      </c>
      <c r="F483" s="5">
        <v>46022</v>
      </c>
      <c r="G483" s="3">
        <v>2025</v>
      </c>
      <c r="H483" s="3" t="s">
        <v>44</v>
      </c>
      <c r="I483" s="3" t="s">
        <v>465</v>
      </c>
      <c r="J483" s="3"/>
      <c r="K483" s="3">
        <f>17058242411/1000000</f>
        <v>17058.242410999999</v>
      </c>
      <c r="L483" s="3">
        <f>18570267021/1000000</f>
        <v>18570.267021</v>
      </c>
      <c r="M483" s="3">
        <f>L483/K483</f>
        <v>1.0886389449492739</v>
      </c>
      <c r="N483" s="3">
        <f>L483/K483</f>
        <v>1.0886389449492739</v>
      </c>
      <c r="O483" s="3" t="s">
        <v>143</v>
      </c>
      <c r="P483" s="3" t="s">
        <v>143</v>
      </c>
      <c r="Q483" s="3" t="s">
        <v>486</v>
      </c>
      <c r="R483" s="3">
        <v>0</v>
      </c>
      <c r="S483" s="3">
        <v>0</v>
      </c>
      <c r="T483" s="3" t="s">
        <v>443</v>
      </c>
      <c r="U483" s="3" t="s">
        <v>37</v>
      </c>
      <c r="V483" s="3" t="s">
        <v>310</v>
      </c>
      <c r="W483" s="3" t="s">
        <v>312</v>
      </c>
      <c r="X483" s="3" t="s">
        <v>313</v>
      </c>
      <c r="Y483" s="3" t="s">
        <v>314</v>
      </c>
      <c r="Z483" s="3" t="s">
        <v>63</v>
      </c>
      <c r="AA483" s="3" t="s">
        <v>148</v>
      </c>
      <c r="AB483" s="3" t="s">
        <v>43</v>
      </c>
      <c r="AC483" s="3" t="s">
        <v>66</v>
      </c>
    </row>
    <row r="484" spans="1:29" x14ac:dyDescent="0.3">
      <c r="A484" s="3">
        <v>423</v>
      </c>
      <c r="B484" s="3" t="s">
        <v>320</v>
      </c>
      <c r="C484" s="3" t="s">
        <v>83</v>
      </c>
      <c r="D484" s="3" t="s">
        <v>66</v>
      </c>
      <c r="E484" s="3" t="s">
        <v>32</v>
      </c>
      <c r="F484" s="5">
        <v>46022</v>
      </c>
      <c r="G484" s="3">
        <v>2025</v>
      </c>
      <c r="H484" s="3" t="s">
        <v>44</v>
      </c>
      <c r="I484" s="3" t="s">
        <v>465</v>
      </c>
      <c r="J484" s="3"/>
      <c r="K484" s="3">
        <v>12</v>
      </c>
      <c r="L484" s="3">
        <v>15.1</v>
      </c>
      <c r="M484" s="3">
        <f>+L484/K484</f>
        <v>1.2583333333333333</v>
      </c>
      <c r="N484" s="3">
        <f>+L484/K484</f>
        <v>1.2583333333333333</v>
      </c>
      <c r="O484" s="3" t="s">
        <v>245</v>
      </c>
      <c r="P484" s="3" t="s">
        <v>245</v>
      </c>
      <c r="Q484" s="3" t="s">
        <v>494</v>
      </c>
      <c r="R484" s="3">
        <v>1</v>
      </c>
      <c r="S484" s="3">
        <v>1</v>
      </c>
      <c r="T484" s="3" t="s">
        <v>443</v>
      </c>
      <c r="U484" s="3" t="s">
        <v>37</v>
      </c>
      <c r="V484" s="3" t="s">
        <v>83</v>
      </c>
      <c r="W484" s="3" t="s">
        <v>38</v>
      </c>
      <c r="X484" s="3" t="s">
        <v>39</v>
      </c>
      <c r="Y484" s="3" t="s">
        <v>322</v>
      </c>
      <c r="Z484" s="3" t="s">
        <v>274</v>
      </c>
      <c r="AA484" s="3" t="s">
        <v>275</v>
      </c>
      <c r="AB484" s="3" t="s">
        <v>43</v>
      </c>
      <c r="AC484" s="3" t="s">
        <v>66</v>
      </c>
    </row>
    <row r="485" spans="1:29" x14ac:dyDescent="0.3">
      <c r="A485" s="3">
        <v>424</v>
      </c>
      <c r="B485" s="3" t="s">
        <v>325</v>
      </c>
      <c r="C485" s="3" t="s">
        <v>83</v>
      </c>
      <c r="D485" s="3" t="s">
        <v>66</v>
      </c>
      <c r="E485" s="3" t="s">
        <v>32</v>
      </c>
      <c r="F485" s="5">
        <v>46022</v>
      </c>
      <c r="G485" s="3">
        <v>2025</v>
      </c>
      <c r="H485" s="3" t="s">
        <v>44</v>
      </c>
      <c r="I485" s="3" t="s">
        <v>465</v>
      </c>
      <c r="J485" s="3"/>
      <c r="K485" s="3">
        <v>9</v>
      </c>
      <c r="L485" s="3">
        <v>11</v>
      </c>
      <c r="M485" s="3">
        <f>+L485/K485</f>
        <v>1.2222222222222223</v>
      </c>
      <c r="N485" s="3">
        <f>+L485/K485</f>
        <v>1.2222222222222223</v>
      </c>
      <c r="O485" s="3" t="s">
        <v>35</v>
      </c>
      <c r="P485" s="3" t="s">
        <v>35</v>
      </c>
      <c r="Q485" s="3" t="s">
        <v>495</v>
      </c>
      <c r="R485" s="3">
        <v>0</v>
      </c>
      <c r="S485" s="3">
        <v>0</v>
      </c>
      <c r="T485" s="3" t="s">
        <v>443</v>
      </c>
      <c r="U485" s="3" t="s">
        <v>37</v>
      </c>
      <c r="V485" s="3" t="s">
        <v>83</v>
      </c>
      <c r="W485" s="3" t="s">
        <v>38</v>
      </c>
      <c r="X485" s="3" t="s">
        <v>39</v>
      </c>
      <c r="Y485" s="3" t="s">
        <v>322</v>
      </c>
      <c r="Z485" s="3" t="s">
        <v>274</v>
      </c>
      <c r="AA485" s="3" t="s">
        <v>275</v>
      </c>
      <c r="AB485" s="3" t="s">
        <v>43</v>
      </c>
      <c r="AC485" s="3" t="s">
        <v>66</v>
      </c>
    </row>
    <row r="486" spans="1:29" x14ac:dyDescent="0.3">
      <c r="A486" s="3">
        <v>377</v>
      </c>
      <c r="B486" s="3" t="s">
        <v>296</v>
      </c>
      <c r="C486" s="3" t="s">
        <v>142</v>
      </c>
      <c r="D486" s="3" t="s">
        <v>31</v>
      </c>
      <c r="E486" s="3" t="s">
        <v>32</v>
      </c>
      <c r="F486" s="5">
        <v>46022</v>
      </c>
      <c r="G486" s="3">
        <v>2025</v>
      </c>
      <c r="H486" s="3" t="s">
        <v>44</v>
      </c>
      <c r="I486" s="3" t="s">
        <v>465</v>
      </c>
      <c r="J486" s="3"/>
      <c r="K486" s="3">
        <v>10285.243493</v>
      </c>
      <c r="L486" s="3">
        <f>11016899103/1000000</f>
        <v>11016.899103</v>
      </c>
      <c r="M486" s="3">
        <f>L486/K486</f>
        <v>1.0711364403281221</v>
      </c>
      <c r="N486" s="3">
        <f>L486/K486</f>
        <v>1.0711364403281221</v>
      </c>
      <c r="O486" s="3" t="s">
        <v>143</v>
      </c>
      <c r="P486" s="3" t="s">
        <v>143</v>
      </c>
      <c r="Q486" s="3" t="s">
        <v>497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142</v>
      </c>
      <c r="W486" s="3" t="s">
        <v>145</v>
      </c>
      <c r="X486" s="3" t="s">
        <v>146</v>
      </c>
      <c r="Y486" s="3" t="s">
        <v>147</v>
      </c>
      <c r="Z486" s="3" t="s">
        <v>63</v>
      </c>
      <c r="AA486" s="3" t="s">
        <v>148</v>
      </c>
      <c r="AB486" s="3" t="s">
        <v>43</v>
      </c>
      <c r="AC486" s="3" t="s">
        <v>66</v>
      </c>
    </row>
    <row r="487" spans="1:29" x14ac:dyDescent="0.3">
      <c r="A487" s="3">
        <v>367</v>
      </c>
      <c r="B487" s="3" t="s">
        <v>500</v>
      </c>
      <c r="C487" s="3" t="s">
        <v>267</v>
      </c>
      <c r="D487" s="3" t="s">
        <v>66</v>
      </c>
      <c r="E487" s="3" t="s">
        <v>32</v>
      </c>
      <c r="F487" s="5">
        <v>46022</v>
      </c>
      <c r="G487" s="3">
        <v>2025</v>
      </c>
      <c r="H487" s="3" t="s">
        <v>44</v>
      </c>
      <c r="I487" s="3" t="s">
        <v>465</v>
      </c>
      <c r="J487" s="3"/>
      <c r="K487" s="3">
        <v>5</v>
      </c>
      <c r="L487" s="3">
        <v>3.82</v>
      </c>
      <c r="M487" s="3">
        <f>+L487/K487</f>
        <v>0.76400000000000001</v>
      </c>
      <c r="N487" s="3">
        <f>+L487/K487</f>
        <v>0.76400000000000001</v>
      </c>
      <c r="O487" s="3" t="s">
        <v>58</v>
      </c>
      <c r="P487" s="3" t="s">
        <v>58</v>
      </c>
      <c r="Q487" s="3" t="s">
        <v>499</v>
      </c>
      <c r="R487" s="3">
        <v>1</v>
      </c>
      <c r="S487" s="3">
        <v>2</v>
      </c>
      <c r="T487" s="3" t="s">
        <v>443</v>
      </c>
      <c r="U487" s="3" t="s">
        <v>37</v>
      </c>
      <c r="V487" s="3" t="s">
        <v>267</v>
      </c>
      <c r="W487" s="3" t="s">
        <v>145</v>
      </c>
      <c r="X487" s="3" t="s">
        <v>179</v>
      </c>
      <c r="Y487" s="3" t="s">
        <v>281</v>
      </c>
      <c r="Z487" s="3" t="s">
        <v>41</v>
      </c>
      <c r="AA487" s="3" t="s">
        <v>42</v>
      </c>
      <c r="AB487" s="3" t="s">
        <v>43</v>
      </c>
      <c r="AC487" s="3" t="s">
        <v>66</v>
      </c>
    </row>
    <row r="488" spans="1:29" x14ac:dyDescent="0.3">
      <c r="A488" s="3">
        <v>244</v>
      </c>
      <c r="B488" s="3" t="s">
        <v>182</v>
      </c>
      <c r="C488" s="3" t="s">
        <v>177</v>
      </c>
      <c r="D488" s="3" t="s">
        <v>66</v>
      </c>
      <c r="E488" s="3" t="s">
        <v>171</v>
      </c>
      <c r="F488" s="5">
        <v>46022</v>
      </c>
      <c r="G488" s="3">
        <v>2025</v>
      </c>
      <c r="H488" s="3" t="s">
        <v>44</v>
      </c>
      <c r="I488" s="3" t="s">
        <v>465</v>
      </c>
      <c r="J488" s="3"/>
      <c r="K488" s="3">
        <v>25</v>
      </c>
      <c r="L488" s="3">
        <v>13</v>
      </c>
      <c r="M488" s="3">
        <f>IF(K488/L488&gt;1.3,1.3,K488/L488)</f>
        <v>1.3</v>
      </c>
      <c r="N488" s="3">
        <f>+K488/L488</f>
        <v>1.9230769230769231</v>
      </c>
      <c r="O488" s="3" t="s">
        <v>35</v>
      </c>
      <c r="P488" s="3" t="s">
        <v>35</v>
      </c>
      <c r="Q488" s="3" t="s">
        <v>501</v>
      </c>
      <c r="R488" s="3">
        <v>0</v>
      </c>
      <c r="S488" s="3">
        <v>0</v>
      </c>
      <c r="T488" s="3" t="s">
        <v>443</v>
      </c>
      <c r="U488" s="3" t="s">
        <v>37</v>
      </c>
      <c r="V488" s="3" t="s">
        <v>177</v>
      </c>
      <c r="W488" s="3" t="s">
        <v>145</v>
      </c>
      <c r="X488" s="3" t="s">
        <v>179</v>
      </c>
      <c r="Y488" s="3" t="s">
        <v>180</v>
      </c>
      <c r="Z488" s="3" t="s">
        <v>63</v>
      </c>
      <c r="AA488" s="3" t="s">
        <v>64</v>
      </c>
      <c r="AB488" s="3" t="s">
        <v>43</v>
      </c>
      <c r="AC488" s="3" t="s">
        <v>66</v>
      </c>
    </row>
    <row r="489" spans="1:29" x14ac:dyDescent="0.3">
      <c r="A489" s="3">
        <v>334</v>
      </c>
      <c r="B489" s="3" t="s">
        <v>248</v>
      </c>
      <c r="C489" s="3" t="s">
        <v>130</v>
      </c>
      <c r="D489" s="3" t="s">
        <v>66</v>
      </c>
      <c r="E489" s="3" t="s">
        <v>32</v>
      </c>
      <c r="F489" s="5">
        <v>46022</v>
      </c>
      <c r="G489" s="3">
        <v>2025</v>
      </c>
      <c r="H489" s="3" t="s">
        <v>44</v>
      </c>
      <c r="I489" s="3" t="s">
        <v>465</v>
      </c>
      <c r="J489" s="3"/>
      <c r="K489" s="3">
        <v>89</v>
      </c>
      <c r="L489" s="3">
        <v>90.1</v>
      </c>
      <c r="M489" s="3">
        <f>L489/K489</f>
        <v>1.0123595505617977</v>
      </c>
      <c r="N489" s="3">
        <f>L489/K489</f>
        <v>1.0123595505617977</v>
      </c>
      <c r="O489" s="3" t="s">
        <v>35</v>
      </c>
      <c r="P489" s="3" t="s">
        <v>245</v>
      </c>
      <c r="Q489" s="3" t="s">
        <v>504</v>
      </c>
      <c r="R489" s="3">
        <v>0</v>
      </c>
      <c r="S489" s="3">
        <v>1</v>
      </c>
      <c r="T489" s="3" t="s">
        <v>443</v>
      </c>
      <c r="U489" s="3" t="s">
        <v>37</v>
      </c>
      <c r="V489" s="3" t="s">
        <v>130</v>
      </c>
      <c r="W489" s="3" t="s">
        <v>60</v>
      </c>
      <c r="X489" s="3" t="s">
        <v>100</v>
      </c>
      <c r="Y489" s="3" t="s">
        <v>241</v>
      </c>
      <c r="Z489" s="3" t="s">
        <v>134</v>
      </c>
      <c r="AA489" s="3" t="s">
        <v>250</v>
      </c>
      <c r="AB489" s="3" t="s">
        <v>43</v>
      </c>
      <c r="AC489" s="3" t="s">
        <v>66</v>
      </c>
    </row>
    <row r="490" spans="1:29" x14ac:dyDescent="0.3">
      <c r="A490" s="3">
        <v>77</v>
      </c>
      <c r="B490" s="3" t="s">
        <v>55</v>
      </c>
      <c r="C490" s="3" t="s">
        <v>56</v>
      </c>
      <c r="D490" s="3" t="s">
        <v>31</v>
      </c>
      <c r="E490" s="3" t="s">
        <v>32</v>
      </c>
      <c r="F490" s="5">
        <v>46022</v>
      </c>
      <c r="G490" s="3">
        <v>2025</v>
      </c>
      <c r="H490" s="3" t="s">
        <v>44</v>
      </c>
      <c r="I490" s="3" t="s">
        <v>465</v>
      </c>
      <c r="J490" s="3"/>
      <c r="K490" s="3">
        <v>97</v>
      </c>
      <c r="L490" s="3">
        <v>95.72</v>
      </c>
      <c r="M490" s="3">
        <f>+L490/K490</f>
        <v>0.98680412371134019</v>
      </c>
      <c r="N490" s="3">
        <f>+L490/K490</f>
        <v>0.98680412371134019</v>
      </c>
      <c r="O490" s="3" t="s">
        <v>58</v>
      </c>
      <c r="P490" s="3" t="s">
        <v>58</v>
      </c>
      <c r="Q490" s="3" t="s">
        <v>503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56</v>
      </c>
      <c r="W490" s="3" t="s">
        <v>60</v>
      </c>
      <c r="X490" s="3" t="s">
        <v>61</v>
      </c>
      <c r="Y490" s="3" t="s">
        <v>62</v>
      </c>
      <c r="Z490" s="3" t="s">
        <v>63</v>
      </c>
      <c r="AA490" s="3" t="s">
        <v>64</v>
      </c>
      <c r="AB490" s="3" t="s">
        <v>65</v>
      </c>
      <c r="AC490" s="3" t="s">
        <v>66</v>
      </c>
    </row>
    <row r="491" spans="1:29" x14ac:dyDescent="0.3">
      <c r="A491" s="3">
        <v>96</v>
      </c>
      <c r="B491" s="3" t="s">
        <v>70</v>
      </c>
      <c r="C491" s="3" t="s">
        <v>71</v>
      </c>
      <c r="D491" s="3" t="s">
        <v>66</v>
      </c>
      <c r="E491" s="3" t="s">
        <v>32</v>
      </c>
      <c r="F491" s="5">
        <v>46022</v>
      </c>
      <c r="G491" s="3">
        <v>2025</v>
      </c>
      <c r="H491" s="3" t="s">
        <v>44</v>
      </c>
      <c r="I491" s="3" t="s">
        <v>465</v>
      </c>
      <c r="J491" s="3">
        <v>2</v>
      </c>
      <c r="K491" s="3">
        <v>739</v>
      </c>
      <c r="L491" s="3">
        <v>373</v>
      </c>
      <c r="M491" s="3">
        <f>+L491/K491</f>
        <v>0.50473612990527739</v>
      </c>
      <c r="N491" s="3">
        <f>+L491/K491</f>
        <v>0.50473612990527739</v>
      </c>
      <c r="O491" s="3" t="s">
        <v>35</v>
      </c>
      <c r="P491" s="3" t="s">
        <v>35</v>
      </c>
      <c r="Q491" s="3" t="s">
        <v>507</v>
      </c>
      <c r="R491" s="3">
        <v>0</v>
      </c>
      <c r="S491" s="3">
        <v>0</v>
      </c>
      <c r="T491" s="3" t="s">
        <v>31</v>
      </c>
      <c r="U491" s="3" t="s">
        <v>37</v>
      </c>
      <c r="V491" s="3" t="s">
        <v>71</v>
      </c>
      <c r="W491" s="3" t="s">
        <v>73</v>
      </c>
      <c r="X491" s="3" t="s">
        <v>74</v>
      </c>
      <c r="Y491" s="3" t="s">
        <v>75</v>
      </c>
      <c r="Z491" s="3" t="s">
        <v>76</v>
      </c>
      <c r="AA491" s="3" t="s">
        <v>77</v>
      </c>
      <c r="AB491" s="3" t="s">
        <v>78</v>
      </c>
      <c r="AC491" s="3" t="s">
        <v>66</v>
      </c>
    </row>
    <row r="492" spans="1:29" x14ac:dyDescent="0.3">
      <c r="A492" s="3">
        <v>96</v>
      </c>
      <c r="B492" s="3" t="s">
        <v>70</v>
      </c>
      <c r="C492" s="3" t="s">
        <v>71</v>
      </c>
      <c r="D492" s="3" t="s">
        <v>66</v>
      </c>
      <c r="E492" s="3" t="s">
        <v>32</v>
      </c>
      <c r="F492" s="5">
        <v>46022</v>
      </c>
      <c r="G492" s="3">
        <v>2025</v>
      </c>
      <c r="H492" s="3" t="s">
        <v>44</v>
      </c>
      <c r="I492" s="3" t="s">
        <v>465</v>
      </c>
      <c r="J492" s="3"/>
      <c r="K492" s="3">
        <v>739</v>
      </c>
      <c r="L492" s="3">
        <v>373</v>
      </c>
      <c r="M492" s="3">
        <f>+L492/K492</f>
        <v>0.50473612990527739</v>
      </c>
      <c r="N492" s="3">
        <f>+L492/K492</f>
        <v>0.50473612990527739</v>
      </c>
      <c r="O492" s="3" t="s">
        <v>35</v>
      </c>
      <c r="P492" s="3" t="s">
        <v>35</v>
      </c>
      <c r="Q492" s="3" t="s">
        <v>507</v>
      </c>
      <c r="R492" s="3">
        <v>0</v>
      </c>
      <c r="S492" s="3">
        <v>0</v>
      </c>
      <c r="T492" s="3" t="s">
        <v>443</v>
      </c>
      <c r="U492" s="3" t="s">
        <v>37</v>
      </c>
      <c r="V492" s="3" t="s">
        <v>71</v>
      </c>
      <c r="W492" s="3" t="s">
        <v>73</v>
      </c>
      <c r="X492" s="3" t="s">
        <v>74</v>
      </c>
      <c r="Y492" s="3" t="s">
        <v>75</v>
      </c>
      <c r="Z492" s="3" t="s">
        <v>76</v>
      </c>
      <c r="AA492" s="3" t="s">
        <v>77</v>
      </c>
      <c r="AB492" s="3" t="s">
        <v>78</v>
      </c>
      <c r="AC492" s="3" t="s">
        <v>66</v>
      </c>
    </row>
    <row r="493" spans="1:29" x14ac:dyDescent="0.3">
      <c r="A493" s="3">
        <v>193</v>
      </c>
      <c r="B493" s="7" t="s">
        <v>478</v>
      </c>
      <c r="C493" s="3" t="s">
        <v>30</v>
      </c>
      <c r="D493" s="3" t="s">
        <v>31</v>
      </c>
      <c r="E493" s="3" t="s">
        <v>32</v>
      </c>
      <c r="F493" s="5">
        <v>46022</v>
      </c>
      <c r="G493" s="3">
        <v>2025</v>
      </c>
      <c r="H493" s="3" t="s">
        <v>44</v>
      </c>
      <c r="I493" s="3" t="s">
        <v>465</v>
      </c>
      <c r="J493" s="3"/>
      <c r="K493" s="3">
        <v>94</v>
      </c>
      <c r="L493" s="3">
        <v>95</v>
      </c>
      <c r="M493" s="3">
        <f>+L493/K493</f>
        <v>1.0106382978723405</v>
      </c>
      <c r="N493" s="3">
        <f>+L493/K493</f>
        <v>1.0106382978723405</v>
      </c>
      <c r="O493" s="3" t="s">
        <v>58</v>
      </c>
      <c r="P493" s="3" t="s">
        <v>58</v>
      </c>
      <c r="Q493" s="3" t="s">
        <v>511</v>
      </c>
      <c r="R493" s="3">
        <v>1</v>
      </c>
      <c r="S493" s="3">
        <v>1</v>
      </c>
      <c r="T493" s="3" t="s">
        <v>443</v>
      </c>
      <c r="U493" s="3" t="s">
        <v>37</v>
      </c>
      <c r="V493" s="3" t="s">
        <v>30</v>
      </c>
      <c r="W493" s="3" t="s">
        <v>112</v>
      </c>
      <c r="X493" s="3" t="s">
        <v>113</v>
      </c>
      <c r="Y493" s="3" t="s">
        <v>114</v>
      </c>
      <c r="Z493" s="3" t="s">
        <v>63</v>
      </c>
      <c r="AA493" s="3" t="s">
        <v>115</v>
      </c>
      <c r="AB493" s="3" t="s">
        <v>65</v>
      </c>
      <c r="AC493" s="3" t="s">
        <v>31</v>
      </c>
    </row>
    <row r="494" spans="1:29" x14ac:dyDescent="0.3">
      <c r="A494" s="3">
        <v>194</v>
      </c>
      <c r="B494" s="3" t="s">
        <v>121</v>
      </c>
      <c r="C494" s="3" t="s">
        <v>30</v>
      </c>
      <c r="D494" s="3" t="s">
        <v>31</v>
      </c>
      <c r="E494" s="3" t="s">
        <v>32</v>
      </c>
      <c r="F494" s="5">
        <v>46022</v>
      </c>
      <c r="G494" s="3">
        <v>2025</v>
      </c>
      <c r="H494" s="3" t="s">
        <v>44</v>
      </c>
      <c r="I494" s="3" t="s">
        <v>465</v>
      </c>
      <c r="J494" s="3"/>
      <c r="K494" s="3">
        <v>85</v>
      </c>
      <c r="L494" s="3">
        <v>89.9</v>
      </c>
      <c r="M494" s="3">
        <f t="shared" ref="M494" si="99">+L494/K494</f>
        <v>1.0576470588235294</v>
      </c>
      <c r="N494" s="3">
        <f t="shared" ref="N494" si="100">+L494/K494</f>
        <v>1.0576470588235294</v>
      </c>
      <c r="O494" s="3" t="s">
        <v>58</v>
      </c>
      <c r="P494" s="3" t="s">
        <v>58</v>
      </c>
      <c r="Q494" s="3" t="s">
        <v>419</v>
      </c>
      <c r="R494" s="3">
        <v>0</v>
      </c>
      <c r="S494" s="3">
        <v>0</v>
      </c>
      <c r="T494" s="3" t="s">
        <v>443</v>
      </c>
      <c r="U494" s="3" t="s">
        <v>37</v>
      </c>
      <c r="V494" s="3" t="s">
        <v>30</v>
      </c>
      <c r="W494" s="3" t="s">
        <v>112</v>
      </c>
      <c r="X494" s="3" t="s">
        <v>113</v>
      </c>
      <c r="Y494" s="3" t="s">
        <v>123</v>
      </c>
      <c r="Z494" s="3" t="s">
        <v>41</v>
      </c>
      <c r="AA494" s="3" t="s">
        <v>124</v>
      </c>
      <c r="AB494" s="3" t="s">
        <v>43</v>
      </c>
      <c r="AC494" s="3" t="s">
        <v>66</v>
      </c>
    </row>
    <row r="495" spans="1:29" x14ac:dyDescent="0.3">
      <c r="A495" s="3">
        <v>200</v>
      </c>
      <c r="B495" s="3" t="s">
        <v>129</v>
      </c>
      <c r="C495" s="3" t="s">
        <v>130</v>
      </c>
      <c r="D495" s="3" t="s">
        <v>66</v>
      </c>
      <c r="E495" s="3" t="s">
        <v>32</v>
      </c>
      <c r="F495" s="5">
        <v>46022</v>
      </c>
      <c r="G495" s="3">
        <v>2025</v>
      </c>
      <c r="H495" s="3" t="s">
        <v>44</v>
      </c>
      <c r="I495" s="3" t="s">
        <v>465</v>
      </c>
      <c r="J495" s="3">
        <v>2</v>
      </c>
      <c r="K495" s="3">
        <v>87</v>
      </c>
      <c r="L495" s="3">
        <v>90.85</v>
      </c>
      <c r="M495" s="3">
        <f>+L495/K495</f>
        <v>1.0442528735632184</v>
      </c>
      <c r="N495" s="3">
        <f>L495/K495</f>
        <v>1.0442528735632184</v>
      </c>
      <c r="O495" s="3" t="s">
        <v>58</v>
      </c>
      <c r="P495" s="3" t="s">
        <v>58</v>
      </c>
      <c r="Q495" s="3" t="s">
        <v>512</v>
      </c>
      <c r="R495" s="3">
        <v>0</v>
      </c>
      <c r="S495" s="3">
        <v>1</v>
      </c>
      <c r="T495" s="3" t="s">
        <v>31</v>
      </c>
      <c r="U495" s="3" t="s">
        <v>37</v>
      </c>
      <c r="V495" s="3" t="s">
        <v>130</v>
      </c>
      <c r="W495" s="3" t="s">
        <v>60</v>
      </c>
      <c r="X495" s="3" t="s">
        <v>100</v>
      </c>
      <c r="Y495" s="3" t="s">
        <v>133</v>
      </c>
      <c r="Z495" s="3" t="s">
        <v>134</v>
      </c>
      <c r="AA495" s="3" t="s">
        <v>135</v>
      </c>
      <c r="AB495" s="3" t="s">
        <v>43</v>
      </c>
      <c r="AC495" s="3" t="s">
        <v>66</v>
      </c>
    </row>
    <row r="496" spans="1:29" x14ac:dyDescent="0.3">
      <c r="A496" s="3">
        <v>200</v>
      </c>
      <c r="B496" s="3" t="s">
        <v>129</v>
      </c>
      <c r="C496" s="3" t="s">
        <v>130</v>
      </c>
      <c r="D496" s="3" t="s">
        <v>66</v>
      </c>
      <c r="E496" s="3" t="s">
        <v>32</v>
      </c>
      <c r="F496" s="5">
        <v>46022</v>
      </c>
      <c r="G496" s="3">
        <v>2025</v>
      </c>
      <c r="H496" s="3" t="s">
        <v>44</v>
      </c>
      <c r="I496" s="3" t="s">
        <v>465</v>
      </c>
      <c r="J496" s="3"/>
      <c r="K496" s="3">
        <v>87</v>
      </c>
      <c r="L496" s="3">
        <v>90.85</v>
      </c>
      <c r="M496" s="3">
        <f>+L496/K496</f>
        <v>1.0442528735632184</v>
      </c>
      <c r="N496" s="3">
        <f>L496/K496</f>
        <v>1.0442528735632184</v>
      </c>
      <c r="O496" s="3" t="s">
        <v>58</v>
      </c>
      <c r="P496" s="3" t="s">
        <v>58</v>
      </c>
      <c r="Q496" s="3" t="s">
        <v>512</v>
      </c>
      <c r="R496" s="3">
        <v>0</v>
      </c>
      <c r="S496" s="3">
        <v>1</v>
      </c>
      <c r="T496" s="3" t="s">
        <v>443</v>
      </c>
      <c r="U496" s="3" t="s">
        <v>37</v>
      </c>
      <c r="V496" s="3" t="s">
        <v>130</v>
      </c>
      <c r="W496" s="3" t="s">
        <v>60</v>
      </c>
      <c r="X496" s="3" t="s">
        <v>100</v>
      </c>
      <c r="Y496" s="3" t="s">
        <v>133</v>
      </c>
      <c r="Z496" s="3" t="s">
        <v>134</v>
      </c>
      <c r="AA496" s="3" t="s">
        <v>135</v>
      </c>
      <c r="AB496" s="3" t="s">
        <v>43</v>
      </c>
      <c r="AC496" s="3" t="s">
        <v>66</v>
      </c>
    </row>
    <row r="497" spans="1:29" x14ac:dyDescent="0.3">
      <c r="A497" s="3">
        <v>245</v>
      </c>
      <c r="B497" s="3" t="s">
        <v>185</v>
      </c>
      <c r="C497" s="3" t="s">
        <v>186</v>
      </c>
      <c r="D497" s="3" t="s">
        <v>31</v>
      </c>
      <c r="E497" s="3" t="s">
        <v>32</v>
      </c>
      <c r="F497" s="5">
        <v>46022</v>
      </c>
      <c r="G497" s="3">
        <v>2025</v>
      </c>
      <c r="H497" s="3" t="s">
        <v>44</v>
      </c>
      <c r="I497" s="3" t="s">
        <v>465</v>
      </c>
      <c r="J497" s="3"/>
      <c r="K497" s="3">
        <v>86.1</v>
      </c>
      <c r="L497" s="3">
        <v>86.2</v>
      </c>
      <c r="M497" s="3">
        <f t="shared" ref="M497" si="101">+L497/K497</f>
        <v>1.0011614401858304</v>
      </c>
      <c r="N497" s="3">
        <f t="shared" ref="N497" si="102">+L497/K497</f>
        <v>1.0011614401858304</v>
      </c>
      <c r="O497" s="3" t="s">
        <v>58</v>
      </c>
      <c r="P497" s="3" t="s">
        <v>58</v>
      </c>
      <c r="Q497" s="3" t="s">
        <v>421</v>
      </c>
      <c r="R497" s="3">
        <v>1</v>
      </c>
      <c r="S497" s="3">
        <v>1</v>
      </c>
      <c r="T497" s="3" t="s">
        <v>443</v>
      </c>
      <c r="U497" s="3" t="s">
        <v>37</v>
      </c>
      <c r="V497" s="3" t="s">
        <v>186</v>
      </c>
      <c r="W497" s="3" t="s">
        <v>112</v>
      </c>
      <c r="X497" s="3" t="s">
        <v>113</v>
      </c>
      <c r="Y497" s="3" t="s">
        <v>123</v>
      </c>
      <c r="Z497" s="3" t="s">
        <v>41</v>
      </c>
      <c r="AA497" s="3" t="s">
        <v>42</v>
      </c>
      <c r="AB497" s="3" t="s">
        <v>65</v>
      </c>
      <c r="AC497" s="3" t="s">
        <v>31</v>
      </c>
    </row>
    <row r="498" spans="1:29" x14ac:dyDescent="0.3">
      <c r="A498" s="3">
        <v>276</v>
      </c>
      <c r="B498" s="3" t="s">
        <v>201</v>
      </c>
      <c r="C498" s="3" t="s">
        <v>202</v>
      </c>
      <c r="D498" s="3" t="s">
        <v>31</v>
      </c>
      <c r="E498" s="3" t="s">
        <v>171</v>
      </c>
      <c r="F498" s="5">
        <v>46022</v>
      </c>
      <c r="G498" s="3">
        <v>2025</v>
      </c>
      <c r="H498" s="3" t="s">
        <v>44</v>
      </c>
      <c r="I498" s="3" t="s">
        <v>465</v>
      </c>
      <c r="J498" s="3"/>
      <c r="K498" s="3">
        <v>81</v>
      </c>
      <c r="L498" s="3">
        <v>82.81</v>
      </c>
      <c r="M498" s="3">
        <f t="shared" ref="M498:M499" si="103">+K498/L498</f>
        <v>0.97814273638449456</v>
      </c>
      <c r="N498" s="3">
        <f t="shared" ref="N498:N499" si="104">+K498/L498</f>
        <v>0.97814273638449456</v>
      </c>
      <c r="O498" s="3" t="s">
        <v>35</v>
      </c>
      <c r="P498" s="3" t="s">
        <v>245</v>
      </c>
      <c r="Q498" s="3" t="s">
        <v>514</v>
      </c>
      <c r="R498" s="3">
        <v>0</v>
      </c>
      <c r="S498" s="3">
        <v>1</v>
      </c>
      <c r="T498" s="3" t="s">
        <v>443</v>
      </c>
      <c r="U498" s="3" t="s">
        <v>37</v>
      </c>
      <c r="V498" s="3" t="s">
        <v>202</v>
      </c>
      <c r="W498" s="3" t="s">
        <v>73</v>
      </c>
      <c r="X498" s="3" t="s">
        <v>74</v>
      </c>
      <c r="Y498" s="3" t="s">
        <v>75</v>
      </c>
      <c r="Z498" s="3" t="s">
        <v>86</v>
      </c>
      <c r="AA498" s="3" t="s">
        <v>204</v>
      </c>
      <c r="AB498" s="3" t="s">
        <v>65</v>
      </c>
      <c r="AC498" s="3" t="s">
        <v>31</v>
      </c>
    </row>
    <row r="499" spans="1:29" x14ac:dyDescent="0.3">
      <c r="A499" s="3">
        <v>277</v>
      </c>
      <c r="B499" s="3" t="s">
        <v>210</v>
      </c>
      <c r="C499" s="3" t="s">
        <v>202</v>
      </c>
      <c r="D499" s="3" t="s">
        <v>31</v>
      </c>
      <c r="E499" s="3" t="s">
        <v>171</v>
      </c>
      <c r="F499" s="5">
        <v>46022</v>
      </c>
      <c r="G499" s="3">
        <v>2025</v>
      </c>
      <c r="H499" s="3" t="s">
        <v>44</v>
      </c>
      <c r="I499" s="3" t="s">
        <v>465</v>
      </c>
      <c r="J499" s="3"/>
      <c r="K499" s="3">
        <v>71</v>
      </c>
      <c r="L499" s="3">
        <v>68.400000000000006</v>
      </c>
      <c r="M499" s="3">
        <f t="shared" si="103"/>
        <v>1.0380116959064327</v>
      </c>
      <c r="N499" s="3">
        <f t="shared" si="104"/>
        <v>1.0380116959064327</v>
      </c>
      <c r="O499" s="3" t="s">
        <v>35</v>
      </c>
      <c r="P499" s="3" t="s">
        <v>245</v>
      </c>
      <c r="Q499" s="3" t="s">
        <v>515</v>
      </c>
      <c r="R499" s="3">
        <v>1</v>
      </c>
      <c r="S499" s="3">
        <v>1</v>
      </c>
      <c r="T499" s="3" t="s">
        <v>443</v>
      </c>
      <c r="U499" s="3" t="s">
        <v>37</v>
      </c>
      <c r="V499" s="3" t="s">
        <v>202</v>
      </c>
      <c r="W499" s="3" t="s">
        <v>73</v>
      </c>
      <c r="X499" s="3" t="s">
        <v>74</v>
      </c>
      <c r="Y499" s="3"/>
      <c r="Z499" s="3" t="s">
        <v>86</v>
      </c>
      <c r="AA499" s="3" t="s">
        <v>204</v>
      </c>
      <c r="AB499" s="3" t="s">
        <v>65</v>
      </c>
      <c r="AC499" s="3" t="s">
        <v>31</v>
      </c>
    </row>
    <row r="500" spans="1:29" x14ac:dyDescent="0.3">
      <c r="A500" s="3">
        <v>364</v>
      </c>
      <c r="B500" s="3" t="s">
        <v>271</v>
      </c>
      <c r="C500" s="3" t="s">
        <v>267</v>
      </c>
      <c r="D500" s="3" t="s">
        <v>31</v>
      </c>
      <c r="E500" s="3" t="s">
        <v>171</v>
      </c>
      <c r="F500" s="5">
        <v>46022</v>
      </c>
      <c r="G500" s="3">
        <v>2025</v>
      </c>
      <c r="H500" s="3" t="s">
        <v>44</v>
      </c>
      <c r="I500" s="3" t="s">
        <v>465</v>
      </c>
      <c r="J500" s="3"/>
      <c r="K500" s="3">
        <v>83197</v>
      </c>
      <c r="L500" s="3">
        <v>70233</v>
      </c>
      <c r="M500" s="3">
        <f t="shared" ref="M500:M501" si="105">+L500/K500</f>
        <v>0.84417707369256101</v>
      </c>
      <c r="N500" s="3">
        <f t="shared" ref="N500" si="106">+L500/K500</f>
        <v>0.84417707369256101</v>
      </c>
      <c r="O500" s="3" t="s">
        <v>35</v>
      </c>
      <c r="P500" s="3" t="s">
        <v>35</v>
      </c>
      <c r="Q500" s="3" t="s">
        <v>516</v>
      </c>
      <c r="R500" s="3">
        <v>0</v>
      </c>
      <c r="S500" s="3">
        <v>0</v>
      </c>
      <c r="T500" s="3" t="s">
        <v>443</v>
      </c>
      <c r="U500" s="3" t="s">
        <v>37</v>
      </c>
      <c r="V500" s="3" t="s">
        <v>267</v>
      </c>
      <c r="W500" s="3" t="s">
        <v>145</v>
      </c>
      <c r="X500" s="3" t="s">
        <v>179</v>
      </c>
      <c r="Y500" s="3" t="s">
        <v>273</v>
      </c>
      <c r="Z500" s="3" t="s">
        <v>274</v>
      </c>
      <c r="AA500" s="3" t="s">
        <v>275</v>
      </c>
      <c r="AB500" s="3" t="s">
        <v>78</v>
      </c>
      <c r="AC500" s="3" t="s">
        <v>66</v>
      </c>
    </row>
    <row r="501" spans="1:29" x14ac:dyDescent="0.3">
      <c r="A501" s="3">
        <v>369</v>
      </c>
      <c r="B501" s="3" t="s">
        <v>283</v>
      </c>
      <c r="C501" s="3" t="s">
        <v>267</v>
      </c>
      <c r="D501" s="3" t="s">
        <v>31</v>
      </c>
      <c r="E501" s="3" t="s">
        <v>32</v>
      </c>
      <c r="F501" s="5">
        <v>46022</v>
      </c>
      <c r="G501" s="3">
        <v>2025</v>
      </c>
      <c r="H501" s="3" t="s">
        <v>44</v>
      </c>
      <c r="I501" s="3" t="s">
        <v>465</v>
      </c>
      <c r="J501" s="3"/>
      <c r="K501" s="3">
        <v>190</v>
      </c>
      <c r="L501" s="3">
        <v>190</v>
      </c>
      <c r="M501" s="3">
        <f t="shared" si="105"/>
        <v>1</v>
      </c>
      <c r="N501" s="3">
        <f>+L501/K501</f>
        <v>1</v>
      </c>
      <c r="O501" s="3" t="s">
        <v>35</v>
      </c>
      <c r="P501" s="3" t="s">
        <v>35</v>
      </c>
      <c r="Q501" s="3" t="s">
        <v>517</v>
      </c>
      <c r="R501" s="3">
        <v>0</v>
      </c>
      <c r="S501" s="3">
        <v>0</v>
      </c>
      <c r="T501" s="3" t="s">
        <v>443</v>
      </c>
      <c r="U501" s="3" t="s">
        <v>37</v>
      </c>
      <c r="V501" s="3" t="s">
        <v>267</v>
      </c>
      <c r="W501" s="3" t="s">
        <v>145</v>
      </c>
      <c r="X501" s="3" t="s">
        <v>179</v>
      </c>
      <c r="Y501" s="3" t="s">
        <v>273</v>
      </c>
      <c r="Z501" s="3" t="s">
        <v>41</v>
      </c>
      <c r="AA501" s="3" t="s">
        <v>42</v>
      </c>
      <c r="AB501" s="3" t="s">
        <v>78</v>
      </c>
      <c r="AC501" s="3" t="s">
        <v>66</v>
      </c>
    </row>
    <row r="502" spans="1:29" x14ac:dyDescent="0.3">
      <c r="A502" s="3">
        <v>379</v>
      </c>
      <c r="B502" s="3" t="s">
        <v>301</v>
      </c>
      <c r="C502" s="3" t="s">
        <v>302</v>
      </c>
      <c r="D502" s="3" t="s">
        <v>31</v>
      </c>
      <c r="E502" s="3" t="s">
        <v>32</v>
      </c>
      <c r="F502" s="5">
        <v>46022</v>
      </c>
      <c r="G502" s="3">
        <v>2025</v>
      </c>
      <c r="H502" s="3" t="s">
        <v>44</v>
      </c>
      <c r="I502" s="3" t="s">
        <v>465</v>
      </c>
      <c r="J502" s="3"/>
      <c r="K502" s="3">
        <f>+K419+K418</f>
        <v>24628</v>
      </c>
      <c r="L502" s="3">
        <f>+L419+L418</f>
        <v>25365</v>
      </c>
      <c r="M502" s="3">
        <f>+L502/K502</f>
        <v>1.0299252882897516</v>
      </c>
      <c r="N502" s="3">
        <f>+L502/K502</f>
        <v>1.0299252882897516</v>
      </c>
      <c r="O502" s="3" t="s">
        <v>35</v>
      </c>
      <c r="P502" s="3" t="s">
        <v>35</v>
      </c>
      <c r="Q502" s="3" t="str">
        <f>A502&amp;"-"&amp;TEXT(F502,"yyyy-mm-dd")</f>
        <v>379-2025-12-31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302</v>
      </c>
      <c r="W502" s="3" t="s">
        <v>38</v>
      </c>
      <c r="X502" s="3" t="s">
        <v>39</v>
      </c>
      <c r="Y502" s="3" t="s">
        <v>40</v>
      </c>
      <c r="Z502" s="3" t="s">
        <v>41</v>
      </c>
      <c r="AA502" s="3" t="s">
        <v>42</v>
      </c>
      <c r="AB502" s="3" t="s">
        <v>78</v>
      </c>
      <c r="AC502" s="3" t="s">
        <v>31</v>
      </c>
    </row>
    <row r="503" spans="1:29" x14ac:dyDescent="0.3">
      <c r="A503" s="3">
        <v>98</v>
      </c>
      <c r="B503" s="3" t="s">
        <v>91</v>
      </c>
      <c r="C503" s="3" t="s">
        <v>83</v>
      </c>
      <c r="D503" s="3" t="s">
        <v>31</v>
      </c>
      <c r="E503" s="3" t="s">
        <v>32</v>
      </c>
      <c r="F503" s="5">
        <v>46022</v>
      </c>
      <c r="G503" s="3">
        <v>2025</v>
      </c>
      <c r="H503" s="3" t="s">
        <v>44</v>
      </c>
      <c r="I503" s="3" t="s">
        <v>465</v>
      </c>
      <c r="J503" s="3"/>
      <c r="K503" s="3">
        <v>15</v>
      </c>
      <c r="L503" s="3">
        <v>15</v>
      </c>
      <c r="M503" s="3">
        <f>L503/K503</f>
        <v>1</v>
      </c>
      <c r="N503" s="3">
        <f>L503/K503</f>
        <v>1</v>
      </c>
      <c r="O503" s="3" t="s">
        <v>35</v>
      </c>
      <c r="P503" s="3" t="s">
        <v>35</v>
      </c>
      <c r="Q503" s="3" t="s">
        <v>509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83</v>
      </c>
      <c r="W503" s="3" t="s">
        <v>38</v>
      </c>
      <c r="X503" s="3" t="s">
        <v>39</v>
      </c>
      <c r="Y503" s="3" t="s">
        <v>85</v>
      </c>
      <c r="Z503" s="3" t="s">
        <v>86</v>
      </c>
      <c r="AA503" s="3" t="s">
        <v>87</v>
      </c>
      <c r="AB503" s="3" t="s">
        <v>78</v>
      </c>
      <c r="AC503" s="3" t="s">
        <v>66</v>
      </c>
    </row>
    <row r="504" spans="1:29" x14ac:dyDescent="0.3">
      <c r="A504" s="3">
        <v>460</v>
      </c>
      <c r="B504" s="3" t="s">
        <v>329</v>
      </c>
      <c r="C504" s="3" t="s">
        <v>130</v>
      </c>
      <c r="D504" s="3" t="s">
        <v>66</v>
      </c>
      <c r="E504" s="3" t="s">
        <v>32</v>
      </c>
      <c r="F504" s="5">
        <v>45838</v>
      </c>
      <c r="G504" s="3">
        <v>2025</v>
      </c>
      <c r="H504" s="3" t="s">
        <v>44</v>
      </c>
      <c r="I504" s="3" t="s">
        <v>465</v>
      </c>
      <c r="J504" s="3"/>
      <c r="K504" s="3">
        <v>80</v>
      </c>
      <c r="L504" s="3">
        <v>84.18</v>
      </c>
      <c r="M504" s="3">
        <f>L504/K504</f>
        <v>1.0522500000000001</v>
      </c>
      <c r="N504" s="3">
        <f>L504/K504</f>
        <v>1.0522500000000001</v>
      </c>
      <c r="O504" s="3" t="s">
        <v>58</v>
      </c>
      <c r="P504" s="3" t="s">
        <v>58</v>
      </c>
      <c r="Q504" s="3" t="s">
        <v>519</v>
      </c>
      <c r="R504" s="3">
        <v>0</v>
      </c>
      <c r="S504" s="3">
        <v>1</v>
      </c>
      <c r="T504" s="3" t="s">
        <v>443</v>
      </c>
      <c r="U504" s="3" t="s">
        <v>37</v>
      </c>
      <c r="V504" s="3" t="s">
        <v>130</v>
      </c>
      <c r="W504" s="3" t="s">
        <v>73</v>
      </c>
      <c r="X504" s="3" t="s">
        <v>218</v>
      </c>
      <c r="Y504" s="3" t="s">
        <v>331</v>
      </c>
      <c r="Z504" s="3" t="s">
        <v>134</v>
      </c>
      <c r="AA504" s="3" t="s">
        <v>135</v>
      </c>
      <c r="AB504" s="3" t="s">
        <v>43</v>
      </c>
      <c r="AC504" s="3" t="s">
        <v>66</v>
      </c>
    </row>
    <row r="505" spans="1:29" x14ac:dyDescent="0.3">
      <c r="A505" s="3">
        <v>207</v>
      </c>
      <c r="B505" s="3" t="s">
        <v>170</v>
      </c>
      <c r="C505" s="3" t="s">
        <v>142</v>
      </c>
      <c r="D505" s="3" t="s">
        <v>31</v>
      </c>
      <c r="E505" s="3" t="s">
        <v>171</v>
      </c>
      <c r="F505" s="5">
        <v>46022</v>
      </c>
      <c r="G505" s="3">
        <v>2025</v>
      </c>
      <c r="H505" s="3" t="s">
        <v>44</v>
      </c>
      <c r="I505" s="3" t="s">
        <v>465</v>
      </c>
      <c r="J505" s="3">
        <v>2</v>
      </c>
      <c r="K505" s="3">
        <v>277178.213544</v>
      </c>
      <c r="L505" s="3">
        <f>170629020928/1000000</f>
        <v>170629.02092800001</v>
      </c>
      <c r="M505" s="3">
        <f>L505/K505</f>
        <v>0.6155931909161898</v>
      </c>
      <c r="N505" s="3">
        <f>L505/K505</f>
        <v>0.6155931909161898</v>
      </c>
      <c r="O505" s="3" t="s">
        <v>143</v>
      </c>
      <c r="P505" s="3" t="s">
        <v>143</v>
      </c>
      <c r="Q505" s="3" t="s">
        <v>502</v>
      </c>
      <c r="R505" s="3">
        <v>0</v>
      </c>
      <c r="S505" s="3">
        <v>0</v>
      </c>
      <c r="T505" s="3" t="s">
        <v>443</v>
      </c>
      <c r="U505" s="3" t="s">
        <v>37</v>
      </c>
      <c r="V505" s="3" t="s">
        <v>142</v>
      </c>
      <c r="W505" s="3" t="s">
        <v>145</v>
      </c>
      <c r="X505" s="3" t="s">
        <v>146</v>
      </c>
      <c r="Y505" s="3" t="s">
        <v>147</v>
      </c>
      <c r="Z505" s="3" t="s">
        <v>63</v>
      </c>
      <c r="AA505" s="3" t="s">
        <v>148</v>
      </c>
      <c r="AB505" s="3" t="s">
        <v>43</v>
      </c>
      <c r="AC505" s="3" t="s">
        <v>66</v>
      </c>
    </row>
    <row r="506" spans="1:29" x14ac:dyDescent="0.3">
      <c r="A506" s="3">
        <v>331</v>
      </c>
      <c r="B506" s="3" t="s">
        <v>520</v>
      </c>
      <c r="C506" s="3" t="s">
        <v>232</v>
      </c>
      <c r="D506" s="3" t="s">
        <v>66</v>
      </c>
      <c r="E506" s="3" t="s">
        <v>32</v>
      </c>
      <c r="F506" s="5">
        <v>46022</v>
      </c>
      <c r="G506" s="3">
        <v>2025</v>
      </c>
      <c r="H506" s="3" t="s">
        <v>44</v>
      </c>
      <c r="I506" s="3" t="s">
        <v>465</v>
      </c>
      <c r="J506" s="3">
        <v>2</v>
      </c>
      <c r="K506" s="3">
        <v>0</v>
      </c>
      <c r="L506" s="3">
        <v>81.239999999999995</v>
      </c>
      <c r="M506" s="3"/>
      <c r="N506" s="3"/>
      <c r="O506" s="3" t="s">
        <v>429</v>
      </c>
      <c r="P506" s="3" t="s">
        <v>58</v>
      </c>
      <c r="Q506" s="3" t="s">
        <v>521</v>
      </c>
      <c r="R506" s="3">
        <v>0</v>
      </c>
      <c r="S506" s="3">
        <v>0</v>
      </c>
      <c r="T506" s="3" t="s">
        <v>443</v>
      </c>
      <c r="U506" s="3" t="s">
        <v>37</v>
      </c>
      <c r="V506" s="3" t="s">
        <v>232</v>
      </c>
      <c r="W506" s="3" t="s">
        <v>145</v>
      </c>
      <c r="X506" s="3" t="s">
        <v>179</v>
      </c>
      <c r="Y506" s="3" t="s">
        <v>235</v>
      </c>
      <c r="Z506" s="3" t="s">
        <v>236</v>
      </c>
      <c r="AA506" s="3" t="s">
        <v>237</v>
      </c>
      <c r="AB506" s="3" t="s">
        <v>43</v>
      </c>
      <c r="AC506" s="3" t="s">
        <v>66</v>
      </c>
    </row>
    <row r="507" spans="1:29" x14ac:dyDescent="0.3">
      <c r="A507" s="3">
        <v>325</v>
      </c>
      <c r="B507" s="3" t="s">
        <v>224</v>
      </c>
      <c r="C507" s="3" t="s">
        <v>216</v>
      </c>
      <c r="D507" s="3" t="s">
        <v>31</v>
      </c>
      <c r="E507" s="3" t="s">
        <v>32</v>
      </c>
      <c r="F507" s="5">
        <v>46022</v>
      </c>
      <c r="G507" s="3">
        <v>2025</v>
      </c>
      <c r="H507" s="3" t="s">
        <v>44</v>
      </c>
      <c r="I507" s="3" t="s">
        <v>465</v>
      </c>
      <c r="J507" s="3"/>
      <c r="K507" s="3">
        <v>12</v>
      </c>
      <c r="L507" s="3">
        <v>12</v>
      </c>
      <c r="M507" s="3">
        <v>1</v>
      </c>
      <c r="N507" s="3">
        <v>1</v>
      </c>
      <c r="O507" s="3" t="s">
        <v>35</v>
      </c>
      <c r="P507" s="3" t="s">
        <v>35</v>
      </c>
      <c r="Q507" s="3" t="s">
        <v>408</v>
      </c>
      <c r="R507" s="3">
        <v>0</v>
      </c>
      <c r="S507" s="3">
        <v>0</v>
      </c>
      <c r="T507" s="3" t="s">
        <v>31</v>
      </c>
      <c r="U507" s="3" t="s">
        <v>37</v>
      </c>
      <c r="V507" s="3" t="s">
        <v>216</v>
      </c>
      <c r="W507" s="3" t="s">
        <v>73</v>
      </c>
      <c r="X507" s="3" t="s">
        <v>218</v>
      </c>
      <c r="Y507" s="3" t="s">
        <v>219</v>
      </c>
      <c r="Z507" s="3" t="s">
        <v>86</v>
      </c>
      <c r="AA507" s="3" t="s">
        <v>87</v>
      </c>
      <c r="AB507" s="3" t="s">
        <v>78</v>
      </c>
      <c r="AC507" s="3" t="s">
        <v>66</v>
      </c>
    </row>
    <row r="508" spans="1:29" x14ac:dyDescent="0.3">
      <c r="A508" s="3">
        <v>323</v>
      </c>
      <c r="B508" s="3" t="s">
        <v>215</v>
      </c>
      <c r="C508" s="3" t="s">
        <v>216</v>
      </c>
      <c r="D508" s="3" t="s">
        <v>31</v>
      </c>
      <c r="E508" s="3" t="s">
        <v>32</v>
      </c>
      <c r="F508" s="5">
        <v>46022</v>
      </c>
      <c r="G508" s="3">
        <v>2025</v>
      </c>
      <c r="H508" s="3" t="s">
        <v>44</v>
      </c>
      <c r="I508" s="3" t="s">
        <v>465</v>
      </c>
      <c r="J508" s="3"/>
      <c r="K508" s="3">
        <v>7</v>
      </c>
      <c r="L508" s="3">
        <v>7</v>
      </c>
      <c r="M508" s="3">
        <v>1</v>
      </c>
      <c r="N508" s="3">
        <v>1</v>
      </c>
      <c r="O508" s="3" t="s">
        <v>35</v>
      </c>
      <c r="P508" s="3" t="s">
        <v>35</v>
      </c>
      <c r="Q508" s="3" t="s">
        <v>522</v>
      </c>
      <c r="R508" s="3">
        <v>0</v>
      </c>
      <c r="S508" s="3">
        <v>0</v>
      </c>
      <c r="T508" s="3" t="s">
        <v>443</v>
      </c>
      <c r="U508" s="3" t="s">
        <v>37</v>
      </c>
      <c r="V508" s="3" t="s">
        <v>216</v>
      </c>
      <c r="W508" s="3" t="s">
        <v>73</v>
      </c>
      <c r="X508" s="3" t="s">
        <v>218</v>
      </c>
      <c r="Y508" s="3" t="s">
        <v>219</v>
      </c>
      <c r="Z508" s="3" t="s">
        <v>86</v>
      </c>
      <c r="AA508" s="3" t="s">
        <v>87</v>
      </c>
      <c r="AB508" s="3" t="s">
        <v>78</v>
      </c>
      <c r="AC508" s="3" t="s">
        <v>66</v>
      </c>
    </row>
  </sheetData>
  <sortState xmlns:xlrd2="http://schemas.microsoft.com/office/spreadsheetml/2017/richdata2" ref="A2:AC475">
    <sortCondition ref="A2:A475"/>
    <sortCondition ref="F2:F475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 s="4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 s="4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 s="4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 s="4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 s="4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 s="4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 s="4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 s="4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 s="4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 s="4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 s="4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 s="4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 s="4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 s="4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 s="4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 s="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 s="4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 s="4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 s="4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2026-02-02T04:05:30Z</dcterms:modified>
</cp:coreProperties>
</file>