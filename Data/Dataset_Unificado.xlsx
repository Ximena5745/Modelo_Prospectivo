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367" documentId="11_C54DB9D477E07092D1C9E253F65DD242EE9209D1" xr6:coauthVersionLast="47" xr6:coauthVersionMax="47" xr10:uidLastSave="{FEAB8B40-8F77-4468-864B-6EFE92D92A01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3" i="1" l="1"/>
  <c r="N352" i="1"/>
  <c r="M352" i="1"/>
  <c r="M353" i="1"/>
  <c r="N132" i="1"/>
  <c r="M132" i="1"/>
  <c r="L218" i="1" l="1"/>
  <c r="L217" i="1"/>
  <c r="L487" i="1" l="1"/>
  <c r="L430" i="1"/>
  <c r="L453" i="1"/>
  <c r="L452" i="1"/>
  <c r="L448" i="1"/>
  <c r="L449" i="1"/>
  <c r="L447" i="1"/>
  <c r="L446" i="1"/>
  <c r="L486" i="1"/>
  <c r="L437" i="1"/>
  <c r="L432" i="1"/>
  <c r="L431" i="1"/>
  <c r="L445" i="1"/>
  <c r="L444" i="1"/>
  <c r="L439" i="1"/>
  <c r="G439" i="1"/>
  <c r="L438" i="1"/>
  <c r="G438" i="1"/>
  <c r="M485" i="1"/>
  <c r="M156" i="1"/>
  <c r="M480" i="1"/>
  <c r="M484" i="1"/>
  <c r="Q194" i="1"/>
  <c r="H194" i="1"/>
  <c r="G194" i="1"/>
  <c r="Q195" i="1"/>
  <c r="H195" i="1"/>
  <c r="G195" i="1"/>
  <c r="Q198" i="1"/>
  <c r="H198" i="1"/>
  <c r="G198" i="1"/>
  <c r="Q482" i="1"/>
  <c r="G482" i="1"/>
  <c r="H482" i="1"/>
  <c r="I482" i="1" s="1"/>
  <c r="I198" i="1" l="1"/>
  <c r="I195" i="1"/>
  <c r="I194" i="1"/>
  <c r="Q481" i="1"/>
  <c r="H481" i="1"/>
  <c r="G481" i="1"/>
  <c r="I481" i="1" l="1"/>
  <c r="Q360" i="1"/>
  <c r="G360" i="1"/>
  <c r="H360" i="1"/>
  <c r="Q196" i="1"/>
  <c r="Q197" i="1"/>
  <c r="Q193" i="1"/>
  <c r="H197" i="1"/>
  <c r="G197" i="1"/>
  <c r="H196" i="1"/>
  <c r="G196" i="1"/>
  <c r="G193" i="1"/>
  <c r="H193" i="1"/>
  <c r="H282" i="1"/>
  <c r="Q271" i="1"/>
  <c r="H271" i="1"/>
  <c r="G271" i="1"/>
  <c r="Q268" i="1"/>
  <c r="H268" i="1"/>
  <c r="G268" i="1"/>
  <c r="Q265" i="1"/>
  <c r="H265" i="1"/>
  <c r="G265" i="1"/>
  <c r="Q262" i="1"/>
  <c r="G262" i="1"/>
  <c r="H262" i="1"/>
  <c r="Q411" i="1"/>
  <c r="H411" i="1"/>
  <c r="G411" i="1"/>
  <c r="Q408" i="1"/>
  <c r="H408" i="1"/>
  <c r="G408" i="1"/>
  <c r="Q405" i="1"/>
  <c r="H405" i="1"/>
  <c r="G405" i="1"/>
  <c r="Q422" i="1"/>
  <c r="Q283" i="1"/>
  <c r="H283" i="1"/>
  <c r="G283" i="1"/>
  <c r="Q270" i="1"/>
  <c r="H270" i="1"/>
  <c r="G270" i="1"/>
  <c r="Q269" i="1"/>
  <c r="H269" i="1"/>
  <c r="G269" i="1"/>
  <c r="Q267" i="1"/>
  <c r="H267" i="1"/>
  <c r="G267" i="1"/>
  <c r="Q266" i="1"/>
  <c r="H266" i="1"/>
  <c r="G266" i="1"/>
  <c r="Q264" i="1"/>
  <c r="H264" i="1"/>
  <c r="G264" i="1"/>
  <c r="Q263" i="1"/>
  <c r="H263" i="1"/>
  <c r="G263" i="1"/>
  <c r="Q261" i="1"/>
  <c r="H261" i="1"/>
  <c r="G261" i="1"/>
  <c r="Q260" i="1"/>
  <c r="G260" i="1"/>
  <c r="H260" i="1"/>
  <c r="Q410" i="1"/>
  <c r="H410" i="1"/>
  <c r="G410" i="1"/>
  <c r="Q409" i="1"/>
  <c r="H409" i="1"/>
  <c r="G409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2" i="1"/>
  <c r="H402" i="1"/>
  <c r="G402" i="1"/>
  <c r="Q400" i="1"/>
  <c r="H400" i="1"/>
  <c r="G400" i="1"/>
  <c r="Q423" i="1"/>
  <c r="G423" i="1"/>
  <c r="H423" i="1"/>
  <c r="Q13" i="1"/>
  <c r="Q12" i="1"/>
  <c r="Q11" i="1"/>
  <c r="Q10" i="1"/>
  <c r="Q9" i="1"/>
  <c r="Q8" i="1"/>
  <c r="Q7" i="1"/>
  <c r="Q6" i="1"/>
  <c r="Q5" i="1"/>
  <c r="Q4" i="1"/>
  <c r="Q3" i="1"/>
  <c r="Q2" i="1"/>
  <c r="Q401" i="1"/>
  <c r="H401" i="1"/>
  <c r="G40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4" i="1"/>
  <c r="M363" i="1"/>
  <c r="I193" i="1" l="1"/>
  <c r="I360" i="1"/>
  <c r="I196" i="1"/>
  <c r="I197" i="1"/>
  <c r="I411" i="1"/>
  <c r="I271" i="1"/>
  <c r="I283" i="1"/>
  <c r="I408" i="1"/>
  <c r="I268" i="1"/>
  <c r="I265" i="1"/>
  <c r="I262" i="1"/>
  <c r="I405" i="1"/>
  <c r="I404" i="1"/>
  <c r="I410" i="1"/>
  <c r="I270" i="1"/>
  <c r="I266" i="1"/>
  <c r="I403" i="1"/>
  <c r="I409" i="1"/>
  <c r="I263" i="1"/>
  <c r="I267" i="1"/>
  <c r="I261" i="1"/>
  <c r="I264" i="1"/>
  <c r="I269" i="1"/>
  <c r="I260" i="1"/>
  <c r="I407" i="1"/>
  <c r="I402" i="1"/>
  <c r="I400" i="1"/>
  <c r="I406" i="1"/>
  <c r="I28" i="1"/>
  <c r="I52" i="1"/>
  <c r="I76" i="1"/>
  <c r="I423" i="1"/>
  <c r="I98" i="1"/>
  <c r="I4" i="1"/>
  <c r="I40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87" i="1"/>
</calcChain>
</file>

<file path=xl/sharedStrings.xml><?xml version="1.0" encoding="utf-8"?>
<sst xmlns="http://schemas.openxmlformats.org/spreadsheetml/2006/main" count="14032" uniqueCount="509">
  <si>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</si>
  <si>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</si>
  <si>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</si>
  <si>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</si>
  <si>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</si>
  <si>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</si>
  <si>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</si>
  <si>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</si>
  <si>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</si>
  <si>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</si>
  <si>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</si>
  <si>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</si>
  <si>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</si>
  <si>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</si>
  <si>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</si>
  <si>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</si>
  <si>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</si>
  <si>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</si>
  <si>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</si>
  <si>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</si>
  <si>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</si>
  <si>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</si>
  <si>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</si>
  <si>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</si>
  <si>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</si>
  <si>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</si>
  <si>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</si>
  <si>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</si>
  <si>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</si>
  <si>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</si>
  <si>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</si>
  <si>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</si>
  <si>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</si>
  <si>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</si>
  <si>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</si>
  <si>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</si>
  <si>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</si>
  <si>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</si>
  <si>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</si>
  <si>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</si>
  <si>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</si>
  <si>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</si>
  <si>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</si>
  <si>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</si>
  <si>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</si>
  <si>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</si>
  <si>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</si>
  <si>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</si>
  <si>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</si>
  <si>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</si>
  <si>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</si>
  <si>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</si>
  <si>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</si>
  <si>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</si>
  <si>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</si>
  <si>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</si>
  <si>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</si>
  <si>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</si>
  <si>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</si>
  <si>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</si>
  <si>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</si>
  <si>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</si>
  <si>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</si>
  <si>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</si>
  <si>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</si>
  <si>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</si>
  <si>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</si>
  <si>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</si>
  <si>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</si>
  <si>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</si>
  <si>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</si>
  <si>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</si>
  <si>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</si>
  <si>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</si>
  <si>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</si>
  <si>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</si>
  <si>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</si>
  <si>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</si>
  <si>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</si>
  <si>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</si>
  <si>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</si>
  <si>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</si>
  <si>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</si>
  <si>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</si>
  <si>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</si>
  <si>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</si>
  <si>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</si>
  <si>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</si>
  <si>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</si>
  <si>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</si>
  <si>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</si>
  <si>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</si>
  <si>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</si>
  <si>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</si>
  <si>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</si>
  <si>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</si>
  <si>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</si>
  <si>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</si>
  <si>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</si>
  <si>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</si>
  <si>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</si>
  <si>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</si>
  <si>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</si>
  <si>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</si>
  <si>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</si>
  <si>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</si>
  <si>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</si>
  <si>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</si>
  <si>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</si>
  <si>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</si>
  <si>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</si>
  <si>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</si>
  <si>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</si>
  <si>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</si>
  <si>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</si>
  <si>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</si>
  <si>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</si>
  <si>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</si>
  <si>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</si>
  <si>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</si>
  <si>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</si>
  <si>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</si>
  <si>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</si>
  <si>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</si>
  <si>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</si>
  <si>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</si>
  <si>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</si>
  <si>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</si>
  <si>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</si>
  <si>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</si>
  <si>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</si>
  <si>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</si>
  <si>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</si>
  <si>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</si>
  <si>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</si>
  <si>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</si>
  <si>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</si>
  <si>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</si>
  <si>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</si>
  <si>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</si>
  <si>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</si>
  <si>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</si>
  <si>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</si>
  <si>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</si>
  <si>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</si>
  <si>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</si>
  <si>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</si>
  <si>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</si>
  <si>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</si>
  <si>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</si>
  <si>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</si>
  <si>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</si>
  <si>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</si>
  <si>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</si>
  <si>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</si>
  <si>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</si>
  <si>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</si>
  <si>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</si>
  <si>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</si>
  <si>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</si>
  <si>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</si>
  <si>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</si>
  <si>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</si>
  <si>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</si>
  <si>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</si>
  <si>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</si>
  <si>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</si>
  <si>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</si>
  <si>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</si>
  <si>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</si>
  <si>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</si>
  <si>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</si>
  <si>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</si>
  <si>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</si>
  <si>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</si>
  <si>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</si>
  <si>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</si>
  <si>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</si>
  <si>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</si>
  <si>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</si>
  <si>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</si>
  <si>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</si>
  <si>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</si>
  <si>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</si>
  <si>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</si>
  <si>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</si>
  <si>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</si>
  <si>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</si>
  <si>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</si>
  <si>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</si>
  <si>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</si>
  <si>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</si>
  <si>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</si>
  <si>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</si>
  <si>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</si>
  <si>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</si>
  <si>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</si>
  <si>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</si>
  <si>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</si>
  <si>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</si>
  <si>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</si>
  <si>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</si>
  <si>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</si>
  <si>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</si>
  <si>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</si>
  <si>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</si>
  <si>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</si>
  <si>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</si>
  <si>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</si>
  <si>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</si>
  <si>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</si>
  <si>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</si>
  <si>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</si>
  <si>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</si>
  <si>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</si>
  <si>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</si>
  <si>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</si>
  <si>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</si>
  <si>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</si>
  <si>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</si>
  <si>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</si>
  <si>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</si>
  <si>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</si>
  <si>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</si>
  <si>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</si>
  <si>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</si>
  <si>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</si>
  <si>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</si>
  <si>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</si>
  <si>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</si>
  <si>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</si>
  <si>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</si>
  <si>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</si>
  <si>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</si>
  <si>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</si>
  <si>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</si>
  <si>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</si>
  <si>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</si>
  <si>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</si>
  <si>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</si>
  <si>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</si>
  <si>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</si>
  <si>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</si>
  <si>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</si>
  <si>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</si>
  <si>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</si>
  <si>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</si>
  <si>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</si>
  <si>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</si>
  <si>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</si>
  <si>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</si>
  <si>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</si>
  <si>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</si>
  <si>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</si>
  <si>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</si>
  <si>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</si>
  <si>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</si>
  <si>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</si>
  <si>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</si>
  <si>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</si>
  <si>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</si>
  <si>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</si>
  <si>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</si>
  <si>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</si>
  <si>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</si>
  <si>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</si>
  <si>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</si>
  <si>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</si>
  <si>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</si>
  <si>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</si>
  <si>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</si>
  <si>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</si>
  <si>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</si>
  <si>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</si>
  <si>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</si>
  <si>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</si>
  <si>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</si>
  <si>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</si>
  <si>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</si>
  <si>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</si>
  <si>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</si>
  <si>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</si>
  <si>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</si>
  <si>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</si>
  <si>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</si>
  <si>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</si>
  <si>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</si>
  <si>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</si>
  <si>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</si>
  <si>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</si>
  <si>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</si>
  <si>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</si>
  <si>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</si>
  <si>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</si>
  <si>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</si>
  <si>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</si>
  <si>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</si>
  <si>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</si>
  <si>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</si>
  <si>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</si>
  <si>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</si>
  <si>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</si>
  <si>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</si>
  <si>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</si>
  <si>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</si>
  <si>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</si>
  <si>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</si>
  <si>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</si>
  <si>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</si>
  <si>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</si>
  <si>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</si>
  <si>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</si>
  <si>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</si>
  <si>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</si>
  <si>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</si>
  <si>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</si>
  <si>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</si>
  <si>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</si>
  <si>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</si>
  <si>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</si>
  <si>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</si>
  <si>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</si>
  <si>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</si>
  <si>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</si>
  <si>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</si>
  <si>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</si>
  <si>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</si>
  <si>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</si>
  <si>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</si>
  <si>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</si>
  <si>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</si>
  <si>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</si>
  <si>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</si>
  <si>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</si>
  <si>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</si>
  <si>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</si>
  <si>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</si>
  <si>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</si>
  <si>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</si>
  <si>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</si>
  <si>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</si>
  <si>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</si>
  <si>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</si>
  <si>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</si>
  <si>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</si>
  <si>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</si>
  <si>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</si>
  <si>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</si>
  <si>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</si>
  <si>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</si>
  <si>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</si>
  <si>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</si>
  <si>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</si>
  <si>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</si>
  <si>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</si>
  <si>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</si>
  <si>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</si>
  <si>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</si>
  <si>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</si>
  <si>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</si>
  <si>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</si>
  <si>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</si>
  <si>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</si>
  <si>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</si>
  <si>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</si>
  <si>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</si>
  <si>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</si>
  <si>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</si>
  <si>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</si>
  <si>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</si>
  <si>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</si>
  <si>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</si>
  <si>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</si>
  <si>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</si>
  <si>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</si>
  <si>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</si>
  <si>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</si>
  <si>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</si>
  <si>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</si>
  <si>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</si>
  <si>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</si>
  <si>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</si>
  <si>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</si>
  <si>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</si>
  <si>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</si>
  <si>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</si>
  <si>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</si>
  <si>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</si>
  <si>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</si>
  <si>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</si>
  <si>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</si>
  <si>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</si>
  <si>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</si>
  <si>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</si>
  <si>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</si>
  <si>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</si>
  <si>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</si>
  <si>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</si>
  <si>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</si>
  <si>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</si>
  <si>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</si>
  <si>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</si>
  <si>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</si>
  <si>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</si>
  <si>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</si>
  <si>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</si>
  <si>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</si>
  <si>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</si>
  <si>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</si>
  <si>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</si>
  <si>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</si>
  <si>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</si>
  <si>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</si>
  <si>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</si>
  <si>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</si>
  <si>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</si>
  <si>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</si>
  <si>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</si>
  <si>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</si>
  <si>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</si>
  <si>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</si>
  <si>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</si>
  <si>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</si>
  <si>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</si>
  <si>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</si>
  <si>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</si>
  <si>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</si>
  <si>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</si>
  <si>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</si>
  <si>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</si>
  <si>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</si>
  <si>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</si>
  <si>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</si>
  <si>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</si>
  <si>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</si>
  <si>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</si>
  <si>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</si>
  <si>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</si>
  <si>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</si>
  <si>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</si>
  <si>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</si>
  <si>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</si>
  <si>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</si>
  <si>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</si>
  <si>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</si>
  <si>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</si>
  <si>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</si>
  <si>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</si>
  <si>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</si>
  <si>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</si>
  <si>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</si>
  <si>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</si>
  <si>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</si>
  <si>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</si>
  <si>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</si>
  <si>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</si>
  <si>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</si>
  <si>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</si>
  <si>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</si>
  <si>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</si>
  <si>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</si>
  <si>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</si>
  <si>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</si>
  <si>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</si>
  <si>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</si>
  <si>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</si>
  <si>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</si>
  <si>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</si>
  <si>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</si>
  <si>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</si>
  <si>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</si>
  <si>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</si>
  <si>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</si>
  <si>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</si>
  <si>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</si>
  <si>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</si>
  <si>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</si>
  <si>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</si>
  <si>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</si>
  <si>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</si>
  <si>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</si>
  <si>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</si>
  <si>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</si>
  <si>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</si>
  <si>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</si>
  <si>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</si>
  <si>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</si>
  <si>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</si>
  <si>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</si>
  <si>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</si>
  <si>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</si>
  <si>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</si>
  <si>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</si>
  <si>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</si>
  <si>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</si>
  <si>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</si>
  <si>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</si>
  <si>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</si>
  <si>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</si>
  <si>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</si>
  <si>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</si>
  <si>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</si>
  <si>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</si>
  <si>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Septiembre</t>
  </si>
  <si>
    <t>77-2025-12-31</t>
  </si>
  <si>
    <t>334-2025-12-31</t>
  </si>
  <si>
    <t>% Programas acreditables acreditados Sede Bogotá</t>
  </si>
  <si>
    <t>339-2022-12-31</t>
  </si>
  <si>
    <t>96-2025-12-31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</si>
</sst>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4"/>
  <sheetViews>
    <sheetView tabSelected="1" workbookViewId="0">
      <selection activeCell="L1" sqref="L1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45930</v>
      </c>
      <c r="G132">
        <v>2025</v>
      </c>
      <c r="H132" t="s">
        <v>503</v>
      </c>
      <c r="I132" t="s">
        <v>465</v>
      </c>
      <c r="K132">
        <v>97</v>
      </c>
      <c r="L132">
        <v>95.788888888888891</v>
      </c>
      <c r="M132">
        <f>+L132/K132</f>
        <v>0.98751431844215354</v>
      </c>
      <c r="N132">
        <f>+L132/K132</f>
        <v>0.98751431844215354</v>
      </c>
      <c r="O132" t="s">
        <v>58</v>
      </c>
      <c r="P132" t="s">
        <v>58</v>
      </c>
      <c r="Q132" t="s">
        <v>504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0</v>
      </c>
      <c r="L141">
        <v>0</v>
      </c>
      <c r="O141" t="s">
        <v>35</v>
      </c>
      <c r="P141" t="s">
        <v>35</v>
      </c>
      <c r="Q141" t="s">
        <v>92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2</v>
      </c>
      <c r="L142">
        <v>2</v>
      </c>
      <c r="M142">
        <v>1</v>
      </c>
      <c r="N142">
        <v>1</v>
      </c>
      <c r="O142" t="s">
        <v>35</v>
      </c>
      <c r="P142" t="s">
        <v>35</v>
      </c>
      <c r="Q142" t="s">
        <v>93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93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O144" t="s">
        <v>35</v>
      </c>
      <c r="P144" t="s">
        <v>35</v>
      </c>
      <c r="Q144" t="s">
        <v>94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1</v>
      </c>
      <c r="L145">
        <v>1</v>
      </c>
      <c r="M145">
        <v>1</v>
      </c>
      <c r="N145">
        <v>1</v>
      </c>
      <c r="O145" t="s">
        <v>35</v>
      </c>
      <c r="P145" t="s">
        <v>35</v>
      </c>
      <c r="Q145" t="s">
        <v>95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1</v>
      </c>
      <c r="L146">
        <v>1</v>
      </c>
      <c r="M146">
        <v>1</v>
      </c>
      <c r="N146">
        <v>1</v>
      </c>
      <c r="O146" t="s">
        <v>35</v>
      </c>
      <c r="P146" t="s">
        <v>35</v>
      </c>
      <c r="Q146" t="s">
        <v>95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47</v>
      </c>
      <c r="J147">
        <v>1</v>
      </c>
      <c r="K147">
        <v>0</v>
      </c>
      <c r="L147">
        <v>0</v>
      </c>
      <c r="Q147" t="s">
        <v>397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5</v>
      </c>
      <c r="L148">
        <v>5</v>
      </c>
      <c r="M148">
        <v>1</v>
      </c>
      <c r="N148">
        <v>1</v>
      </c>
      <c r="O148" t="s">
        <v>35</v>
      </c>
      <c r="P148" t="s">
        <v>35</v>
      </c>
      <c r="Q148" t="s">
        <v>398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5</v>
      </c>
      <c r="L149">
        <v>5</v>
      </c>
      <c r="M149">
        <v>1</v>
      </c>
      <c r="N149">
        <v>1</v>
      </c>
      <c r="O149" t="s">
        <v>35</v>
      </c>
      <c r="P149" t="s">
        <v>35</v>
      </c>
      <c r="Q149" t="s">
        <v>398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98</v>
      </c>
      <c r="B150" t="s">
        <v>91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J150">
        <v>1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31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45838</v>
      </c>
      <c r="G151">
        <v>2025</v>
      </c>
      <c r="H151" t="s">
        <v>33</v>
      </c>
      <c r="I151" t="s">
        <v>404</v>
      </c>
      <c r="K151">
        <v>10</v>
      </c>
      <c r="L151">
        <v>10</v>
      </c>
      <c r="M151">
        <v>1</v>
      </c>
      <c r="N151">
        <v>1</v>
      </c>
      <c r="O151" t="s">
        <v>35</v>
      </c>
      <c r="P151" t="s">
        <v>35</v>
      </c>
      <c r="Q151" t="s">
        <v>418</v>
      </c>
      <c r="R151">
        <v>0</v>
      </c>
      <c r="S151">
        <v>0</v>
      </c>
      <c r="T151" t="s">
        <v>443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109</v>
      </c>
      <c r="B152" t="s">
        <v>96</v>
      </c>
      <c r="C152" t="s">
        <v>97</v>
      </c>
      <c r="D152" t="s">
        <v>66</v>
      </c>
      <c r="E152" t="s">
        <v>32</v>
      </c>
      <c r="F152" s="3">
        <v>45291</v>
      </c>
      <c r="G152">
        <v>2023</v>
      </c>
      <c r="H152" t="s">
        <v>44</v>
      </c>
      <c r="I152" t="s">
        <v>49</v>
      </c>
      <c r="J152">
        <v>2</v>
      </c>
      <c r="K152">
        <v>80</v>
      </c>
      <c r="L152">
        <v>87.392767703668298</v>
      </c>
      <c r="M152">
        <v>1.092409596295854</v>
      </c>
      <c r="N152">
        <v>1.092409596295854</v>
      </c>
      <c r="O152" t="s">
        <v>58</v>
      </c>
      <c r="P152" t="s">
        <v>58</v>
      </c>
      <c r="Q152" t="s">
        <v>98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45291</v>
      </c>
      <c r="G153">
        <v>2023</v>
      </c>
      <c r="H153" t="s">
        <v>44</v>
      </c>
      <c r="I153" t="s">
        <v>49</v>
      </c>
      <c r="K153">
        <v>80</v>
      </c>
      <c r="L153">
        <v>87.392767703668298</v>
      </c>
      <c r="M153">
        <v>1.092409596295854</v>
      </c>
      <c r="N153">
        <v>1.092409596295854</v>
      </c>
      <c r="O153" t="s">
        <v>58</v>
      </c>
      <c r="P153" t="s">
        <v>58</v>
      </c>
      <c r="Q153" t="s">
        <v>98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45657</v>
      </c>
      <c r="G154">
        <v>2024</v>
      </c>
      <c r="H154" t="s">
        <v>44</v>
      </c>
      <c r="I154" t="s">
        <v>53</v>
      </c>
      <c r="J154">
        <v>2</v>
      </c>
      <c r="K154">
        <v>80</v>
      </c>
      <c r="L154">
        <v>85</v>
      </c>
      <c r="M154">
        <v>1.0625</v>
      </c>
      <c r="N154">
        <v>1.0625</v>
      </c>
      <c r="O154" t="s">
        <v>58</v>
      </c>
      <c r="P154" t="s">
        <v>58</v>
      </c>
      <c r="Q154" t="s">
        <v>103</v>
      </c>
      <c r="R154">
        <v>0</v>
      </c>
      <c r="S154">
        <v>0</v>
      </c>
      <c r="T154" t="s">
        <v>31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x14ac:dyDescent="0.3">
      <c r="A155">
        <v>109</v>
      </c>
      <c r="B155" t="s">
        <v>96</v>
      </c>
      <c r="C155" t="s">
        <v>99</v>
      </c>
      <c r="D155" t="s">
        <v>66</v>
      </c>
      <c r="E155" t="s">
        <v>32</v>
      </c>
      <c r="F155" s="3">
        <v>45657</v>
      </c>
      <c r="G155">
        <v>2024</v>
      </c>
      <c r="H155" t="s">
        <v>44</v>
      </c>
      <c r="I155" t="s">
        <v>53</v>
      </c>
      <c r="K155">
        <v>80</v>
      </c>
      <c r="L155">
        <v>85</v>
      </c>
      <c r="M155">
        <v>1.0625</v>
      </c>
      <c r="N155">
        <v>1.0625</v>
      </c>
      <c r="O155" t="s">
        <v>58</v>
      </c>
      <c r="P155" t="s">
        <v>58</v>
      </c>
      <c r="Q155" t="s">
        <v>103</v>
      </c>
      <c r="R155">
        <v>0</v>
      </c>
      <c r="S155">
        <v>0</v>
      </c>
      <c r="T155" t="s">
        <v>443</v>
      </c>
      <c r="U155" t="s">
        <v>37</v>
      </c>
      <c r="V155" t="s">
        <v>99</v>
      </c>
      <c r="W155" t="s">
        <v>60</v>
      </c>
      <c r="X155" t="s">
        <v>100</v>
      </c>
      <c r="Z155" t="s">
        <v>101</v>
      </c>
      <c r="AA155" t="s">
        <v>102</v>
      </c>
      <c r="AB155" t="s">
        <v>65</v>
      </c>
      <c r="AC155" t="s">
        <v>66</v>
      </c>
    </row>
    <row r="156" spans="1:29" x14ac:dyDescent="0.3">
      <c r="A156">
        <v>109</v>
      </c>
      <c r="B156" t="s">
        <v>96</v>
      </c>
      <c r="C156" t="s">
        <v>99</v>
      </c>
      <c r="D156" t="s">
        <v>66</v>
      </c>
      <c r="E156" t="s">
        <v>32</v>
      </c>
      <c r="F156" s="3">
        <v>46022</v>
      </c>
      <c r="G156">
        <v>2025</v>
      </c>
      <c r="H156" t="s">
        <v>44</v>
      </c>
      <c r="I156" t="s">
        <v>465</v>
      </c>
      <c r="K156">
        <v>80</v>
      </c>
      <c r="L156">
        <v>94</v>
      </c>
      <c r="M156">
        <f>+L156/K156</f>
        <v>1.175</v>
      </c>
      <c r="N156">
        <v>1.0625</v>
      </c>
      <c r="O156" t="s">
        <v>58</v>
      </c>
      <c r="P156" t="s">
        <v>58</v>
      </c>
      <c r="Q156" t="s">
        <v>488</v>
      </c>
      <c r="R156">
        <v>0</v>
      </c>
      <c r="S156">
        <v>0</v>
      </c>
      <c r="T156" t="s">
        <v>443</v>
      </c>
      <c r="U156" t="s">
        <v>37</v>
      </c>
      <c r="V156" t="s">
        <v>99</v>
      </c>
      <c r="W156" t="s">
        <v>60</v>
      </c>
      <c r="X156" t="s">
        <v>100</v>
      </c>
      <c r="Z156" t="s">
        <v>101</v>
      </c>
      <c r="AA156" t="s">
        <v>102</v>
      </c>
      <c r="AB156" t="s">
        <v>65</v>
      </c>
      <c r="AC156" t="s">
        <v>66</v>
      </c>
    </row>
    <row r="157" spans="1:29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44926</v>
      </c>
      <c r="G157">
        <v>2022</v>
      </c>
      <c r="H157" t="s">
        <v>44</v>
      </c>
      <c r="I157" t="s">
        <v>45</v>
      </c>
      <c r="K157">
        <v>5</v>
      </c>
      <c r="L157">
        <v>4.66</v>
      </c>
      <c r="M157">
        <v>0.93200000000000005</v>
      </c>
      <c r="N157">
        <v>0.93200000000000005</v>
      </c>
      <c r="O157" t="s">
        <v>58</v>
      </c>
      <c r="P157" t="s">
        <v>58</v>
      </c>
      <c r="Q157" t="s">
        <v>444</v>
      </c>
      <c r="R157">
        <v>0</v>
      </c>
      <c r="S157">
        <v>1</v>
      </c>
      <c r="T157" t="s">
        <v>443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45107</v>
      </c>
      <c r="G158">
        <v>2023</v>
      </c>
      <c r="H158" t="s">
        <v>33</v>
      </c>
      <c r="I158" t="s">
        <v>47</v>
      </c>
      <c r="J158">
        <v>1</v>
      </c>
      <c r="K158">
        <v>2.5</v>
      </c>
      <c r="L158">
        <v>3.57</v>
      </c>
      <c r="M158">
        <v>1.3</v>
      </c>
      <c r="N158">
        <v>1.4279999999999999</v>
      </c>
      <c r="O158" t="s">
        <v>58</v>
      </c>
      <c r="P158" t="s">
        <v>58</v>
      </c>
      <c r="Q158" t="s">
        <v>106</v>
      </c>
      <c r="R158">
        <v>1</v>
      </c>
      <c r="S158">
        <v>1</v>
      </c>
      <c r="T158" t="s">
        <v>31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45291</v>
      </c>
      <c r="G159">
        <v>2023</v>
      </c>
      <c r="H159" t="s">
        <v>44</v>
      </c>
      <c r="I159" t="s">
        <v>49</v>
      </c>
      <c r="J159">
        <v>2</v>
      </c>
      <c r="K159">
        <v>5</v>
      </c>
      <c r="L159">
        <v>5.71</v>
      </c>
      <c r="M159">
        <v>1.1419999999999999</v>
      </c>
      <c r="N159">
        <v>1.1419999999999999</v>
      </c>
      <c r="O159" t="s">
        <v>58</v>
      </c>
      <c r="P159" t="s">
        <v>58</v>
      </c>
      <c r="Q159" t="s">
        <v>107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45291</v>
      </c>
      <c r="G160">
        <v>2023</v>
      </c>
      <c r="H160" t="s">
        <v>44</v>
      </c>
      <c r="I160" t="s">
        <v>49</v>
      </c>
      <c r="K160">
        <v>5</v>
      </c>
      <c r="L160">
        <v>5.71</v>
      </c>
      <c r="M160">
        <v>1.1419999999999999</v>
      </c>
      <c r="N160">
        <v>1.1419999999999999</v>
      </c>
      <c r="O160" t="s">
        <v>58</v>
      </c>
      <c r="P160" t="s">
        <v>58</v>
      </c>
      <c r="Q160" t="s">
        <v>107</v>
      </c>
      <c r="R160">
        <v>0</v>
      </c>
      <c r="S160">
        <v>1</v>
      </c>
      <c r="T160" t="s">
        <v>443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45473</v>
      </c>
      <c r="G161">
        <v>2024</v>
      </c>
      <c r="H161" t="s">
        <v>33</v>
      </c>
      <c r="I161" t="s">
        <v>51</v>
      </c>
      <c r="J161">
        <v>1</v>
      </c>
      <c r="K161">
        <v>5</v>
      </c>
      <c r="L161">
        <v>4.3</v>
      </c>
      <c r="M161">
        <v>0.86</v>
      </c>
      <c r="N161">
        <v>0.86</v>
      </c>
      <c r="O161" t="s">
        <v>58</v>
      </c>
      <c r="P161" t="s">
        <v>58</v>
      </c>
      <c r="Q161" t="s">
        <v>108</v>
      </c>
      <c r="R161">
        <v>1</v>
      </c>
      <c r="S161">
        <v>1</v>
      </c>
      <c r="T161" t="s">
        <v>31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45657</v>
      </c>
      <c r="G162">
        <v>2024</v>
      </c>
      <c r="H162" t="s">
        <v>44</v>
      </c>
      <c r="I162" t="s">
        <v>53</v>
      </c>
      <c r="J162">
        <v>2</v>
      </c>
      <c r="K162">
        <v>5</v>
      </c>
      <c r="L162">
        <v>6.3</v>
      </c>
      <c r="M162">
        <v>1.26</v>
      </c>
      <c r="N162">
        <v>1.26</v>
      </c>
      <c r="O162" t="s">
        <v>58</v>
      </c>
      <c r="P162" t="s">
        <v>58</v>
      </c>
      <c r="Q162" t="s">
        <v>109</v>
      </c>
      <c r="R162">
        <v>0</v>
      </c>
      <c r="S162">
        <v>0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45657</v>
      </c>
      <c r="G163">
        <v>2024</v>
      </c>
      <c r="H163" t="s">
        <v>44</v>
      </c>
      <c r="I163" t="s">
        <v>53</v>
      </c>
      <c r="K163">
        <v>5</v>
      </c>
      <c r="L163">
        <v>6.3</v>
      </c>
      <c r="M163">
        <v>1.26</v>
      </c>
      <c r="N163">
        <v>1.26</v>
      </c>
      <c r="O163" t="s">
        <v>58</v>
      </c>
      <c r="P163" t="s">
        <v>58</v>
      </c>
      <c r="Q163" t="s">
        <v>109</v>
      </c>
      <c r="R163">
        <v>0</v>
      </c>
      <c r="S163">
        <v>1</v>
      </c>
      <c r="T163" t="s">
        <v>443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x14ac:dyDescent="0.3">
      <c r="A164">
        <v>148</v>
      </c>
      <c r="B164" t="s">
        <v>104</v>
      </c>
      <c r="C164" t="s">
        <v>105</v>
      </c>
      <c r="D164" t="s">
        <v>31</v>
      </c>
      <c r="E164" t="s">
        <v>32</v>
      </c>
      <c r="F164" s="3">
        <v>45838</v>
      </c>
      <c r="G164">
        <v>2025</v>
      </c>
      <c r="H164" t="s">
        <v>33</v>
      </c>
      <c r="I164" t="s">
        <v>404</v>
      </c>
      <c r="J164">
        <v>1</v>
      </c>
      <c r="K164">
        <v>4</v>
      </c>
      <c r="L164">
        <v>4.08</v>
      </c>
      <c r="M164">
        <v>1.02</v>
      </c>
      <c r="N164">
        <v>1.02</v>
      </c>
      <c r="O164" t="s">
        <v>58</v>
      </c>
      <c r="P164" t="s">
        <v>58</v>
      </c>
      <c r="Q164" t="s">
        <v>406</v>
      </c>
      <c r="R164">
        <v>0</v>
      </c>
      <c r="S164">
        <v>1</v>
      </c>
      <c r="T164" t="s">
        <v>31</v>
      </c>
      <c r="U164" t="s">
        <v>37</v>
      </c>
      <c r="V164" t="s">
        <v>105</v>
      </c>
      <c r="W164" t="s">
        <v>73</v>
      </c>
      <c r="X164" t="s">
        <v>74</v>
      </c>
      <c r="Y164" t="s">
        <v>75</v>
      </c>
      <c r="Z164" t="s">
        <v>76</v>
      </c>
      <c r="AA164" t="s">
        <v>77</v>
      </c>
      <c r="AB164" t="s">
        <v>43</v>
      </c>
      <c r="AC164" t="s">
        <v>31</v>
      </c>
    </row>
    <row r="165" spans="1:29" x14ac:dyDescent="0.3">
      <c r="A165">
        <v>148</v>
      </c>
      <c r="B165" t="s">
        <v>104</v>
      </c>
      <c r="C165" t="s">
        <v>105</v>
      </c>
      <c r="D165" t="s">
        <v>31</v>
      </c>
      <c r="E165" t="s">
        <v>32</v>
      </c>
      <c r="F165" s="3">
        <v>45838</v>
      </c>
      <c r="G165">
        <v>2025</v>
      </c>
      <c r="H165" t="s">
        <v>33</v>
      </c>
      <c r="I165" t="s">
        <v>404</v>
      </c>
      <c r="K165">
        <v>4</v>
      </c>
      <c r="L165">
        <v>4.08</v>
      </c>
      <c r="M165">
        <v>1.02</v>
      </c>
      <c r="N165">
        <v>1.02</v>
      </c>
      <c r="O165" t="s">
        <v>58</v>
      </c>
      <c r="P165" t="s">
        <v>58</v>
      </c>
      <c r="Q165" t="s">
        <v>406</v>
      </c>
      <c r="R165">
        <v>0</v>
      </c>
      <c r="S165">
        <v>1</v>
      </c>
      <c r="T165" t="s">
        <v>443</v>
      </c>
      <c r="U165" t="s">
        <v>37</v>
      </c>
      <c r="V165" t="s">
        <v>105</v>
      </c>
      <c r="W165" t="s">
        <v>73</v>
      </c>
      <c r="X165" t="s">
        <v>74</v>
      </c>
      <c r="Y165" t="s">
        <v>75</v>
      </c>
      <c r="Z165" t="s">
        <v>76</v>
      </c>
      <c r="AA165" t="s">
        <v>77</v>
      </c>
      <c r="AB165" t="s">
        <v>43</v>
      </c>
      <c r="AC165" t="s">
        <v>31</v>
      </c>
    </row>
    <row r="166" spans="1:29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44742</v>
      </c>
      <c r="G166">
        <v>2022</v>
      </c>
      <c r="H166" t="s">
        <v>33</v>
      </c>
      <c r="I166" t="s">
        <v>34</v>
      </c>
      <c r="J166">
        <v>1</v>
      </c>
      <c r="K166">
        <v>76</v>
      </c>
      <c r="L166">
        <v>91.8</v>
      </c>
      <c r="M166">
        <v>1.2078947368421049</v>
      </c>
      <c r="N166">
        <v>1.2078947368421049</v>
      </c>
      <c r="O166" t="s">
        <v>58</v>
      </c>
      <c r="P166" t="s">
        <v>58</v>
      </c>
      <c r="Q166" t="s">
        <v>111</v>
      </c>
      <c r="R166">
        <v>1</v>
      </c>
      <c r="S166">
        <v>1</v>
      </c>
      <c r="T166" t="s">
        <v>31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J167">
        <v>2</v>
      </c>
      <c r="K167">
        <v>76</v>
      </c>
      <c r="L167">
        <v>92.4</v>
      </c>
      <c r="M167">
        <v>1.215789473684211</v>
      </c>
      <c r="N167">
        <v>1.215789473684211</v>
      </c>
      <c r="O167" t="s">
        <v>58</v>
      </c>
      <c r="P167" t="s">
        <v>58</v>
      </c>
      <c r="Q167" t="s">
        <v>116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44926</v>
      </c>
      <c r="G168">
        <v>2022</v>
      </c>
      <c r="H168" t="s">
        <v>44</v>
      </c>
      <c r="I168" t="s">
        <v>45</v>
      </c>
      <c r="K168">
        <v>76</v>
      </c>
      <c r="L168">
        <v>92.4</v>
      </c>
      <c r="M168">
        <v>1.215789473684211</v>
      </c>
      <c r="N168">
        <v>1.215789473684211</v>
      </c>
      <c r="O168" t="s">
        <v>58</v>
      </c>
      <c r="P168" t="s">
        <v>58</v>
      </c>
      <c r="Q168" t="s">
        <v>116</v>
      </c>
      <c r="R168">
        <v>1</v>
      </c>
      <c r="S168">
        <v>1</v>
      </c>
      <c r="T168" t="s">
        <v>443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45107</v>
      </c>
      <c r="G169">
        <v>2023</v>
      </c>
      <c r="H169" t="s">
        <v>33</v>
      </c>
      <c r="I169" t="s">
        <v>47</v>
      </c>
      <c r="J169">
        <v>1</v>
      </c>
      <c r="K169">
        <v>92</v>
      </c>
      <c r="L169">
        <v>91.9</v>
      </c>
      <c r="M169">
        <v>0.99891304347826093</v>
      </c>
      <c r="N169">
        <v>0.99891304347826093</v>
      </c>
      <c r="O169" t="s">
        <v>58</v>
      </c>
      <c r="P169" t="s">
        <v>58</v>
      </c>
      <c r="Q169" t="s">
        <v>117</v>
      </c>
      <c r="R169">
        <v>1</v>
      </c>
      <c r="S169">
        <v>1</v>
      </c>
      <c r="T169" t="s">
        <v>31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J170">
        <v>2</v>
      </c>
      <c r="K170">
        <v>92</v>
      </c>
      <c r="L170">
        <v>91.3</v>
      </c>
      <c r="M170">
        <v>0.99239130434782608</v>
      </c>
      <c r="N170">
        <v>0.99239130434782608</v>
      </c>
      <c r="O170" t="s">
        <v>58</v>
      </c>
      <c r="P170" t="s">
        <v>58</v>
      </c>
      <c r="Q170" t="s">
        <v>118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45291</v>
      </c>
      <c r="G171">
        <v>2023</v>
      </c>
      <c r="H171" t="s">
        <v>44</v>
      </c>
      <c r="I171" t="s">
        <v>49</v>
      </c>
      <c r="K171">
        <v>92</v>
      </c>
      <c r="L171">
        <v>91.3</v>
      </c>
      <c r="M171">
        <v>0.99239130434782608</v>
      </c>
      <c r="N171">
        <v>0.99239130434782608</v>
      </c>
      <c r="O171" t="s">
        <v>58</v>
      </c>
      <c r="P171" t="s">
        <v>58</v>
      </c>
      <c r="Q171" t="s">
        <v>118</v>
      </c>
      <c r="R171">
        <v>1</v>
      </c>
      <c r="S171">
        <v>1</v>
      </c>
      <c r="T171" t="s">
        <v>443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45473</v>
      </c>
      <c r="G172">
        <v>2024</v>
      </c>
      <c r="H172" t="s">
        <v>33</v>
      </c>
      <c r="I172" t="s">
        <v>51</v>
      </c>
      <c r="J172">
        <v>1</v>
      </c>
      <c r="K172">
        <v>90</v>
      </c>
      <c r="L172">
        <v>91.7</v>
      </c>
      <c r="M172">
        <v>1.018888888888889</v>
      </c>
      <c r="N172">
        <v>1.018888888888889</v>
      </c>
      <c r="O172" t="s">
        <v>58</v>
      </c>
      <c r="P172" t="s">
        <v>58</v>
      </c>
      <c r="Q172" t="s">
        <v>119</v>
      </c>
      <c r="R172">
        <v>1</v>
      </c>
      <c r="S172">
        <v>1</v>
      </c>
      <c r="T172" t="s">
        <v>31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J173">
        <v>2</v>
      </c>
      <c r="K173">
        <v>90</v>
      </c>
      <c r="L173">
        <v>93.5</v>
      </c>
      <c r="M173">
        <v>1.038888888888889</v>
      </c>
      <c r="N173">
        <v>1.038888888888889</v>
      </c>
      <c r="O173" t="s">
        <v>58</v>
      </c>
      <c r="P173" t="s">
        <v>58</v>
      </c>
      <c r="Q173" t="s">
        <v>120</v>
      </c>
      <c r="R173">
        <v>0</v>
      </c>
      <c r="S173">
        <v>0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45657</v>
      </c>
      <c r="G174">
        <v>2024</v>
      </c>
      <c r="H174" t="s">
        <v>44</v>
      </c>
      <c r="I174" t="s">
        <v>53</v>
      </c>
      <c r="K174">
        <v>90</v>
      </c>
      <c r="L174">
        <v>93.5</v>
      </c>
      <c r="M174">
        <v>1.038888888888889</v>
      </c>
      <c r="N174">
        <v>1.038888888888889</v>
      </c>
      <c r="O174" t="s">
        <v>58</v>
      </c>
      <c r="P174" t="s">
        <v>58</v>
      </c>
      <c r="Q174" t="s">
        <v>120</v>
      </c>
      <c r="R174">
        <v>1</v>
      </c>
      <c r="S174">
        <v>1</v>
      </c>
      <c r="T174" t="s">
        <v>443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x14ac:dyDescent="0.3">
      <c r="A175">
        <v>193</v>
      </c>
      <c r="B175" s="5" t="s">
        <v>478</v>
      </c>
      <c r="C175" t="s">
        <v>30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J175">
        <v>1</v>
      </c>
      <c r="K175">
        <v>93</v>
      </c>
      <c r="L175">
        <v>96.21</v>
      </c>
      <c r="M175">
        <v>1.034516129032258</v>
      </c>
      <c r="N175">
        <v>1.034516129032258</v>
      </c>
      <c r="O175" t="s">
        <v>58</v>
      </c>
      <c r="P175" t="s">
        <v>58</v>
      </c>
      <c r="Q175" t="s">
        <v>420</v>
      </c>
      <c r="R175">
        <v>1</v>
      </c>
      <c r="S175">
        <v>1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114</v>
      </c>
      <c r="Z175" t="s">
        <v>63</v>
      </c>
      <c r="AA175" t="s">
        <v>115</v>
      </c>
      <c r="AB175" t="s">
        <v>65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45838</v>
      </c>
      <c r="G176">
        <v>2025</v>
      </c>
      <c r="H176" t="s">
        <v>33</v>
      </c>
      <c r="I176" t="s">
        <v>404</v>
      </c>
      <c r="K176">
        <v>93</v>
      </c>
      <c r="L176">
        <v>96.21</v>
      </c>
      <c r="M176">
        <v>1.034516129032258</v>
      </c>
      <c r="N176">
        <v>1.034516129032258</v>
      </c>
      <c r="O176" t="s">
        <v>58</v>
      </c>
      <c r="P176" t="s">
        <v>58</v>
      </c>
      <c r="Q176" t="s">
        <v>420</v>
      </c>
      <c r="R176">
        <v>1</v>
      </c>
      <c r="S176">
        <v>1</v>
      </c>
      <c r="T176" t="s">
        <v>443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44742</v>
      </c>
      <c r="G177">
        <v>2022</v>
      </c>
      <c r="H177" t="s">
        <v>33</v>
      </c>
      <c r="I177" t="s">
        <v>34</v>
      </c>
      <c r="J177">
        <v>1</v>
      </c>
      <c r="K177">
        <v>73</v>
      </c>
      <c r="L177">
        <v>83.26</v>
      </c>
      <c r="M177">
        <v>1.140547945205479</v>
      </c>
      <c r="N177">
        <v>1.140547945205479</v>
      </c>
      <c r="O177" t="s">
        <v>58</v>
      </c>
      <c r="P177" t="s">
        <v>58</v>
      </c>
      <c r="Q177" t="s">
        <v>122</v>
      </c>
      <c r="R177">
        <v>0</v>
      </c>
      <c r="S177">
        <v>0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J178">
        <v>2</v>
      </c>
      <c r="K178">
        <v>73</v>
      </c>
      <c r="L178">
        <v>83.11</v>
      </c>
      <c r="M178">
        <v>1.138493150684931</v>
      </c>
      <c r="N178">
        <v>1.138493150684931</v>
      </c>
      <c r="O178" t="s">
        <v>58</v>
      </c>
      <c r="P178" t="s">
        <v>58</v>
      </c>
      <c r="Q178" t="s">
        <v>125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44926</v>
      </c>
      <c r="G179">
        <v>2022</v>
      </c>
      <c r="H179" t="s">
        <v>44</v>
      </c>
      <c r="I179" t="s">
        <v>45</v>
      </c>
      <c r="K179">
        <v>73</v>
      </c>
      <c r="L179">
        <v>83.11</v>
      </c>
      <c r="M179">
        <v>1.138493150684931</v>
      </c>
      <c r="N179">
        <v>1.138493150684931</v>
      </c>
      <c r="O179" t="s">
        <v>58</v>
      </c>
      <c r="P179" t="s">
        <v>58</v>
      </c>
      <c r="Q179" t="s">
        <v>125</v>
      </c>
      <c r="R179">
        <v>0</v>
      </c>
      <c r="S179">
        <v>0</v>
      </c>
      <c r="T179" t="s">
        <v>443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45107</v>
      </c>
      <c r="G180">
        <v>2023</v>
      </c>
      <c r="H180" t="s">
        <v>33</v>
      </c>
      <c r="I180" t="s">
        <v>47</v>
      </c>
      <c r="J180">
        <v>1</v>
      </c>
      <c r="K180">
        <v>80</v>
      </c>
      <c r="L180">
        <v>79.180000000000007</v>
      </c>
      <c r="M180">
        <v>0.98975000000000013</v>
      </c>
      <c r="N180">
        <v>0.98975000000000013</v>
      </c>
      <c r="O180" t="s">
        <v>58</v>
      </c>
      <c r="P180" t="s">
        <v>58</v>
      </c>
      <c r="Q180" t="s">
        <v>126</v>
      </c>
      <c r="R180">
        <v>0</v>
      </c>
      <c r="S180">
        <v>0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J181">
        <v>2</v>
      </c>
      <c r="K181">
        <v>80</v>
      </c>
      <c r="L181">
        <v>81.91</v>
      </c>
      <c r="M181">
        <v>1.0238750000000001</v>
      </c>
      <c r="N181">
        <v>1.0238750000000001</v>
      </c>
      <c r="O181" t="s">
        <v>58</v>
      </c>
      <c r="P181" t="s">
        <v>58</v>
      </c>
      <c r="Q181" t="s">
        <v>127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45291</v>
      </c>
      <c r="G182">
        <v>2023</v>
      </c>
      <c r="H182" t="s">
        <v>44</v>
      </c>
      <c r="I182" t="s">
        <v>49</v>
      </c>
      <c r="K182">
        <v>80</v>
      </c>
      <c r="L182">
        <v>81.91</v>
      </c>
      <c r="M182">
        <v>1.0238750000000001</v>
      </c>
      <c r="N182">
        <v>1.0238750000000001</v>
      </c>
      <c r="O182" t="s">
        <v>58</v>
      </c>
      <c r="P182" t="s">
        <v>58</v>
      </c>
      <c r="Q182" t="s">
        <v>127</v>
      </c>
      <c r="R182">
        <v>0</v>
      </c>
      <c r="S182">
        <v>0</v>
      </c>
      <c r="T182" t="s">
        <v>443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45473</v>
      </c>
      <c r="G183">
        <v>2024</v>
      </c>
      <c r="H183" t="s">
        <v>33</v>
      </c>
      <c r="I183" t="s">
        <v>51</v>
      </c>
      <c r="J183">
        <v>1</v>
      </c>
      <c r="K183">
        <v>81</v>
      </c>
      <c r="L183">
        <v>83.01</v>
      </c>
      <c r="M183">
        <v>1.0248148148148151</v>
      </c>
      <c r="N183">
        <v>1.0248148148148151</v>
      </c>
      <c r="O183" t="s">
        <v>58</v>
      </c>
      <c r="P183" t="s">
        <v>58</v>
      </c>
      <c r="Q183" t="s">
        <v>128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J184">
        <v>2</v>
      </c>
      <c r="K184">
        <v>81</v>
      </c>
      <c r="L184">
        <v>89</v>
      </c>
      <c r="M184">
        <v>1.098765432098765</v>
      </c>
      <c r="N184">
        <v>1.098765432098765</v>
      </c>
      <c r="O184" t="s">
        <v>58</v>
      </c>
      <c r="P184" t="s">
        <v>58</v>
      </c>
      <c r="Q184" t="s">
        <v>403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45657</v>
      </c>
      <c r="G185">
        <v>2024</v>
      </c>
      <c r="H185" t="s">
        <v>44</v>
      </c>
      <c r="I185" t="s">
        <v>53</v>
      </c>
      <c r="K185">
        <v>81</v>
      </c>
      <c r="L185">
        <v>89</v>
      </c>
      <c r="M185">
        <v>1.098765432098765</v>
      </c>
      <c r="N185">
        <v>1.098765432098765</v>
      </c>
      <c r="O185" t="s">
        <v>58</v>
      </c>
      <c r="P185" t="s">
        <v>58</v>
      </c>
      <c r="Q185" t="s">
        <v>403</v>
      </c>
      <c r="R185">
        <v>0</v>
      </c>
      <c r="S185">
        <v>0</v>
      </c>
      <c r="T185" t="s">
        <v>443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x14ac:dyDescent="0.3">
      <c r="A186">
        <v>194</v>
      </c>
      <c r="B186" t="s">
        <v>121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J186">
        <v>1</v>
      </c>
      <c r="K186">
        <v>80</v>
      </c>
      <c r="L186">
        <v>90</v>
      </c>
      <c r="M186">
        <v>1.125</v>
      </c>
      <c r="N186">
        <v>1.125</v>
      </c>
      <c r="O186" t="s">
        <v>58</v>
      </c>
      <c r="P186" t="s">
        <v>58</v>
      </c>
      <c r="Q186" t="s">
        <v>419</v>
      </c>
      <c r="R186">
        <v>0</v>
      </c>
      <c r="S186">
        <v>0</v>
      </c>
      <c r="T186" t="s">
        <v>31</v>
      </c>
      <c r="U186" t="s">
        <v>37</v>
      </c>
      <c r="V186" t="s">
        <v>30</v>
      </c>
      <c r="W186" t="s">
        <v>112</v>
      </c>
      <c r="X186" t="s">
        <v>113</v>
      </c>
      <c r="Y186" t="s">
        <v>123</v>
      </c>
      <c r="Z186" t="s">
        <v>41</v>
      </c>
      <c r="AA186" t="s">
        <v>124</v>
      </c>
      <c r="AB186" t="s">
        <v>43</v>
      </c>
      <c r="AC186" t="s">
        <v>66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45838</v>
      </c>
      <c r="G187">
        <v>2025</v>
      </c>
      <c r="H187" t="s">
        <v>33</v>
      </c>
      <c r="I187" t="s">
        <v>404</v>
      </c>
      <c r="K187">
        <v>80</v>
      </c>
      <c r="L187">
        <v>90</v>
      </c>
      <c r="M187">
        <v>1.125</v>
      </c>
      <c r="N187">
        <v>1.125</v>
      </c>
      <c r="O187" t="s">
        <v>58</v>
      </c>
      <c r="P187" t="s">
        <v>58</v>
      </c>
      <c r="Q187" t="s">
        <v>419</v>
      </c>
      <c r="R187">
        <v>0</v>
      </c>
      <c r="S187">
        <v>0</v>
      </c>
      <c r="T187" t="s">
        <v>443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45291</v>
      </c>
      <c r="G188">
        <v>2023</v>
      </c>
      <c r="H188" t="s">
        <v>44</v>
      </c>
      <c r="I188" t="s">
        <v>49</v>
      </c>
      <c r="J188">
        <v>2</v>
      </c>
      <c r="L188">
        <v>90</v>
      </c>
      <c r="O188" t="s">
        <v>131</v>
      </c>
      <c r="P188" t="s">
        <v>58</v>
      </c>
      <c r="Q188" t="s">
        <v>132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45291</v>
      </c>
      <c r="G189">
        <v>2023</v>
      </c>
      <c r="H189" t="s">
        <v>44</v>
      </c>
      <c r="I189" t="s">
        <v>49</v>
      </c>
      <c r="L189">
        <v>90</v>
      </c>
      <c r="O189" t="s">
        <v>284</v>
      </c>
      <c r="P189" t="s">
        <v>58</v>
      </c>
      <c r="Q189" t="s">
        <v>132</v>
      </c>
      <c r="R189">
        <v>0</v>
      </c>
      <c r="S189">
        <v>0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45657</v>
      </c>
      <c r="G190">
        <v>2024</v>
      </c>
      <c r="H190" t="s">
        <v>44</v>
      </c>
      <c r="I190" t="s">
        <v>53</v>
      </c>
      <c r="J190">
        <v>2</v>
      </c>
      <c r="K190">
        <v>80</v>
      </c>
      <c r="L190">
        <v>87.4</v>
      </c>
      <c r="M190">
        <v>1.0925</v>
      </c>
      <c r="N190">
        <v>1.0925</v>
      </c>
      <c r="Q190" t="s">
        <v>136</v>
      </c>
      <c r="R190">
        <v>0</v>
      </c>
      <c r="S190">
        <v>0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x14ac:dyDescent="0.3">
      <c r="A191">
        <v>200</v>
      </c>
      <c r="B191" t="s">
        <v>129</v>
      </c>
      <c r="C191" t="s">
        <v>130</v>
      </c>
      <c r="D191" t="s">
        <v>66</v>
      </c>
      <c r="E191" t="s">
        <v>32</v>
      </c>
      <c r="F191" s="3">
        <v>45657</v>
      </c>
      <c r="G191">
        <v>2024</v>
      </c>
      <c r="H191" t="s">
        <v>44</v>
      </c>
      <c r="I191" t="s">
        <v>53</v>
      </c>
      <c r="K191">
        <v>80</v>
      </c>
      <c r="L191">
        <v>87.4</v>
      </c>
      <c r="M191">
        <v>1.0925</v>
      </c>
      <c r="N191">
        <v>1.0925</v>
      </c>
      <c r="O191" t="s">
        <v>58</v>
      </c>
      <c r="P191" t="s">
        <v>58</v>
      </c>
      <c r="Q191" t="s">
        <v>136</v>
      </c>
      <c r="R191">
        <v>0</v>
      </c>
      <c r="S191">
        <v>1</v>
      </c>
      <c r="T191" t="s">
        <v>443</v>
      </c>
      <c r="U191" t="s">
        <v>37</v>
      </c>
      <c r="V191" t="s">
        <v>130</v>
      </c>
      <c r="W191" t="s">
        <v>60</v>
      </c>
      <c r="X191" t="s">
        <v>100</v>
      </c>
      <c r="Y191" t="s">
        <v>133</v>
      </c>
      <c r="Z191" t="s">
        <v>134</v>
      </c>
      <c r="AA191" t="s">
        <v>135</v>
      </c>
      <c r="AB191" t="s">
        <v>43</v>
      </c>
      <c r="AC191" t="s">
        <v>66</v>
      </c>
    </row>
    <row r="192" spans="1:29" x14ac:dyDescent="0.3">
      <c r="A192">
        <v>200</v>
      </c>
      <c r="B192" t="s">
        <v>129</v>
      </c>
      <c r="C192" t="s">
        <v>130</v>
      </c>
      <c r="D192" t="s">
        <v>66</v>
      </c>
      <c r="E192" t="s">
        <v>32</v>
      </c>
      <c r="F192" s="3">
        <v>45838</v>
      </c>
      <c r="G192">
        <v>2025</v>
      </c>
      <c r="H192" t="s">
        <v>33</v>
      </c>
      <c r="I192" t="s">
        <v>404</v>
      </c>
      <c r="K192">
        <v>80</v>
      </c>
      <c r="L192">
        <v>87.4</v>
      </c>
      <c r="M192">
        <v>1.0925</v>
      </c>
      <c r="N192">
        <v>1.0925</v>
      </c>
      <c r="O192" t="s">
        <v>58</v>
      </c>
      <c r="P192" t="s">
        <v>58</v>
      </c>
      <c r="Q192" t="s">
        <v>463</v>
      </c>
      <c r="R192">
        <v>0</v>
      </c>
      <c r="S192">
        <v>1</v>
      </c>
      <c r="T192" t="s">
        <v>443</v>
      </c>
      <c r="U192" t="s">
        <v>37</v>
      </c>
      <c r="V192" t="s">
        <v>130</v>
      </c>
      <c r="W192" t="s">
        <v>60</v>
      </c>
      <c r="X192" t="s">
        <v>100</v>
      </c>
      <c r="Y192" t="s">
        <v>133</v>
      </c>
      <c r="Z192" t="s">
        <v>134</v>
      </c>
      <c r="AA192" t="s">
        <v>135</v>
      </c>
      <c r="AB192" t="s">
        <v>43</v>
      </c>
      <c r="AC192" t="s">
        <v>66</v>
      </c>
    </row>
    <row r="193" spans="1:29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43100</v>
      </c>
      <c r="G193">
        <f t="shared" ref="G193:G198" si="20">YEAR(F193)</f>
        <v>2017</v>
      </c>
      <c r="H193" t="str">
        <f t="shared" ref="H193:H198" si="21">PROPER(TEXT(F193,"mmmm"))</f>
        <v>Diciembre</v>
      </c>
      <c r="I193" t="str">
        <f t="shared" ref="I193:I198" si="22">IF(H193="Junio",G193&amp;"-1",G193&amp;"-2")</f>
        <v>2017-2</v>
      </c>
      <c r="L193">
        <v>64.400000000000006</v>
      </c>
      <c r="O193" t="s">
        <v>245</v>
      </c>
      <c r="P193" t="s">
        <v>245</v>
      </c>
      <c r="Q193" t="str">
        <f t="shared" ref="Q193:Q198" si="23">A193&amp;"-"&amp;TEXT(F193,"yyyy-mm-dd")</f>
        <v>202-2017-12-31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43100</v>
      </c>
      <c r="G194">
        <f t="shared" si="20"/>
        <v>2017</v>
      </c>
      <c r="H194" t="str">
        <f t="shared" si="21"/>
        <v>Diciembre</v>
      </c>
      <c r="I194" t="str">
        <f t="shared" si="22"/>
        <v>2017-2</v>
      </c>
      <c r="J194">
        <v>2</v>
      </c>
      <c r="L194">
        <v>64.400000000000006</v>
      </c>
      <c r="O194" t="s">
        <v>245</v>
      </c>
      <c r="P194" t="s">
        <v>245</v>
      </c>
      <c r="Q194" t="str">
        <f t="shared" si="23"/>
        <v>202-2017-12-31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43830</v>
      </c>
      <c r="G195">
        <f t="shared" si="20"/>
        <v>2019</v>
      </c>
      <c r="H195" t="str">
        <f t="shared" si="21"/>
        <v>Diciembre</v>
      </c>
      <c r="I195" t="str">
        <f t="shared" si="22"/>
        <v>2019-2</v>
      </c>
      <c r="J195">
        <v>2</v>
      </c>
      <c r="L195">
        <v>77.099999999999994</v>
      </c>
      <c r="O195" t="s">
        <v>245</v>
      </c>
      <c r="P195" t="s">
        <v>245</v>
      </c>
      <c r="Q195" t="str">
        <f t="shared" si="23"/>
        <v>202-2019-12-31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43830</v>
      </c>
      <c r="G196">
        <f t="shared" si="20"/>
        <v>2019</v>
      </c>
      <c r="H196" t="str">
        <f t="shared" si="21"/>
        <v>Diciembre</v>
      </c>
      <c r="I196" t="str">
        <f t="shared" si="22"/>
        <v>2019-2</v>
      </c>
      <c r="L196">
        <v>77.099999999999994</v>
      </c>
      <c r="O196" t="s">
        <v>245</v>
      </c>
      <c r="P196" t="s">
        <v>245</v>
      </c>
      <c r="Q196" t="str">
        <f t="shared" si="23"/>
        <v>202-2019-12-31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44561</v>
      </c>
      <c r="G197">
        <f t="shared" si="20"/>
        <v>2021</v>
      </c>
      <c r="H197" t="str">
        <f t="shared" si="21"/>
        <v>Diciembre</v>
      </c>
      <c r="I197" t="str">
        <f t="shared" si="22"/>
        <v>2021-2</v>
      </c>
      <c r="J197">
        <v>2</v>
      </c>
      <c r="L197">
        <v>61.7</v>
      </c>
      <c r="O197" t="s">
        <v>245</v>
      </c>
      <c r="P197" t="s">
        <v>245</v>
      </c>
      <c r="Q197" t="str">
        <f t="shared" si="23"/>
        <v>202-2021-12-31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44561</v>
      </c>
      <c r="G198">
        <f t="shared" si="20"/>
        <v>2021</v>
      </c>
      <c r="H198" t="str">
        <f t="shared" si="21"/>
        <v>Diciembre</v>
      </c>
      <c r="I198" t="str">
        <f t="shared" si="22"/>
        <v>2021-2</v>
      </c>
      <c r="L198">
        <v>61.7</v>
      </c>
      <c r="O198" t="s">
        <v>245</v>
      </c>
      <c r="P198" t="s">
        <v>245</v>
      </c>
      <c r="Q198" t="str">
        <f t="shared" si="23"/>
        <v>202-2021-12-31</v>
      </c>
      <c r="R198">
        <v>1</v>
      </c>
      <c r="S198">
        <v>1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J199">
        <v>2</v>
      </c>
      <c r="K199">
        <v>66</v>
      </c>
      <c r="L199">
        <v>64.7</v>
      </c>
      <c r="M199">
        <v>0.98030303030303034</v>
      </c>
      <c r="N199">
        <v>0.98030303030303034</v>
      </c>
      <c r="O199" t="s">
        <v>245</v>
      </c>
      <c r="P199" t="s">
        <v>245</v>
      </c>
      <c r="Q199" t="s">
        <v>138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x14ac:dyDescent="0.3">
      <c r="A200">
        <v>202</v>
      </c>
      <c r="B200" t="s">
        <v>137</v>
      </c>
      <c r="C200" t="s">
        <v>130</v>
      </c>
      <c r="D200" t="s">
        <v>66</v>
      </c>
      <c r="E200" t="s">
        <v>32</v>
      </c>
      <c r="F200" s="3">
        <v>45291</v>
      </c>
      <c r="G200">
        <v>2023</v>
      </c>
      <c r="H200" t="s">
        <v>44</v>
      </c>
      <c r="I200" t="s">
        <v>49</v>
      </c>
      <c r="K200">
        <v>66</v>
      </c>
      <c r="L200">
        <v>64.7</v>
      </c>
      <c r="M200">
        <v>0.98030303030303034</v>
      </c>
      <c r="N200">
        <v>0.98030303030303034</v>
      </c>
      <c r="O200" t="s">
        <v>35</v>
      </c>
      <c r="P200" t="s">
        <v>245</v>
      </c>
      <c r="Q200" t="s">
        <v>138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x14ac:dyDescent="0.3">
      <c r="A201">
        <v>202</v>
      </c>
      <c r="B201" t="s">
        <v>137</v>
      </c>
      <c r="C201" t="s">
        <v>130</v>
      </c>
      <c r="D201" t="s">
        <v>66</v>
      </c>
      <c r="E201" t="s">
        <v>32</v>
      </c>
      <c r="F201" s="3">
        <v>45838</v>
      </c>
      <c r="G201">
        <v>2025</v>
      </c>
      <c r="H201" t="s">
        <v>44</v>
      </c>
      <c r="I201" t="s">
        <v>465</v>
      </c>
      <c r="J201">
        <v>2</v>
      </c>
      <c r="K201">
        <v>68.7</v>
      </c>
      <c r="L201">
        <v>81</v>
      </c>
      <c r="M201">
        <v>1.179039301310044</v>
      </c>
      <c r="N201">
        <v>1.179039301310044</v>
      </c>
      <c r="O201" t="s">
        <v>245</v>
      </c>
      <c r="P201" t="s">
        <v>245</v>
      </c>
      <c r="Q201" t="s">
        <v>432</v>
      </c>
      <c r="R201">
        <v>1</v>
      </c>
      <c r="S201">
        <v>1</v>
      </c>
      <c r="T201" t="s">
        <v>31</v>
      </c>
      <c r="U201" t="s">
        <v>37</v>
      </c>
      <c r="V201" t="s">
        <v>130</v>
      </c>
      <c r="W201" t="s">
        <v>60</v>
      </c>
      <c r="X201" t="s">
        <v>100</v>
      </c>
      <c r="Y201" t="s">
        <v>139</v>
      </c>
      <c r="Z201" t="s">
        <v>63</v>
      </c>
      <c r="AA201" t="s">
        <v>115</v>
      </c>
      <c r="AB201" t="s">
        <v>43</v>
      </c>
      <c r="AC201" t="s">
        <v>66</v>
      </c>
    </row>
    <row r="202" spans="1:29" x14ac:dyDescent="0.3">
      <c r="A202">
        <v>202</v>
      </c>
      <c r="B202" s="6" t="s">
        <v>137</v>
      </c>
      <c r="C202" t="s">
        <v>130</v>
      </c>
      <c r="D202" t="s">
        <v>66</v>
      </c>
      <c r="E202" t="s">
        <v>32</v>
      </c>
      <c r="F202" s="3">
        <v>46022</v>
      </c>
      <c r="G202">
        <v>2025</v>
      </c>
      <c r="H202" t="s">
        <v>44</v>
      </c>
      <c r="I202" t="s">
        <v>465</v>
      </c>
      <c r="K202">
        <v>68.7</v>
      </c>
      <c r="L202">
        <v>81</v>
      </c>
      <c r="M202">
        <v>1.179039301310044</v>
      </c>
      <c r="N202">
        <v>1.179039301310044</v>
      </c>
      <c r="O202" t="s">
        <v>245</v>
      </c>
      <c r="P202" t="s">
        <v>245</v>
      </c>
      <c r="Q202" t="s">
        <v>432</v>
      </c>
      <c r="R202">
        <v>1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139</v>
      </c>
      <c r="Z202" t="s">
        <v>63</v>
      </c>
      <c r="AA202" t="s">
        <v>115</v>
      </c>
      <c r="AB202" t="s">
        <v>43</v>
      </c>
      <c r="AC202" t="s">
        <v>66</v>
      </c>
    </row>
    <row r="203" spans="1:29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44742</v>
      </c>
      <c r="G203">
        <v>2022</v>
      </c>
      <c r="H203" t="s">
        <v>33</v>
      </c>
      <c r="I203" t="s">
        <v>34</v>
      </c>
      <c r="J203">
        <v>1</v>
      </c>
      <c r="K203">
        <v>113672</v>
      </c>
      <c r="L203">
        <v>119144</v>
      </c>
      <c r="M203">
        <v>1.0481385037652191</v>
      </c>
      <c r="N203">
        <v>1.0481385037652191</v>
      </c>
      <c r="O203" t="s">
        <v>143</v>
      </c>
      <c r="P203" t="s">
        <v>143</v>
      </c>
      <c r="Q203" t="s">
        <v>144</v>
      </c>
      <c r="R203">
        <v>0</v>
      </c>
      <c r="S203">
        <v>0</v>
      </c>
      <c r="T203" t="s">
        <v>31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44926</v>
      </c>
      <c r="G204">
        <v>2022</v>
      </c>
      <c r="H204" t="s">
        <v>44</v>
      </c>
      <c r="I204" t="s">
        <v>45</v>
      </c>
      <c r="J204">
        <v>2</v>
      </c>
      <c r="K204">
        <v>110768</v>
      </c>
      <c r="L204">
        <v>121738</v>
      </c>
      <c r="M204">
        <v>1.099035822620251</v>
      </c>
      <c r="N204">
        <v>1.099035822620251</v>
      </c>
      <c r="O204" t="s">
        <v>143</v>
      </c>
      <c r="P204" t="s">
        <v>143</v>
      </c>
      <c r="Q204" t="s">
        <v>149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44926</v>
      </c>
      <c r="G205">
        <v>2022</v>
      </c>
      <c r="H205" t="s">
        <v>44</v>
      </c>
      <c r="I205" t="s">
        <v>45</v>
      </c>
      <c r="K205">
        <v>224440</v>
      </c>
      <c r="L205">
        <v>241706</v>
      </c>
      <c r="M205">
        <v>1.0769292461236859</v>
      </c>
      <c r="N205">
        <v>1.0769292461236859</v>
      </c>
      <c r="O205" t="s">
        <v>143</v>
      </c>
      <c r="P205" t="s">
        <v>143</v>
      </c>
      <c r="Q205" t="s">
        <v>149</v>
      </c>
      <c r="R205">
        <v>0</v>
      </c>
      <c r="S205">
        <v>0</v>
      </c>
      <c r="T205" t="s">
        <v>443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45107</v>
      </c>
      <c r="G206">
        <v>2023</v>
      </c>
      <c r="H206" t="s">
        <v>33</v>
      </c>
      <c r="I206" t="s">
        <v>47</v>
      </c>
      <c r="J206">
        <v>1</v>
      </c>
      <c r="K206">
        <v>123465.69985999999</v>
      </c>
      <c r="L206">
        <v>129185.069909</v>
      </c>
      <c r="M206">
        <v>1.046323554278519</v>
      </c>
      <c r="N206">
        <v>1.046323554278519</v>
      </c>
      <c r="O206" t="s">
        <v>143</v>
      </c>
      <c r="P206" t="s">
        <v>143</v>
      </c>
      <c r="Q206" t="s">
        <v>150</v>
      </c>
      <c r="R206">
        <v>0</v>
      </c>
      <c r="S206">
        <v>0</v>
      </c>
      <c r="T206" t="s">
        <v>31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45291</v>
      </c>
      <c r="G207">
        <v>2023</v>
      </c>
      <c r="H207" t="s">
        <v>44</v>
      </c>
      <c r="I207" t="s">
        <v>49</v>
      </c>
      <c r="J207">
        <v>2</v>
      </c>
      <c r="K207">
        <v>141378.739416</v>
      </c>
      <c r="L207">
        <v>144681.981019</v>
      </c>
      <c r="M207">
        <v>1.023364486178366</v>
      </c>
      <c r="N207">
        <v>1.023364486178366</v>
      </c>
      <c r="O207" t="s">
        <v>143</v>
      </c>
      <c r="P207" t="s">
        <v>143</v>
      </c>
      <c r="Q207" t="s">
        <v>151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45291</v>
      </c>
      <c r="G208">
        <v>2023</v>
      </c>
      <c r="H208" t="s">
        <v>44</v>
      </c>
      <c r="I208" t="s">
        <v>49</v>
      </c>
      <c r="K208">
        <v>264844.43927600002</v>
      </c>
      <c r="L208">
        <v>273867.05092800001</v>
      </c>
      <c r="M208">
        <v>1.0340675895505489</v>
      </c>
      <c r="N208">
        <v>1.0340675895505489</v>
      </c>
      <c r="O208" t="s">
        <v>143</v>
      </c>
      <c r="P208" t="s">
        <v>143</v>
      </c>
      <c r="Q208" t="s">
        <v>151</v>
      </c>
      <c r="R208">
        <v>0</v>
      </c>
      <c r="S208">
        <v>0</v>
      </c>
      <c r="T208" t="s">
        <v>443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45473</v>
      </c>
      <c r="G209">
        <v>2024</v>
      </c>
      <c r="H209" t="s">
        <v>33</v>
      </c>
      <c r="I209" t="s">
        <v>51</v>
      </c>
      <c r="J209">
        <v>1</v>
      </c>
      <c r="K209">
        <v>142872.2583337345</v>
      </c>
      <c r="L209">
        <v>145741.54103414001</v>
      </c>
      <c r="M209">
        <v>1.0200828539694751</v>
      </c>
      <c r="N209">
        <v>1.0200828539694751</v>
      </c>
      <c r="O209" t="s">
        <v>143</v>
      </c>
      <c r="P209" t="s">
        <v>143</v>
      </c>
      <c r="Q209" t="s">
        <v>152</v>
      </c>
      <c r="R209">
        <v>0</v>
      </c>
      <c r="S209">
        <v>0</v>
      </c>
      <c r="T209" t="s">
        <v>31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45657</v>
      </c>
      <c r="G210">
        <v>2024</v>
      </c>
      <c r="H210" t="s">
        <v>44</v>
      </c>
      <c r="I210" t="s">
        <v>53</v>
      </c>
      <c r="J210">
        <v>2</v>
      </c>
      <c r="K210">
        <v>146766.19433692191</v>
      </c>
      <c r="L210">
        <v>152125.58089486</v>
      </c>
      <c r="M210">
        <v>1.036516491976585</v>
      </c>
      <c r="N210">
        <v>1.036516491976585</v>
      </c>
      <c r="O210" t="s">
        <v>143</v>
      </c>
      <c r="P210" t="s">
        <v>143</v>
      </c>
      <c r="Q210" t="s">
        <v>153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x14ac:dyDescent="0.3">
      <c r="A211">
        <v>203</v>
      </c>
      <c r="B211" t="s">
        <v>141</v>
      </c>
      <c r="C211" t="s">
        <v>142</v>
      </c>
      <c r="D211" t="s">
        <v>31</v>
      </c>
      <c r="E211" t="s">
        <v>32</v>
      </c>
      <c r="F211" s="3">
        <v>45657</v>
      </c>
      <c r="G211">
        <v>2024</v>
      </c>
      <c r="H211" t="s">
        <v>44</v>
      </c>
      <c r="I211" t="s">
        <v>53</v>
      </c>
      <c r="K211">
        <v>289638.45267000003</v>
      </c>
      <c r="L211">
        <v>297867.12192900002</v>
      </c>
      <c r="M211">
        <v>1.028410140929648</v>
      </c>
      <c r="N211">
        <v>1.028410140929648</v>
      </c>
      <c r="O211" t="s">
        <v>143</v>
      </c>
      <c r="P211" t="s">
        <v>143</v>
      </c>
      <c r="Q211" t="s">
        <v>153</v>
      </c>
      <c r="R211">
        <v>0</v>
      </c>
      <c r="S211">
        <v>0</v>
      </c>
      <c r="T211" t="s">
        <v>443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78</v>
      </c>
      <c r="AC211" t="s">
        <v>66</v>
      </c>
    </row>
    <row r="212" spans="1:29" x14ac:dyDescent="0.3">
      <c r="A212">
        <v>203</v>
      </c>
      <c r="B212" t="s">
        <v>141</v>
      </c>
      <c r="C212" t="s">
        <v>142</v>
      </c>
      <c r="D212" t="s">
        <v>31</v>
      </c>
      <c r="E212" t="s">
        <v>32</v>
      </c>
      <c r="F212" s="3">
        <v>45838</v>
      </c>
      <c r="G212">
        <v>2025</v>
      </c>
      <c r="H212" t="s">
        <v>33</v>
      </c>
      <c r="I212" t="s">
        <v>404</v>
      </c>
      <c r="J212">
        <v>1</v>
      </c>
      <c r="K212">
        <v>149950.76733</v>
      </c>
      <c r="L212">
        <v>167595.14529690001</v>
      </c>
      <c r="M212">
        <v>1.1176678071147821</v>
      </c>
      <c r="N212">
        <v>1.1176678071147821</v>
      </c>
      <c r="O212" t="s">
        <v>143</v>
      </c>
      <c r="P212" t="s">
        <v>143</v>
      </c>
      <c r="Q212" t="s">
        <v>426</v>
      </c>
      <c r="R212">
        <v>0</v>
      </c>
      <c r="S212">
        <v>0</v>
      </c>
      <c r="T212" t="s">
        <v>31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78</v>
      </c>
      <c r="AC212" t="s">
        <v>66</v>
      </c>
    </row>
    <row r="213" spans="1:29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45291</v>
      </c>
      <c r="G213">
        <v>2023</v>
      </c>
      <c r="H213" t="s">
        <v>44</v>
      </c>
      <c r="I213" t="s">
        <v>49</v>
      </c>
      <c r="J213">
        <v>2</v>
      </c>
      <c r="K213">
        <v>86846.60702431656</v>
      </c>
      <c r="L213">
        <v>141016.76289899999</v>
      </c>
      <c r="M213">
        <v>1.3</v>
      </c>
      <c r="N213">
        <v>1.6237452185036549</v>
      </c>
      <c r="O213" t="s">
        <v>143</v>
      </c>
      <c r="P213" t="s">
        <v>143</v>
      </c>
      <c r="Q213" t="s">
        <v>158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45291</v>
      </c>
      <c r="G214">
        <v>2023</v>
      </c>
      <c r="H214" t="s">
        <v>44</v>
      </c>
      <c r="I214" t="s">
        <v>49</v>
      </c>
      <c r="K214">
        <v>86846.60702431656</v>
      </c>
      <c r="L214">
        <v>141016.76289899999</v>
      </c>
      <c r="M214">
        <v>1.3</v>
      </c>
      <c r="N214">
        <v>1.6237452185036549</v>
      </c>
      <c r="O214" t="s">
        <v>143</v>
      </c>
      <c r="P214" t="s">
        <v>143</v>
      </c>
      <c r="Q214" t="s">
        <v>158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45657</v>
      </c>
      <c r="G215">
        <v>2024</v>
      </c>
      <c r="H215" t="s">
        <v>44</v>
      </c>
      <c r="I215" t="s">
        <v>53</v>
      </c>
      <c r="J215">
        <v>2</v>
      </c>
      <c r="K215">
        <v>122440.821151</v>
      </c>
      <c r="L215">
        <v>176962.74882400001</v>
      </c>
      <c r="M215">
        <v>1.3</v>
      </c>
      <c r="N215">
        <v>1.335538462273004</v>
      </c>
      <c r="O215" t="s">
        <v>143</v>
      </c>
      <c r="P215" t="s">
        <v>143</v>
      </c>
      <c r="Q215" t="s">
        <v>160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45657</v>
      </c>
      <c r="G216">
        <v>2024</v>
      </c>
      <c r="H216" t="s">
        <v>44</v>
      </c>
      <c r="I216" t="s">
        <v>53</v>
      </c>
      <c r="K216">
        <v>122440.821151</v>
      </c>
      <c r="L216">
        <v>176962.74882400001</v>
      </c>
      <c r="M216">
        <v>1.3</v>
      </c>
      <c r="N216">
        <v>1.4452920779235949</v>
      </c>
      <c r="O216" t="s">
        <v>143</v>
      </c>
      <c r="P216" t="s">
        <v>143</v>
      </c>
      <c r="Q216" t="s">
        <v>160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x14ac:dyDescent="0.3">
      <c r="A217">
        <v>204</v>
      </c>
      <c r="B217" t="s">
        <v>154</v>
      </c>
      <c r="C217" t="s">
        <v>142</v>
      </c>
      <c r="D217" t="s">
        <v>31</v>
      </c>
      <c r="E217" t="s">
        <v>32</v>
      </c>
      <c r="F217" s="3">
        <v>46022</v>
      </c>
      <c r="G217">
        <v>2025</v>
      </c>
      <c r="H217" t="s">
        <v>44</v>
      </c>
      <c r="I217" t="s">
        <v>465</v>
      </c>
      <c r="J217">
        <v>2</v>
      </c>
      <c r="L217">
        <f>128448131182/1000000</f>
        <v>128448.131182</v>
      </c>
      <c r="O217" t="s">
        <v>143</v>
      </c>
      <c r="P217" t="s">
        <v>143</v>
      </c>
      <c r="Q217" t="s">
        <v>496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43</v>
      </c>
      <c r="AC217" t="s">
        <v>66</v>
      </c>
    </row>
    <row r="218" spans="1:29" x14ac:dyDescent="0.3">
      <c r="A218">
        <v>204</v>
      </c>
      <c r="B218" t="s">
        <v>154</v>
      </c>
      <c r="C218" t="s">
        <v>142</v>
      </c>
      <c r="D218" t="s">
        <v>31</v>
      </c>
      <c r="E218" t="s">
        <v>32</v>
      </c>
      <c r="F218" s="3">
        <v>46022</v>
      </c>
      <c r="G218">
        <v>2025</v>
      </c>
      <c r="H218" t="s">
        <v>44</v>
      </c>
      <c r="I218" t="s">
        <v>465</v>
      </c>
      <c r="L218">
        <f>128448131182/1000000</f>
        <v>128448.131182</v>
      </c>
      <c r="O218" t="s">
        <v>143</v>
      </c>
      <c r="P218" t="s">
        <v>143</v>
      </c>
      <c r="Q218" t="s">
        <v>496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43</v>
      </c>
      <c r="AC218" t="s">
        <v>66</v>
      </c>
    </row>
    <row r="219" spans="1:29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44926</v>
      </c>
      <c r="G219">
        <v>2022</v>
      </c>
      <c r="H219" t="s">
        <v>44</v>
      </c>
      <c r="I219" t="s">
        <v>45</v>
      </c>
      <c r="J219">
        <v>2</v>
      </c>
      <c r="L219">
        <v>2605</v>
      </c>
      <c r="M219">
        <v>1.3</v>
      </c>
      <c r="N219">
        <v>3.597572107981108</v>
      </c>
      <c r="O219" t="s">
        <v>143</v>
      </c>
      <c r="P219" t="s">
        <v>143</v>
      </c>
      <c r="Q219" t="s">
        <v>163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44926</v>
      </c>
      <c r="G220">
        <v>2022</v>
      </c>
      <c r="H220" t="s">
        <v>44</v>
      </c>
      <c r="I220" t="s">
        <v>45</v>
      </c>
      <c r="L220">
        <v>2605</v>
      </c>
      <c r="M220">
        <v>1.3</v>
      </c>
      <c r="N220">
        <v>4.2650764615555667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443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45107</v>
      </c>
      <c r="G221">
        <v>2023</v>
      </c>
      <c r="H221" t="s">
        <v>33</v>
      </c>
      <c r="I221" t="s">
        <v>47</v>
      </c>
      <c r="J221">
        <v>1</v>
      </c>
      <c r="K221">
        <v>2622.5539939999999</v>
      </c>
      <c r="L221">
        <v>4338.4199079999999</v>
      </c>
      <c r="M221">
        <v>1.3</v>
      </c>
      <c r="N221">
        <v>1.654272864515139</v>
      </c>
      <c r="O221" t="s">
        <v>143</v>
      </c>
      <c r="P221" t="s">
        <v>143</v>
      </c>
      <c r="Q221" t="s">
        <v>162</v>
      </c>
      <c r="R221">
        <v>0</v>
      </c>
      <c r="S221">
        <v>0</v>
      </c>
      <c r="T221" t="s">
        <v>31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45291</v>
      </c>
      <c r="G222">
        <v>2023</v>
      </c>
      <c r="H222" t="s">
        <v>44</v>
      </c>
      <c r="I222" t="s">
        <v>49</v>
      </c>
      <c r="J222">
        <v>2</v>
      </c>
      <c r="K222">
        <v>2041.786670711695</v>
      </c>
      <c r="L222">
        <v>7345.4747770000004</v>
      </c>
      <c r="M222">
        <v>1.3</v>
      </c>
      <c r="N222">
        <v>3.597572107981108</v>
      </c>
      <c r="O222" t="s">
        <v>143</v>
      </c>
      <c r="P222" t="s">
        <v>143</v>
      </c>
      <c r="Q222" t="s">
        <v>163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45291</v>
      </c>
      <c r="G223">
        <v>2023</v>
      </c>
      <c r="H223" t="s">
        <v>44</v>
      </c>
      <c r="I223" t="s">
        <v>49</v>
      </c>
      <c r="K223">
        <v>2041.7866710000001</v>
      </c>
      <c r="L223">
        <v>8708.3762700000007</v>
      </c>
      <c r="M223">
        <v>1.3</v>
      </c>
      <c r="N223">
        <v>4.2650764615555667</v>
      </c>
      <c r="O223" t="s">
        <v>143</v>
      </c>
      <c r="P223" t="s">
        <v>143</v>
      </c>
      <c r="Q223" t="s">
        <v>163</v>
      </c>
      <c r="R223">
        <v>0</v>
      </c>
      <c r="S223">
        <v>0</v>
      </c>
      <c r="T223" t="s">
        <v>443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45473</v>
      </c>
      <c r="G224">
        <v>2024</v>
      </c>
      <c r="H224" t="s">
        <v>33</v>
      </c>
      <c r="I224" t="s">
        <v>51</v>
      </c>
      <c r="J224">
        <v>1</v>
      </c>
      <c r="K224">
        <v>2039.2370430000001</v>
      </c>
      <c r="L224">
        <v>4385.721681</v>
      </c>
      <c r="M224">
        <v>1.3</v>
      </c>
      <c r="N224">
        <v>2.1506679157553932</v>
      </c>
      <c r="O224" t="s">
        <v>143</v>
      </c>
      <c r="P224" t="s">
        <v>143</v>
      </c>
      <c r="Q224" t="s">
        <v>164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45657</v>
      </c>
      <c r="G225">
        <v>2024</v>
      </c>
      <c r="H225" t="s">
        <v>44</v>
      </c>
      <c r="I225" t="s">
        <v>53</v>
      </c>
      <c r="J225">
        <v>2</v>
      </c>
      <c r="K225">
        <v>2783.2196537144901</v>
      </c>
      <c r="L225">
        <v>5092.3929009999993</v>
      </c>
      <c r="M225">
        <v>1.3</v>
      </c>
      <c r="N225">
        <v>1.829676969334304</v>
      </c>
      <c r="O225" t="s">
        <v>143</v>
      </c>
      <c r="P225" t="s">
        <v>143</v>
      </c>
      <c r="Q225" t="s">
        <v>165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45657</v>
      </c>
      <c r="G226">
        <v>2024</v>
      </c>
      <c r="H226" t="s">
        <v>44</v>
      </c>
      <c r="I226" t="s">
        <v>53</v>
      </c>
      <c r="K226">
        <v>2783.219654</v>
      </c>
      <c r="L226">
        <v>5141.1028649999998</v>
      </c>
      <c r="M226">
        <v>1.3</v>
      </c>
      <c r="N226">
        <v>1.847178269818297</v>
      </c>
      <c r="O226" t="s">
        <v>143</v>
      </c>
      <c r="P226" t="s">
        <v>143</v>
      </c>
      <c r="Q226" t="s">
        <v>165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x14ac:dyDescent="0.3">
      <c r="A227">
        <v>205</v>
      </c>
      <c r="B227" t="s">
        <v>161</v>
      </c>
      <c r="C227" t="s">
        <v>142</v>
      </c>
      <c r="D227" t="s">
        <v>31</v>
      </c>
      <c r="E227" t="s">
        <v>32</v>
      </c>
      <c r="F227" s="3">
        <v>45838</v>
      </c>
      <c r="G227">
        <v>2025</v>
      </c>
      <c r="H227" t="s">
        <v>33</v>
      </c>
      <c r="I227" t="s">
        <v>404</v>
      </c>
      <c r="J227">
        <v>1</v>
      </c>
      <c r="K227">
        <v>4817.8363419999996</v>
      </c>
      <c r="L227">
        <v>8976.1202028999996</v>
      </c>
      <c r="M227">
        <v>1.3</v>
      </c>
      <c r="N227">
        <v>1.8631019332578229</v>
      </c>
      <c r="O227" t="s">
        <v>143</v>
      </c>
      <c r="P227" t="s">
        <v>143</v>
      </c>
      <c r="Q227" t="s">
        <v>422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78</v>
      </c>
      <c r="AC227" t="s">
        <v>66</v>
      </c>
    </row>
    <row r="228" spans="1:29" x14ac:dyDescent="0.3">
      <c r="A228">
        <v>205</v>
      </c>
      <c r="B228" t="s">
        <v>161</v>
      </c>
      <c r="C228" t="s">
        <v>142</v>
      </c>
      <c r="D228" t="s">
        <v>31</v>
      </c>
      <c r="E228" t="s">
        <v>32</v>
      </c>
      <c r="F228" s="3">
        <v>46022</v>
      </c>
      <c r="G228">
        <v>2025</v>
      </c>
      <c r="H228" t="s">
        <v>44</v>
      </c>
      <c r="I228" t="s">
        <v>465</v>
      </c>
      <c r="L228">
        <v>4684</v>
      </c>
      <c r="M228">
        <v>1.3</v>
      </c>
      <c r="N228">
        <v>1.8631019332578229</v>
      </c>
      <c r="O228" t="s">
        <v>143</v>
      </c>
      <c r="P228" t="s">
        <v>143</v>
      </c>
      <c r="Q228" t="s">
        <v>422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78</v>
      </c>
      <c r="AC228" t="s">
        <v>66</v>
      </c>
    </row>
    <row r="229" spans="1:29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45107</v>
      </c>
      <c r="G229">
        <v>2023</v>
      </c>
      <c r="H229" t="s">
        <v>33</v>
      </c>
      <c r="I229" t="s">
        <v>47</v>
      </c>
      <c r="J229">
        <v>1</v>
      </c>
      <c r="K229">
        <v>114640.77968199999</v>
      </c>
      <c r="L229">
        <v>116015.126638</v>
      </c>
      <c r="M229">
        <v>0.98815372619220287</v>
      </c>
      <c r="N229">
        <v>0.98815372619220287</v>
      </c>
      <c r="O229" t="s">
        <v>143</v>
      </c>
      <c r="P229" t="s">
        <v>143</v>
      </c>
      <c r="Q229" t="s">
        <v>172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45291</v>
      </c>
      <c r="G230">
        <v>2023</v>
      </c>
      <c r="H230" t="s">
        <v>44</v>
      </c>
      <c r="I230" t="s">
        <v>49</v>
      </c>
      <c r="J230">
        <v>2</v>
      </c>
      <c r="K230">
        <v>238770.96657245801</v>
      </c>
      <c r="L230">
        <v>247359.733075</v>
      </c>
      <c r="M230">
        <v>0.96527823507984689</v>
      </c>
      <c r="N230">
        <v>0.96527823507984689</v>
      </c>
      <c r="O230" t="s">
        <v>143</v>
      </c>
      <c r="P230" t="s">
        <v>143</v>
      </c>
      <c r="Q230" t="s">
        <v>173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45291</v>
      </c>
      <c r="G231">
        <v>2023</v>
      </c>
      <c r="H231" t="s">
        <v>44</v>
      </c>
      <c r="I231" t="s">
        <v>49</v>
      </c>
      <c r="K231">
        <v>238770.96657245801</v>
      </c>
      <c r="L231">
        <v>247359.73307500011</v>
      </c>
      <c r="M231">
        <v>0.96527823507984656</v>
      </c>
      <c r="N231">
        <v>0.96527823507984656</v>
      </c>
      <c r="O231" t="s">
        <v>143</v>
      </c>
      <c r="P231" t="s">
        <v>143</v>
      </c>
      <c r="Q231" t="s">
        <v>173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45473</v>
      </c>
      <c r="G232">
        <v>2024</v>
      </c>
      <c r="H232" t="s">
        <v>33</v>
      </c>
      <c r="I232" t="s">
        <v>51</v>
      </c>
      <c r="J232">
        <v>1</v>
      </c>
      <c r="K232">
        <v>128735.29679399999</v>
      </c>
      <c r="L232">
        <v>131039.3223</v>
      </c>
      <c r="M232">
        <v>1.017897387611471</v>
      </c>
      <c r="N232">
        <v>1.017897387611471</v>
      </c>
      <c r="O232" t="s">
        <v>143</v>
      </c>
      <c r="P232" t="s">
        <v>143</v>
      </c>
      <c r="Q232" t="s">
        <v>174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45657</v>
      </c>
      <c r="G233">
        <v>2024</v>
      </c>
      <c r="H233" t="s">
        <v>44</v>
      </c>
      <c r="I233" t="s">
        <v>53</v>
      </c>
      <c r="J233">
        <v>2</v>
      </c>
      <c r="K233">
        <v>262628.34438982193</v>
      </c>
      <c r="L233">
        <v>268399.19981700002</v>
      </c>
      <c r="M233">
        <v>1.017897387611471</v>
      </c>
      <c r="N233">
        <v>1.017897387611471</v>
      </c>
      <c r="O233" t="s">
        <v>143</v>
      </c>
      <c r="P233" t="s">
        <v>143</v>
      </c>
      <c r="Q233" t="s">
        <v>175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207</v>
      </c>
      <c r="B234" t="s">
        <v>170</v>
      </c>
      <c r="C234" t="s">
        <v>142</v>
      </c>
      <c r="D234" t="s">
        <v>31</v>
      </c>
      <c r="E234" t="s">
        <v>171</v>
      </c>
      <c r="F234" s="3">
        <v>45657</v>
      </c>
      <c r="G234">
        <v>2024</v>
      </c>
      <c r="H234" t="s">
        <v>44</v>
      </c>
      <c r="I234" t="s">
        <v>53</v>
      </c>
      <c r="K234">
        <v>262628.34438999998</v>
      </c>
      <c r="L234">
        <v>268399.19981700002</v>
      </c>
      <c r="M234">
        <v>1.0219734676407599</v>
      </c>
      <c r="N234">
        <v>1.0219734676407599</v>
      </c>
      <c r="O234" t="s">
        <v>143</v>
      </c>
      <c r="P234" t="s">
        <v>143</v>
      </c>
      <c r="Q234" t="s">
        <v>175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x14ac:dyDescent="0.3">
      <c r="A235">
        <v>207</v>
      </c>
      <c r="B235" t="s">
        <v>170</v>
      </c>
      <c r="C235" t="s">
        <v>142</v>
      </c>
      <c r="D235" t="s">
        <v>31</v>
      </c>
      <c r="E235" t="s">
        <v>171</v>
      </c>
      <c r="F235" s="3">
        <v>45838</v>
      </c>
      <c r="G235">
        <v>2025</v>
      </c>
      <c r="H235" t="s">
        <v>33</v>
      </c>
      <c r="I235" t="s">
        <v>404</v>
      </c>
      <c r="J235">
        <v>1</v>
      </c>
      <c r="K235">
        <v>131244.07283600001</v>
      </c>
      <c r="L235">
        <v>145546.91852800001</v>
      </c>
      <c r="M235">
        <v>1.108978983834741</v>
      </c>
      <c r="N235">
        <v>1.108978983834741</v>
      </c>
      <c r="O235" t="s">
        <v>143</v>
      </c>
      <c r="P235" t="s">
        <v>143</v>
      </c>
      <c r="Q235" t="s">
        <v>427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43</v>
      </c>
      <c r="AC235" t="s">
        <v>66</v>
      </c>
    </row>
    <row r="236" spans="1:29" x14ac:dyDescent="0.3">
      <c r="A236">
        <v>207</v>
      </c>
      <c r="B236" s="6" t="s">
        <v>170</v>
      </c>
      <c r="C236" t="s">
        <v>142</v>
      </c>
      <c r="D236" t="s">
        <v>31</v>
      </c>
      <c r="E236" t="s">
        <v>171</v>
      </c>
      <c r="F236" s="3">
        <v>46022</v>
      </c>
      <c r="G236">
        <v>2025</v>
      </c>
      <c r="H236" t="s">
        <v>44</v>
      </c>
      <c r="I236" t="s">
        <v>465</v>
      </c>
      <c r="L236">
        <v>277178.213544</v>
      </c>
      <c r="O236" t="s">
        <v>143</v>
      </c>
      <c r="P236" t="s">
        <v>143</v>
      </c>
      <c r="Q236" t="s">
        <v>502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43</v>
      </c>
      <c r="AC236" t="s">
        <v>66</v>
      </c>
    </row>
    <row r="237" spans="1:29" x14ac:dyDescent="0.3">
      <c r="A237">
        <v>228</v>
      </c>
      <c r="B237" s="6" t="s">
        <v>176</v>
      </c>
      <c r="C237" t="s">
        <v>177</v>
      </c>
      <c r="D237" t="s">
        <v>66</v>
      </c>
      <c r="E237" t="s">
        <v>32</v>
      </c>
      <c r="F237" s="3">
        <v>44926</v>
      </c>
      <c r="G237">
        <v>2022</v>
      </c>
      <c r="H237" t="s">
        <v>44</v>
      </c>
      <c r="I237" t="s">
        <v>45</v>
      </c>
      <c r="J237">
        <v>2</v>
      </c>
      <c r="K237">
        <v>100</v>
      </c>
      <c r="L237">
        <v>100.11</v>
      </c>
      <c r="M237">
        <v>1.0011000000000001</v>
      </c>
      <c r="N237">
        <v>1.0011000000000001</v>
      </c>
      <c r="Q237" t="s">
        <v>178</v>
      </c>
      <c r="R237">
        <v>1</v>
      </c>
      <c r="S237">
        <v>1</v>
      </c>
      <c r="T237" t="s">
        <v>31</v>
      </c>
      <c r="U237" t="s">
        <v>37</v>
      </c>
      <c r="V237" t="s">
        <v>177</v>
      </c>
      <c r="W237" t="s">
        <v>145</v>
      </c>
      <c r="X237" t="s">
        <v>179</v>
      </c>
      <c r="Y237" t="s">
        <v>180</v>
      </c>
      <c r="Z237" t="s">
        <v>63</v>
      </c>
      <c r="AA237" t="s">
        <v>64</v>
      </c>
      <c r="AB237" t="s">
        <v>43</v>
      </c>
      <c r="AC237" t="s">
        <v>66</v>
      </c>
    </row>
    <row r="238" spans="1:29" x14ac:dyDescent="0.3">
      <c r="A238">
        <v>228</v>
      </c>
      <c r="B238" s="6" t="s">
        <v>176</v>
      </c>
      <c r="C238" t="s">
        <v>177</v>
      </c>
      <c r="D238" t="s">
        <v>66</v>
      </c>
      <c r="E238" t="s">
        <v>32</v>
      </c>
      <c r="F238" s="3">
        <v>44926</v>
      </c>
      <c r="G238">
        <v>2022</v>
      </c>
      <c r="H238" t="s">
        <v>44</v>
      </c>
      <c r="I238" t="s">
        <v>45</v>
      </c>
      <c r="K238">
        <v>170.99</v>
      </c>
      <c r="L238">
        <v>235</v>
      </c>
      <c r="M238">
        <v>1</v>
      </c>
      <c r="N238">
        <v>1.3743493771565589</v>
      </c>
      <c r="O238" t="s">
        <v>445</v>
      </c>
      <c r="P238" t="s">
        <v>445</v>
      </c>
      <c r="Q238" t="s">
        <v>178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45291</v>
      </c>
      <c r="G239">
        <v>2023</v>
      </c>
      <c r="H239" t="s">
        <v>44</v>
      </c>
      <c r="I239" t="s">
        <v>49</v>
      </c>
      <c r="K239">
        <v>622.69000000000005</v>
      </c>
      <c r="L239">
        <v>622.68999999999994</v>
      </c>
      <c r="M239">
        <v>0.99999999999999978</v>
      </c>
      <c r="N239">
        <v>0.99999999999999978</v>
      </c>
      <c r="O239" t="s">
        <v>445</v>
      </c>
      <c r="P239" t="s">
        <v>445</v>
      </c>
      <c r="Q239" t="s">
        <v>453</v>
      </c>
      <c r="R239">
        <v>1</v>
      </c>
      <c r="S239">
        <v>1</v>
      </c>
      <c r="T239" t="s">
        <v>443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t="s">
        <v>44</v>
      </c>
      <c r="I240" t="s">
        <v>53</v>
      </c>
      <c r="J240">
        <v>2</v>
      </c>
      <c r="Q240" t="s">
        <v>181</v>
      </c>
      <c r="R240">
        <v>0</v>
      </c>
      <c r="S240">
        <v>0</v>
      </c>
      <c r="T240" t="s">
        <v>31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x14ac:dyDescent="0.3">
      <c r="A241">
        <v>228</v>
      </c>
      <c r="B241" t="s">
        <v>176</v>
      </c>
      <c r="C241" t="s">
        <v>177</v>
      </c>
      <c r="D241" t="s">
        <v>66</v>
      </c>
      <c r="E241" t="s">
        <v>32</v>
      </c>
      <c r="F241" s="3">
        <v>45657</v>
      </c>
      <c r="G241">
        <v>2024</v>
      </c>
      <c r="H241" t="s">
        <v>44</v>
      </c>
      <c r="I241" t="s">
        <v>53</v>
      </c>
      <c r="K241">
        <v>476.48</v>
      </c>
      <c r="L241">
        <v>477</v>
      </c>
      <c r="M241">
        <v>1</v>
      </c>
      <c r="N241">
        <v>1.0010913364674281</v>
      </c>
      <c r="O241" t="s">
        <v>445</v>
      </c>
      <c r="P241" t="s">
        <v>445</v>
      </c>
      <c r="Q241" t="s">
        <v>181</v>
      </c>
      <c r="R241">
        <v>1</v>
      </c>
      <c r="S241">
        <v>0</v>
      </c>
      <c r="T241" t="s">
        <v>443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x14ac:dyDescent="0.3">
      <c r="A242">
        <v>228</v>
      </c>
      <c r="B242" t="s">
        <v>176</v>
      </c>
      <c r="C242" t="s">
        <v>177</v>
      </c>
      <c r="D242" t="s">
        <v>66</v>
      </c>
      <c r="E242" t="s">
        <v>32</v>
      </c>
      <c r="F242" s="3">
        <v>45838</v>
      </c>
      <c r="G242">
        <v>2025</v>
      </c>
      <c r="H242" t="s">
        <v>33</v>
      </c>
      <c r="I242" t="s">
        <v>404</v>
      </c>
      <c r="K242">
        <v>622.69000000000005</v>
      </c>
      <c r="L242">
        <v>622.69100000000003</v>
      </c>
      <c r="M242">
        <v>1</v>
      </c>
      <c r="N242">
        <v>1.0000016059355381</v>
      </c>
      <c r="O242" t="s">
        <v>445</v>
      </c>
      <c r="P242" t="s">
        <v>445</v>
      </c>
      <c r="Q242" t="s">
        <v>460</v>
      </c>
      <c r="R242">
        <v>1</v>
      </c>
      <c r="S242">
        <v>1</v>
      </c>
      <c r="T242" t="s">
        <v>443</v>
      </c>
      <c r="U242" t="s">
        <v>37</v>
      </c>
      <c r="V242" t="s">
        <v>177</v>
      </c>
      <c r="W242" t="s">
        <v>145</v>
      </c>
      <c r="X242" t="s">
        <v>179</v>
      </c>
      <c r="Y242" t="s">
        <v>180</v>
      </c>
      <c r="Z242" t="s">
        <v>63</v>
      </c>
      <c r="AA242" t="s">
        <v>64</v>
      </c>
      <c r="AB242" t="s">
        <v>43</v>
      </c>
      <c r="AC242" t="s">
        <v>66</v>
      </c>
    </row>
    <row r="243" spans="1:29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44926</v>
      </c>
      <c r="G243">
        <v>2022</v>
      </c>
      <c r="H243" t="s">
        <v>44</v>
      </c>
      <c r="I243" t="s">
        <v>45</v>
      </c>
      <c r="K243">
        <v>27</v>
      </c>
      <c r="L243">
        <v>27</v>
      </c>
      <c r="M243">
        <v>1</v>
      </c>
      <c r="N243">
        <v>1</v>
      </c>
      <c r="O243" t="s">
        <v>35</v>
      </c>
      <c r="P243" t="s">
        <v>35</v>
      </c>
      <c r="Q243" t="s">
        <v>446</v>
      </c>
      <c r="R243">
        <v>0</v>
      </c>
      <c r="S243">
        <v>0</v>
      </c>
      <c r="T243" t="s">
        <v>443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J244">
        <v>2</v>
      </c>
      <c r="K244">
        <v>25</v>
      </c>
      <c r="L244">
        <v>24</v>
      </c>
      <c r="M244">
        <v>1.041666666666667</v>
      </c>
      <c r="N244">
        <v>1.041666666666667</v>
      </c>
      <c r="Q244" t="s">
        <v>183</v>
      </c>
      <c r="R244">
        <v>0</v>
      </c>
      <c r="S244">
        <v>0</v>
      </c>
      <c r="T244" t="s">
        <v>31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45291</v>
      </c>
      <c r="G245">
        <v>2023</v>
      </c>
      <c r="H245" t="s">
        <v>44</v>
      </c>
      <c r="I245" t="s">
        <v>49</v>
      </c>
      <c r="K245">
        <v>25</v>
      </c>
      <c r="L245">
        <v>24</v>
      </c>
      <c r="M245">
        <v>1.041666666666667</v>
      </c>
      <c r="N245">
        <v>1.041666666666667</v>
      </c>
      <c r="O245" t="s">
        <v>35</v>
      </c>
      <c r="P245" t="s">
        <v>35</v>
      </c>
      <c r="Q245" t="s">
        <v>183</v>
      </c>
      <c r="R245">
        <v>0</v>
      </c>
      <c r="S245">
        <v>0</v>
      </c>
      <c r="T245" t="s">
        <v>443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25</v>
      </c>
      <c r="L246">
        <v>25</v>
      </c>
      <c r="M246">
        <v>1</v>
      </c>
      <c r="N246">
        <v>1</v>
      </c>
      <c r="Q246" t="s">
        <v>184</v>
      </c>
      <c r="R246">
        <v>0</v>
      </c>
      <c r="S246">
        <v>0</v>
      </c>
      <c r="T246" t="s">
        <v>31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25</v>
      </c>
      <c r="L247">
        <v>25</v>
      </c>
      <c r="M247">
        <v>1</v>
      </c>
      <c r="N247">
        <v>1</v>
      </c>
      <c r="O247" t="s">
        <v>35</v>
      </c>
      <c r="P247" t="s">
        <v>35</v>
      </c>
      <c r="Q247" t="s">
        <v>184</v>
      </c>
      <c r="R247">
        <v>0</v>
      </c>
      <c r="S247">
        <v>0</v>
      </c>
      <c r="T247" t="s">
        <v>443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244</v>
      </c>
      <c r="B248" t="s">
        <v>182</v>
      </c>
      <c r="C248" t="s">
        <v>177</v>
      </c>
      <c r="D248" t="s">
        <v>66</v>
      </c>
      <c r="E248" t="s">
        <v>171</v>
      </c>
      <c r="F248" s="3">
        <v>46022</v>
      </c>
      <c r="G248">
        <v>2025</v>
      </c>
      <c r="H248" t="s">
        <v>44</v>
      </c>
      <c r="I248" t="s">
        <v>465</v>
      </c>
      <c r="J248">
        <v>2</v>
      </c>
      <c r="K248">
        <v>25</v>
      </c>
      <c r="L248">
        <v>25</v>
      </c>
      <c r="M248">
        <v>1</v>
      </c>
      <c r="N248">
        <v>1</v>
      </c>
      <c r="O248" t="s">
        <v>35</v>
      </c>
      <c r="P248" t="s">
        <v>35</v>
      </c>
      <c r="Q248" t="s">
        <v>501</v>
      </c>
      <c r="R248">
        <v>0</v>
      </c>
      <c r="S248">
        <v>0</v>
      </c>
      <c r="T248" t="s">
        <v>31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44742</v>
      </c>
      <c r="G249">
        <v>2022</v>
      </c>
      <c r="H249" t="s">
        <v>33</v>
      </c>
      <c r="I249" t="s">
        <v>34</v>
      </c>
      <c r="J249">
        <v>1</v>
      </c>
      <c r="K249">
        <v>88.5</v>
      </c>
      <c r="L249">
        <v>87</v>
      </c>
      <c r="M249">
        <v>0.98305084745762716</v>
      </c>
      <c r="N249">
        <v>0.98305084745762716</v>
      </c>
      <c r="O249" t="s">
        <v>58</v>
      </c>
      <c r="P249" t="s">
        <v>58</v>
      </c>
      <c r="Q249" t="s">
        <v>187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88.5</v>
      </c>
      <c r="L250">
        <v>85.9</v>
      </c>
      <c r="M250">
        <v>0.97062146892655377</v>
      </c>
      <c r="N250">
        <v>0.97062146892655377</v>
      </c>
      <c r="O250" t="s">
        <v>58</v>
      </c>
      <c r="P250" t="s">
        <v>58</v>
      </c>
      <c r="Q250" t="s">
        <v>188</v>
      </c>
      <c r="R250">
        <v>0</v>
      </c>
      <c r="S250">
        <v>0</v>
      </c>
      <c r="T250" t="s">
        <v>31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88.5</v>
      </c>
      <c r="L251">
        <v>85.9</v>
      </c>
      <c r="M251">
        <v>0.97062146892655377</v>
      </c>
      <c r="N251">
        <v>0.97062146892655377</v>
      </c>
      <c r="O251" t="s">
        <v>58</v>
      </c>
      <c r="P251" t="s">
        <v>58</v>
      </c>
      <c r="Q251" t="s">
        <v>188</v>
      </c>
      <c r="R251">
        <v>1</v>
      </c>
      <c r="S251">
        <v>0</v>
      </c>
      <c r="T251" t="s">
        <v>443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45107</v>
      </c>
      <c r="G252">
        <v>2023</v>
      </c>
      <c r="H252" t="s">
        <v>33</v>
      </c>
      <c r="I252" t="s">
        <v>47</v>
      </c>
      <c r="J252">
        <v>1</v>
      </c>
      <c r="K252">
        <v>87</v>
      </c>
      <c r="L252">
        <v>85.12</v>
      </c>
      <c r="M252">
        <v>0.97839080459770122</v>
      </c>
      <c r="N252">
        <v>0.97839080459770122</v>
      </c>
      <c r="O252" t="s">
        <v>58</v>
      </c>
      <c r="P252" t="s">
        <v>58</v>
      </c>
      <c r="Q252" t="s">
        <v>189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J253">
        <v>2</v>
      </c>
      <c r="K253">
        <v>87</v>
      </c>
      <c r="L253">
        <v>85.38</v>
      </c>
      <c r="M253">
        <v>0.9813793103448275</v>
      </c>
      <c r="N253"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0</v>
      </c>
      <c r="T253" t="s">
        <v>31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45291</v>
      </c>
      <c r="G254">
        <v>2023</v>
      </c>
      <c r="H254" t="s">
        <v>44</v>
      </c>
      <c r="I254" t="s">
        <v>49</v>
      </c>
      <c r="K254">
        <v>87</v>
      </c>
      <c r="L254">
        <v>85.38</v>
      </c>
      <c r="M254">
        <v>0.9813793103448275</v>
      </c>
      <c r="N254">
        <v>0.9813793103448275</v>
      </c>
      <c r="O254" t="s">
        <v>58</v>
      </c>
      <c r="P254" t="s">
        <v>58</v>
      </c>
      <c r="Q254" t="s">
        <v>190</v>
      </c>
      <c r="R254">
        <v>0</v>
      </c>
      <c r="S254">
        <v>1</v>
      </c>
      <c r="T254" t="s">
        <v>443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45473</v>
      </c>
      <c r="G255">
        <v>2024</v>
      </c>
      <c r="H255" t="s">
        <v>33</v>
      </c>
      <c r="I255" t="s">
        <v>51</v>
      </c>
      <c r="J255">
        <v>1</v>
      </c>
      <c r="K255">
        <v>85</v>
      </c>
      <c r="L255">
        <v>85.13</v>
      </c>
      <c r="M255">
        <v>1.001529411764706</v>
      </c>
      <c r="N255">
        <v>1.001529411764706</v>
      </c>
      <c r="O255" t="s">
        <v>58</v>
      </c>
      <c r="P255" t="s">
        <v>58</v>
      </c>
      <c r="Q255" t="s">
        <v>191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J256">
        <v>2</v>
      </c>
      <c r="K256">
        <v>85</v>
      </c>
      <c r="L256">
        <v>85.19</v>
      </c>
      <c r="M256">
        <v>1.0022352941176469</v>
      </c>
      <c r="N256">
        <v>1.0022352941176469</v>
      </c>
      <c r="Q256" t="s">
        <v>192</v>
      </c>
      <c r="R256">
        <v>0</v>
      </c>
      <c r="S256">
        <v>0</v>
      </c>
      <c r="T256" t="s">
        <v>31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45657</v>
      </c>
      <c r="G257">
        <v>2024</v>
      </c>
      <c r="H257" t="s">
        <v>44</v>
      </c>
      <c r="I257" t="s">
        <v>53</v>
      </c>
      <c r="K257">
        <v>85</v>
      </c>
      <c r="L257">
        <v>85.19</v>
      </c>
      <c r="M257">
        <v>1.0022352941176469</v>
      </c>
      <c r="N257">
        <v>1.0022352941176469</v>
      </c>
      <c r="O257" t="s">
        <v>58</v>
      </c>
      <c r="P257" t="s">
        <v>58</v>
      </c>
      <c r="Q257" t="s">
        <v>192</v>
      </c>
      <c r="R257">
        <v>0</v>
      </c>
      <c r="S257">
        <v>1</v>
      </c>
      <c r="T257" t="s">
        <v>443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45838</v>
      </c>
      <c r="G258">
        <v>2025</v>
      </c>
      <c r="H258" t="s">
        <v>33</v>
      </c>
      <c r="I258" t="s">
        <v>404</v>
      </c>
      <c r="J258">
        <v>1</v>
      </c>
      <c r="K258">
        <v>85.7</v>
      </c>
      <c r="L258">
        <v>86.5</v>
      </c>
      <c r="M258">
        <v>1.009334889148191</v>
      </c>
      <c r="N258">
        <v>1.009334889148191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x14ac:dyDescent="0.3">
      <c r="A259">
        <v>245</v>
      </c>
      <c r="B259" t="s">
        <v>185</v>
      </c>
      <c r="C259" t="s">
        <v>186</v>
      </c>
      <c r="D259" t="s">
        <v>31</v>
      </c>
      <c r="E259" t="s">
        <v>32</v>
      </c>
      <c r="F259" s="3">
        <v>45838</v>
      </c>
      <c r="G259">
        <v>2025</v>
      </c>
      <c r="H259" t="s">
        <v>33</v>
      </c>
      <c r="I259" t="s">
        <v>404</v>
      </c>
      <c r="K259">
        <v>85.7</v>
      </c>
      <c r="L259">
        <v>86.5</v>
      </c>
      <c r="M259">
        <v>1.009334889148191</v>
      </c>
      <c r="N259">
        <v>1.009334889148191</v>
      </c>
      <c r="O259" t="s">
        <v>58</v>
      </c>
      <c r="P259" t="s">
        <v>58</v>
      </c>
      <c r="Q259" t="s">
        <v>421</v>
      </c>
      <c r="R259">
        <v>1</v>
      </c>
      <c r="S259">
        <v>1</v>
      </c>
      <c r="T259" t="s">
        <v>443</v>
      </c>
      <c r="U259" t="s">
        <v>37</v>
      </c>
      <c r="V259" t="s">
        <v>186</v>
      </c>
      <c r="W259" t="s">
        <v>112</v>
      </c>
      <c r="X259" t="s">
        <v>113</v>
      </c>
      <c r="Y259" t="s">
        <v>123</v>
      </c>
      <c r="Z259" t="s">
        <v>41</v>
      </c>
      <c r="AA259" t="s">
        <v>42</v>
      </c>
      <c r="AB259" t="s">
        <v>65</v>
      </c>
      <c r="AC259" t="s">
        <v>31</v>
      </c>
    </row>
    <row r="260" spans="1:29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43281</v>
      </c>
      <c r="G260">
        <f t="shared" ref="G260:G271" si="24">YEAR(F260)</f>
        <v>2018</v>
      </c>
      <c r="H260" t="str">
        <f t="shared" ref="H260:H271" si="25">PROPER(TEXT(F260,"mmmm"))</f>
        <v>Junio</v>
      </c>
      <c r="I260" t="str">
        <f t="shared" ref="I260:I271" si="26">IF(H260="Junio",G260&amp;"-1",G260&amp;"-2")</f>
        <v>2018-1</v>
      </c>
      <c r="J260">
        <v>1</v>
      </c>
      <c r="L260" s="4">
        <v>37269</v>
      </c>
      <c r="O260" t="s">
        <v>35</v>
      </c>
      <c r="P260" t="s">
        <v>35</v>
      </c>
      <c r="Q260" t="str">
        <f t="shared" ref="Q260:Q271" si="27">A260&amp;"-"&amp;TEXT(F260,"yyyy-mm-dd")</f>
        <v>274-2018-06-30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78</v>
      </c>
      <c r="AC260" t="s">
        <v>31</v>
      </c>
    </row>
    <row r="261" spans="1:29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24"/>
        <v>2018</v>
      </c>
      <c r="H261" t="str">
        <f t="shared" si="25"/>
        <v>Diciembre</v>
      </c>
      <c r="I261" t="str">
        <f t="shared" si="26"/>
        <v>2018-2</v>
      </c>
      <c r="J261">
        <v>2</v>
      </c>
      <c r="L261" s="4">
        <v>39789</v>
      </c>
      <c r="O261" t="s">
        <v>35</v>
      </c>
      <c r="P261" t="s">
        <v>35</v>
      </c>
      <c r="Q261" t="str">
        <f t="shared" si="27"/>
        <v>274-2018-12-31</v>
      </c>
      <c r="R261">
        <v>0</v>
      </c>
      <c r="S261">
        <v>0</v>
      </c>
      <c r="T261" t="s">
        <v>31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78</v>
      </c>
      <c r="AC261" t="s">
        <v>31</v>
      </c>
    </row>
    <row r="262" spans="1:29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43465</v>
      </c>
      <c r="G262">
        <f t="shared" si="24"/>
        <v>2018</v>
      </c>
      <c r="H262" t="str">
        <f t="shared" si="25"/>
        <v>Diciembre</v>
      </c>
      <c r="I262" t="str">
        <f t="shared" si="26"/>
        <v>2018-2</v>
      </c>
      <c r="L262" s="4">
        <v>39789</v>
      </c>
      <c r="O262" t="s">
        <v>35</v>
      </c>
      <c r="P262" t="s">
        <v>35</v>
      </c>
      <c r="Q262" t="str">
        <f t="shared" si="27"/>
        <v>274-2018-12-31</v>
      </c>
      <c r="R262">
        <v>0</v>
      </c>
      <c r="S262">
        <v>0</v>
      </c>
      <c r="T262" t="s">
        <v>443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78</v>
      </c>
      <c r="AC262" t="s">
        <v>31</v>
      </c>
    </row>
    <row r="263" spans="1:29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43646</v>
      </c>
      <c r="G263">
        <f t="shared" si="24"/>
        <v>2019</v>
      </c>
      <c r="H263" t="str">
        <f t="shared" si="25"/>
        <v>Junio</v>
      </c>
      <c r="I263" t="str">
        <f t="shared" si="26"/>
        <v>2019-1</v>
      </c>
      <c r="J263">
        <v>1</v>
      </c>
      <c r="L263" s="4">
        <v>41502</v>
      </c>
      <c r="O263" t="s">
        <v>35</v>
      </c>
      <c r="P263" t="s">
        <v>35</v>
      </c>
      <c r="Q263" t="str">
        <f t="shared" si="27"/>
        <v>274-2019-06-30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78</v>
      </c>
      <c r="AC263" t="s">
        <v>31</v>
      </c>
    </row>
    <row r="264" spans="1:29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24"/>
        <v>2019</v>
      </c>
      <c r="H264" t="str">
        <f t="shared" si="25"/>
        <v>Diciembre</v>
      </c>
      <c r="I264" t="str">
        <f t="shared" si="26"/>
        <v>2019-2</v>
      </c>
      <c r="J264">
        <v>2</v>
      </c>
      <c r="L264" s="4">
        <v>43581</v>
      </c>
      <c r="O264" t="s">
        <v>35</v>
      </c>
      <c r="P264" t="s">
        <v>35</v>
      </c>
      <c r="Q264" t="str">
        <f t="shared" si="27"/>
        <v>274-2019-12-31</v>
      </c>
      <c r="R264">
        <v>0</v>
      </c>
      <c r="S264">
        <v>0</v>
      </c>
      <c r="T264" t="s">
        <v>31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78</v>
      </c>
      <c r="AC264" t="s">
        <v>31</v>
      </c>
    </row>
    <row r="265" spans="1:29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43830</v>
      </c>
      <c r="G265">
        <f t="shared" si="24"/>
        <v>2019</v>
      </c>
      <c r="H265" t="str">
        <f t="shared" si="25"/>
        <v>Diciembre</v>
      </c>
      <c r="I265" t="str">
        <f t="shared" si="26"/>
        <v>2019-2</v>
      </c>
      <c r="L265" s="4">
        <v>43581</v>
      </c>
      <c r="O265" t="s">
        <v>35</v>
      </c>
      <c r="P265" t="s">
        <v>35</v>
      </c>
      <c r="Q265" t="str">
        <f t="shared" si="27"/>
        <v>274-2019-12-31</v>
      </c>
      <c r="R265">
        <v>0</v>
      </c>
      <c r="S265">
        <v>0</v>
      </c>
      <c r="T265" t="s">
        <v>443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78</v>
      </c>
      <c r="AC265" t="s">
        <v>31</v>
      </c>
    </row>
    <row r="266" spans="1:29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44012</v>
      </c>
      <c r="G266">
        <f t="shared" si="24"/>
        <v>2020</v>
      </c>
      <c r="H266" t="str">
        <f t="shared" si="25"/>
        <v>Junio</v>
      </c>
      <c r="I266" t="str">
        <f t="shared" si="26"/>
        <v>2020-1</v>
      </c>
      <c r="J266">
        <v>1</v>
      </c>
      <c r="L266" s="4">
        <v>43711</v>
      </c>
      <c r="O266" t="s">
        <v>35</v>
      </c>
      <c r="P266" t="s">
        <v>35</v>
      </c>
      <c r="Q266" t="str">
        <f t="shared" si="27"/>
        <v>274-2020-06-30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78</v>
      </c>
      <c r="AC266" t="s">
        <v>31</v>
      </c>
    </row>
    <row r="267" spans="1:29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24"/>
        <v>2020</v>
      </c>
      <c r="H267" t="str">
        <f t="shared" si="25"/>
        <v>Diciembre</v>
      </c>
      <c r="I267" t="str">
        <f t="shared" si="26"/>
        <v>2020-2</v>
      </c>
      <c r="J267">
        <v>2</v>
      </c>
      <c r="L267" s="4">
        <v>41013</v>
      </c>
      <c r="O267" t="s">
        <v>35</v>
      </c>
      <c r="P267" t="s">
        <v>35</v>
      </c>
      <c r="Q267" t="str">
        <f t="shared" si="27"/>
        <v>274-2020-12-31</v>
      </c>
      <c r="R267">
        <v>0</v>
      </c>
      <c r="S267">
        <v>0</v>
      </c>
      <c r="T267" t="s">
        <v>31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78</v>
      </c>
      <c r="AC267" t="s">
        <v>31</v>
      </c>
    </row>
    <row r="268" spans="1:29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44196</v>
      </c>
      <c r="G268">
        <f t="shared" si="24"/>
        <v>2020</v>
      </c>
      <c r="H268" t="str">
        <f t="shared" si="25"/>
        <v>Diciembre</v>
      </c>
      <c r="I268" t="str">
        <f t="shared" si="26"/>
        <v>2020-2</v>
      </c>
      <c r="L268" s="4">
        <v>41013</v>
      </c>
      <c r="O268" t="s">
        <v>35</v>
      </c>
      <c r="P268" t="s">
        <v>35</v>
      </c>
      <c r="Q268" t="str">
        <f t="shared" si="27"/>
        <v>274-2020-12-31</v>
      </c>
      <c r="R268">
        <v>0</v>
      </c>
      <c r="S268">
        <v>0</v>
      </c>
      <c r="T268" t="s">
        <v>443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78</v>
      </c>
      <c r="AC268" t="s">
        <v>31</v>
      </c>
    </row>
    <row r="269" spans="1:29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44377</v>
      </c>
      <c r="G269">
        <f t="shared" si="24"/>
        <v>2021</v>
      </c>
      <c r="H269" t="str">
        <f t="shared" si="25"/>
        <v>Junio</v>
      </c>
      <c r="I269" t="str">
        <f t="shared" si="26"/>
        <v>2021-1</v>
      </c>
      <c r="J269">
        <v>1</v>
      </c>
      <c r="L269" s="4">
        <v>41394</v>
      </c>
      <c r="O269" t="s">
        <v>35</v>
      </c>
      <c r="P269" t="s">
        <v>35</v>
      </c>
      <c r="Q269" t="str">
        <f t="shared" si="27"/>
        <v>274-2021-06-30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78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24"/>
        <v>2021</v>
      </c>
      <c r="H270" t="str">
        <f t="shared" si="25"/>
        <v>Diciembre</v>
      </c>
      <c r="I270" t="str">
        <f t="shared" si="26"/>
        <v>2021-2</v>
      </c>
      <c r="J270">
        <v>2</v>
      </c>
      <c r="L270" s="4">
        <v>40937</v>
      </c>
      <c r="O270" t="s">
        <v>35</v>
      </c>
      <c r="P270" t="s">
        <v>35</v>
      </c>
      <c r="Q270" t="str">
        <f t="shared" si="27"/>
        <v>274-2021-12-31</v>
      </c>
      <c r="R270">
        <v>0</v>
      </c>
      <c r="S270">
        <v>0</v>
      </c>
      <c r="T270" t="s">
        <v>31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44561</v>
      </c>
      <c r="G271">
        <f t="shared" si="24"/>
        <v>2021</v>
      </c>
      <c r="H271" t="str">
        <f t="shared" si="25"/>
        <v>Diciembre</v>
      </c>
      <c r="I271" t="str">
        <f t="shared" si="26"/>
        <v>2021-2</v>
      </c>
      <c r="L271" s="4">
        <v>40937</v>
      </c>
      <c r="O271" t="s">
        <v>35</v>
      </c>
      <c r="P271" t="s">
        <v>35</v>
      </c>
      <c r="Q271" t="str">
        <f t="shared" si="27"/>
        <v>274-2021-12-31</v>
      </c>
      <c r="R271">
        <v>0</v>
      </c>
      <c r="S271">
        <v>0</v>
      </c>
      <c r="T271" t="s">
        <v>443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44742</v>
      </c>
      <c r="G272">
        <v>2022</v>
      </c>
      <c r="H272" t="s">
        <v>33</v>
      </c>
      <c r="I272" t="s">
        <v>34</v>
      </c>
      <c r="J272">
        <v>1</v>
      </c>
      <c r="K272">
        <v>39623</v>
      </c>
      <c r="L272">
        <v>40000</v>
      </c>
      <c r="M272">
        <v>1.0095146758196001</v>
      </c>
      <c r="N272">
        <v>1.0095146758196001</v>
      </c>
      <c r="O272" t="s">
        <v>35</v>
      </c>
      <c r="P272" t="s">
        <v>35</v>
      </c>
      <c r="Q272" t="s">
        <v>195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J273">
        <v>2</v>
      </c>
      <c r="K273">
        <v>39817</v>
      </c>
      <c r="L273">
        <v>40663</v>
      </c>
      <c r="M273">
        <v>1.0212472059672999</v>
      </c>
      <c r="N273">
        <v>1.0212472059672999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44926</v>
      </c>
      <c r="G274">
        <v>2022</v>
      </c>
      <c r="H274" t="s">
        <v>44</v>
      </c>
      <c r="I274" t="s">
        <v>45</v>
      </c>
      <c r="K274">
        <v>39817</v>
      </c>
      <c r="L274">
        <v>40663</v>
      </c>
      <c r="M274">
        <v>1.0212472059672999</v>
      </c>
      <c r="N274">
        <v>1.0212472059672999</v>
      </c>
      <c r="O274" t="s">
        <v>35</v>
      </c>
      <c r="P274" t="s">
        <v>35</v>
      </c>
      <c r="Q274" t="s">
        <v>196</v>
      </c>
      <c r="R274">
        <v>0</v>
      </c>
      <c r="S274">
        <v>0</v>
      </c>
      <c r="T274" t="s">
        <v>443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45107</v>
      </c>
      <c r="G275">
        <v>2023</v>
      </c>
      <c r="H275" t="s">
        <v>33</v>
      </c>
      <c r="I275" t="s">
        <v>47</v>
      </c>
      <c r="J275">
        <v>1</v>
      </c>
      <c r="K275">
        <v>40047</v>
      </c>
      <c r="L275">
        <v>39091</v>
      </c>
      <c r="M275">
        <v>0.97612804954178845</v>
      </c>
      <c r="N275">
        <v>0.97612804954178845</v>
      </c>
      <c r="O275" t="s">
        <v>35</v>
      </c>
      <c r="P275" t="s">
        <v>35</v>
      </c>
      <c r="Q275" t="s">
        <v>197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J276">
        <v>2</v>
      </c>
      <c r="K276">
        <v>41811</v>
      </c>
      <c r="L276">
        <v>40771</v>
      </c>
      <c r="M276">
        <v>0.97512616297146681</v>
      </c>
      <c r="N276">
        <v>0.97512616297146681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45291</v>
      </c>
      <c r="G277">
        <v>2023</v>
      </c>
      <c r="H277" t="s">
        <v>44</v>
      </c>
      <c r="I277" t="s">
        <v>49</v>
      </c>
      <c r="K277">
        <v>41811</v>
      </c>
      <c r="L277">
        <v>40770</v>
      </c>
      <c r="M277">
        <v>0.97512616297146681</v>
      </c>
      <c r="N277">
        <v>0.97512616297146681</v>
      </c>
      <c r="O277" t="s">
        <v>35</v>
      </c>
      <c r="P277" t="s">
        <v>35</v>
      </c>
      <c r="Q277" t="s">
        <v>198</v>
      </c>
      <c r="R277">
        <v>0</v>
      </c>
      <c r="S277">
        <v>0</v>
      </c>
      <c r="T277" t="s">
        <v>443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45473</v>
      </c>
      <c r="G278">
        <v>2024</v>
      </c>
      <c r="H278" t="s">
        <v>33</v>
      </c>
      <c r="I278" t="s">
        <v>51</v>
      </c>
      <c r="J278">
        <v>1</v>
      </c>
      <c r="K278">
        <v>38813</v>
      </c>
      <c r="L278">
        <v>39598</v>
      </c>
      <c r="M278">
        <v>1.020225182284286</v>
      </c>
      <c r="N278">
        <v>1.020225182284286</v>
      </c>
      <c r="O278" t="s">
        <v>35</v>
      </c>
      <c r="P278" t="s">
        <v>35</v>
      </c>
      <c r="Q278" t="s">
        <v>199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J279">
        <v>2</v>
      </c>
      <c r="K279">
        <v>40441</v>
      </c>
      <c r="L279">
        <v>41436</v>
      </c>
      <c r="M279">
        <v>1.024603743725427</v>
      </c>
      <c r="N279">
        <v>1.024603743725427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45657</v>
      </c>
      <c r="G280">
        <v>2024</v>
      </c>
      <c r="H280" t="s">
        <v>44</v>
      </c>
      <c r="I280" t="s">
        <v>53</v>
      </c>
      <c r="K280">
        <v>40441.334115206948</v>
      </c>
      <c r="L280">
        <v>41436</v>
      </c>
      <c r="M280">
        <v>1.024595278730408</v>
      </c>
      <c r="N280">
        <v>1.024595278730408</v>
      </c>
      <c r="O280" t="s">
        <v>35</v>
      </c>
      <c r="P280" t="s">
        <v>35</v>
      </c>
      <c r="Q280" t="s">
        <v>200</v>
      </c>
      <c r="R280">
        <v>0</v>
      </c>
      <c r="S280">
        <v>0</v>
      </c>
      <c r="T280" t="s">
        <v>443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45838</v>
      </c>
      <c r="G281">
        <v>2025</v>
      </c>
      <c r="H281" t="s">
        <v>33</v>
      </c>
      <c r="I281" t="s">
        <v>404</v>
      </c>
      <c r="J281">
        <v>1</v>
      </c>
      <c r="K281">
        <v>40026</v>
      </c>
      <c r="L281">
        <v>42364</v>
      </c>
      <c r="M281">
        <v>1.058412032179084</v>
      </c>
      <c r="N281">
        <v>1.058412032179084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v>2025</v>
      </c>
      <c r="H282" t="str">
        <f>PROPER(TEXT(F282,"mmmm"))</f>
        <v>Diciembre</v>
      </c>
      <c r="I282" t="s">
        <v>465</v>
      </c>
      <c r="K282">
        <v>40026</v>
      </c>
      <c r="L282" s="4">
        <v>45641</v>
      </c>
      <c r="M282">
        <v>1.058412032179084</v>
      </c>
      <c r="N282">
        <v>1.058412032179084</v>
      </c>
      <c r="O282" t="s">
        <v>35</v>
      </c>
      <c r="P282" t="s">
        <v>35</v>
      </c>
      <c r="Q282" t="s">
        <v>413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46022</v>
      </c>
      <c r="G283">
        <f>YEAR(F283)</f>
        <v>2025</v>
      </c>
      <c r="H283" t="str">
        <f>PROPER(TEXT(F283,"mmmm"))</f>
        <v>Diciembre</v>
      </c>
      <c r="I283" t="str">
        <f>IF(H283="Junio",G283&amp;"-1",G283&amp;"-2")</f>
        <v>2025-2</v>
      </c>
      <c r="J283">
        <v>2</v>
      </c>
      <c r="L283" s="4">
        <v>45641</v>
      </c>
      <c r="O283" t="s">
        <v>35</v>
      </c>
      <c r="P283" t="s">
        <v>35</v>
      </c>
      <c r="Q283" t="str">
        <f>A283&amp;"-"&amp;TEXT(F283,"yyyy-mm-dd")</f>
        <v>274-2025-12-31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44742</v>
      </c>
      <c r="G284">
        <v>2022</v>
      </c>
      <c r="H284" t="s">
        <v>33</v>
      </c>
      <c r="I284" t="s">
        <v>34</v>
      </c>
      <c r="J284">
        <v>1</v>
      </c>
      <c r="K284">
        <v>93</v>
      </c>
      <c r="L284">
        <v>106</v>
      </c>
      <c r="M284">
        <v>0.87735849056603776</v>
      </c>
      <c r="N284">
        <v>0.87735849056603776</v>
      </c>
      <c r="Q284" t="s">
        <v>203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J285">
        <v>2</v>
      </c>
      <c r="K285">
        <v>88</v>
      </c>
      <c r="L285">
        <v>88</v>
      </c>
      <c r="M285">
        <v>1</v>
      </c>
      <c r="N285">
        <v>1</v>
      </c>
      <c r="Q285" t="s">
        <v>205</v>
      </c>
      <c r="R285">
        <v>0</v>
      </c>
      <c r="S285">
        <v>0</v>
      </c>
      <c r="T285" t="s">
        <v>31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44926</v>
      </c>
      <c r="G286">
        <v>2022</v>
      </c>
      <c r="H286" t="s">
        <v>44</v>
      </c>
      <c r="I286" t="s">
        <v>45</v>
      </c>
      <c r="K286">
        <v>88</v>
      </c>
      <c r="L286">
        <v>88</v>
      </c>
      <c r="M286">
        <v>1</v>
      </c>
      <c r="N286">
        <v>1</v>
      </c>
      <c r="O286" t="s">
        <v>35</v>
      </c>
      <c r="P286" t="s">
        <v>35</v>
      </c>
      <c r="Q286" t="s">
        <v>205</v>
      </c>
      <c r="R286">
        <v>0</v>
      </c>
      <c r="S286">
        <v>0</v>
      </c>
      <c r="T286" t="s">
        <v>443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45107</v>
      </c>
      <c r="G287">
        <v>2023</v>
      </c>
      <c r="H287" t="s">
        <v>33</v>
      </c>
      <c r="I287" t="s">
        <v>47</v>
      </c>
      <c r="J287">
        <v>1</v>
      </c>
      <c r="K287">
        <v>85</v>
      </c>
      <c r="L287">
        <v>89.99</v>
      </c>
      <c r="M287">
        <v>0.94454939437715302</v>
      </c>
      <c r="N287">
        <v>0.94454939437715302</v>
      </c>
      <c r="Q287" t="s">
        <v>206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J288">
        <v>2</v>
      </c>
      <c r="K288">
        <v>85</v>
      </c>
      <c r="L288">
        <v>84.5</v>
      </c>
      <c r="M288">
        <v>1.0059171597633141</v>
      </c>
      <c r="N288">
        <v>1.0059171597633141</v>
      </c>
      <c r="Q288" t="s">
        <v>207</v>
      </c>
      <c r="R288">
        <v>0</v>
      </c>
      <c r="S288">
        <v>0</v>
      </c>
      <c r="T288" t="s">
        <v>31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45291</v>
      </c>
      <c r="G289">
        <v>2023</v>
      </c>
      <c r="H289" t="s">
        <v>44</v>
      </c>
      <c r="I289" t="s">
        <v>49</v>
      </c>
      <c r="K289">
        <v>85</v>
      </c>
      <c r="L289">
        <v>84.5</v>
      </c>
      <c r="M289">
        <v>1</v>
      </c>
      <c r="N289">
        <v>1.0059171597633141</v>
      </c>
      <c r="O289" t="s">
        <v>35</v>
      </c>
      <c r="P289" t="s">
        <v>245</v>
      </c>
      <c r="Q289" t="s">
        <v>207</v>
      </c>
      <c r="R289">
        <v>0</v>
      </c>
      <c r="S289">
        <v>1</v>
      </c>
      <c r="T289" t="s">
        <v>443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45473</v>
      </c>
      <c r="G290">
        <v>2024</v>
      </c>
      <c r="H290" t="s">
        <v>33</v>
      </c>
      <c r="I290" t="s">
        <v>51</v>
      </c>
      <c r="J290">
        <v>1</v>
      </c>
      <c r="K290">
        <v>75</v>
      </c>
      <c r="L290">
        <v>83.65</v>
      </c>
      <c r="M290">
        <v>0.89659294680215174</v>
      </c>
      <c r="N290">
        <v>0.89659294680215174</v>
      </c>
      <c r="Q290" t="s">
        <v>208</v>
      </c>
      <c r="R290">
        <v>1</v>
      </c>
      <c r="S290">
        <v>1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J291">
        <v>2</v>
      </c>
      <c r="K291">
        <v>75</v>
      </c>
      <c r="L291">
        <v>82.68</v>
      </c>
      <c r="M291">
        <v>1.1024</v>
      </c>
      <c r="N291">
        <v>1.1024</v>
      </c>
      <c r="Q291" t="s">
        <v>209</v>
      </c>
      <c r="R291">
        <v>0</v>
      </c>
      <c r="S291">
        <v>0</v>
      </c>
      <c r="T291" t="s">
        <v>31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45657</v>
      </c>
      <c r="G292">
        <v>2024</v>
      </c>
      <c r="H292" t="s">
        <v>44</v>
      </c>
      <c r="I292" t="s">
        <v>53</v>
      </c>
      <c r="K292">
        <v>75</v>
      </c>
      <c r="L292">
        <v>82.68</v>
      </c>
      <c r="M292">
        <v>0.90711175616835982</v>
      </c>
      <c r="N292">
        <v>0.90711175616835982</v>
      </c>
      <c r="O292" t="s">
        <v>35</v>
      </c>
      <c r="P292" t="s">
        <v>245</v>
      </c>
      <c r="Q292" t="s">
        <v>209</v>
      </c>
      <c r="R292">
        <v>0</v>
      </c>
      <c r="S292">
        <v>1</v>
      </c>
      <c r="T292" t="s">
        <v>443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45838</v>
      </c>
      <c r="G293">
        <v>2025</v>
      </c>
      <c r="H293" t="s">
        <v>33</v>
      </c>
      <c r="I293" t="s">
        <v>404</v>
      </c>
      <c r="J293">
        <v>1</v>
      </c>
      <c r="K293">
        <v>81</v>
      </c>
      <c r="L293">
        <v>84.18</v>
      </c>
      <c r="M293">
        <v>1.0392592592592591</v>
      </c>
      <c r="N293">
        <v>1.0392592592592591</v>
      </c>
      <c r="O293" t="s">
        <v>35</v>
      </c>
      <c r="P293" t="s">
        <v>245</v>
      </c>
      <c r="Q293" t="s">
        <v>410</v>
      </c>
      <c r="R293">
        <v>0</v>
      </c>
      <c r="S293">
        <v>1</v>
      </c>
      <c r="T293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x14ac:dyDescent="0.3">
      <c r="A294">
        <v>276</v>
      </c>
      <c r="B294" t="s">
        <v>201</v>
      </c>
      <c r="C294" t="s">
        <v>202</v>
      </c>
      <c r="D294" t="s">
        <v>31</v>
      </c>
      <c r="E294" t="s">
        <v>171</v>
      </c>
      <c r="F294" s="3">
        <v>45838</v>
      </c>
      <c r="G294">
        <v>2025</v>
      </c>
      <c r="H294" t="s">
        <v>33</v>
      </c>
      <c r="I294" t="s">
        <v>404</v>
      </c>
      <c r="K294">
        <v>81</v>
      </c>
      <c r="L294">
        <v>84.18</v>
      </c>
      <c r="M294">
        <v>0.96222380612972191</v>
      </c>
      <c r="N294">
        <v>0.96222380612972191</v>
      </c>
      <c r="O294" t="s">
        <v>35</v>
      </c>
      <c r="P294" t="s">
        <v>245</v>
      </c>
      <c r="Q294" t="s">
        <v>410</v>
      </c>
      <c r="R294">
        <v>0</v>
      </c>
      <c r="S294">
        <v>1</v>
      </c>
      <c r="T294" t="s">
        <v>443</v>
      </c>
      <c r="U294" t="s">
        <v>37</v>
      </c>
      <c r="V294" t="s">
        <v>202</v>
      </c>
      <c r="W294" t="s">
        <v>73</v>
      </c>
      <c r="X294" t="s">
        <v>74</v>
      </c>
      <c r="Y294" t="s">
        <v>75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45107</v>
      </c>
      <c r="G295">
        <v>2023</v>
      </c>
      <c r="H295" t="s">
        <v>33</v>
      </c>
      <c r="I295" t="s">
        <v>47</v>
      </c>
      <c r="J295">
        <v>1</v>
      </c>
      <c r="K295">
        <v>85</v>
      </c>
      <c r="L295">
        <v>76.48</v>
      </c>
      <c r="M295">
        <v>1.1114016736401671</v>
      </c>
      <c r="N295">
        <v>1.1114016736401671</v>
      </c>
      <c r="Q295" t="s">
        <v>211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J296">
        <v>2</v>
      </c>
      <c r="K296">
        <v>85</v>
      </c>
      <c r="L296">
        <v>73.290000000000006</v>
      </c>
      <c r="M296">
        <v>1.1597762314094691</v>
      </c>
      <c r="N296">
        <v>1.1597762314094691</v>
      </c>
      <c r="Q296" t="s">
        <v>212</v>
      </c>
      <c r="R296">
        <v>1</v>
      </c>
      <c r="S296">
        <v>1</v>
      </c>
      <c r="T296" t="s">
        <v>31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45291</v>
      </c>
      <c r="G297">
        <v>2023</v>
      </c>
      <c r="H297" t="s">
        <v>44</v>
      </c>
      <c r="I297" t="s">
        <v>49</v>
      </c>
      <c r="K297">
        <v>85</v>
      </c>
      <c r="L297">
        <v>73.290000000000006</v>
      </c>
      <c r="M297">
        <v>1.1597762314094691</v>
      </c>
      <c r="N297">
        <v>1.1597762314094691</v>
      </c>
      <c r="O297" t="s">
        <v>35</v>
      </c>
      <c r="P297" t="s">
        <v>245</v>
      </c>
      <c r="Q297" t="s">
        <v>212</v>
      </c>
      <c r="R297">
        <v>1</v>
      </c>
      <c r="S297">
        <v>1</v>
      </c>
      <c r="T297" t="s">
        <v>443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45473</v>
      </c>
      <c r="G298">
        <v>2024</v>
      </c>
      <c r="H298" t="s">
        <v>33</v>
      </c>
      <c r="I298" t="s">
        <v>51</v>
      </c>
      <c r="J298">
        <v>1</v>
      </c>
      <c r="K298">
        <v>73</v>
      </c>
      <c r="L298">
        <v>71.180000000000007</v>
      </c>
      <c r="M298">
        <v>1.0255689800505761</v>
      </c>
      <c r="N298">
        <v>1.0255689800505761</v>
      </c>
      <c r="Q298" t="s">
        <v>213</v>
      </c>
      <c r="R298">
        <v>1</v>
      </c>
      <c r="S298">
        <v>1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J299">
        <v>2</v>
      </c>
      <c r="K299">
        <v>73</v>
      </c>
      <c r="L299">
        <v>71.239999999999995</v>
      </c>
      <c r="M299">
        <v>0.97589041095890405</v>
      </c>
      <c r="N299">
        <v>0.97589041095890405</v>
      </c>
      <c r="Q299" t="s">
        <v>214</v>
      </c>
      <c r="R299">
        <v>0</v>
      </c>
      <c r="S299">
        <v>0</v>
      </c>
      <c r="T299" t="s">
        <v>31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45657</v>
      </c>
      <c r="G300">
        <v>2024</v>
      </c>
      <c r="H300" t="s">
        <v>44</v>
      </c>
      <c r="I300" t="s">
        <v>53</v>
      </c>
      <c r="K300">
        <v>73</v>
      </c>
      <c r="L300">
        <v>71.239999999999995</v>
      </c>
      <c r="M300">
        <v>0.97589041095890405</v>
      </c>
      <c r="N300">
        <v>0.97589041095890405</v>
      </c>
      <c r="O300" t="s">
        <v>35</v>
      </c>
      <c r="P300" t="s">
        <v>245</v>
      </c>
      <c r="Q300" t="s">
        <v>214</v>
      </c>
      <c r="R300">
        <v>1</v>
      </c>
      <c r="S300">
        <v>1</v>
      </c>
      <c r="T300" t="s">
        <v>443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45838</v>
      </c>
      <c r="G301">
        <v>2025</v>
      </c>
      <c r="H301" t="s">
        <v>33</v>
      </c>
      <c r="I301" t="s">
        <v>404</v>
      </c>
      <c r="J301">
        <v>1</v>
      </c>
      <c r="K301">
        <v>71</v>
      </c>
      <c r="L301">
        <v>69.39</v>
      </c>
      <c r="M301">
        <v>0.97732394366197184</v>
      </c>
      <c r="N301">
        <v>0.97732394366197184</v>
      </c>
      <c r="O301" t="s">
        <v>35</v>
      </c>
      <c r="P301" t="s">
        <v>245</v>
      </c>
      <c r="Q301" t="s">
        <v>434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277</v>
      </c>
      <c r="B302" t="s">
        <v>210</v>
      </c>
      <c r="C302" t="s">
        <v>202</v>
      </c>
      <c r="D302" t="s">
        <v>31</v>
      </c>
      <c r="E302" t="s">
        <v>171</v>
      </c>
      <c r="F302" s="3">
        <v>45838</v>
      </c>
      <c r="G302">
        <v>2025</v>
      </c>
      <c r="H302" t="s">
        <v>33</v>
      </c>
      <c r="I302" t="s">
        <v>404</v>
      </c>
      <c r="K302">
        <v>71</v>
      </c>
      <c r="L302">
        <v>69.39</v>
      </c>
      <c r="M302">
        <v>1.0232021905173661</v>
      </c>
      <c r="N302">
        <v>1.0232021905173661</v>
      </c>
      <c r="O302" t="s">
        <v>35</v>
      </c>
      <c r="P302" t="s">
        <v>245</v>
      </c>
      <c r="Q302" t="s">
        <v>434</v>
      </c>
      <c r="R302">
        <v>1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J303">
        <v>2</v>
      </c>
      <c r="K303">
        <v>3</v>
      </c>
      <c r="L303">
        <v>3</v>
      </c>
      <c r="M303">
        <v>1</v>
      </c>
      <c r="N303">
        <v>1</v>
      </c>
      <c r="Q303" t="s">
        <v>217</v>
      </c>
      <c r="R303">
        <v>0</v>
      </c>
      <c r="S303">
        <v>0</v>
      </c>
      <c r="T303" t="s">
        <v>31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44926</v>
      </c>
      <c r="G304">
        <v>2022</v>
      </c>
      <c r="H304" t="s">
        <v>44</v>
      </c>
      <c r="I304" t="s">
        <v>45</v>
      </c>
      <c r="K304">
        <v>3</v>
      </c>
      <c r="L304">
        <v>3</v>
      </c>
      <c r="M304">
        <v>1</v>
      </c>
      <c r="N304">
        <v>1</v>
      </c>
      <c r="O304" t="s">
        <v>35</v>
      </c>
      <c r="P304" t="s">
        <v>35</v>
      </c>
      <c r="Q304" t="s">
        <v>217</v>
      </c>
      <c r="R304">
        <v>0</v>
      </c>
      <c r="S304">
        <v>0</v>
      </c>
      <c r="T304" t="s">
        <v>443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45107</v>
      </c>
      <c r="G305">
        <v>2023</v>
      </c>
      <c r="H305" t="s">
        <v>33</v>
      </c>
      <c r="I305" t="s">
        <v>47</v>
      </c>
      <c r="J305">
        <v>1</v>
      </c>
      <c r="K305">
        <v>2</v>
      </c>
      <c r="L305">
        <v>2</v>
      </c>
      <c r="M305">
        <v>1</v>
      </c>
      <c r="N305">
        <v>1</v>
      </c>
      <c r="Q305" t="s">
        <v>220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J306">
        <v>2</v>
      </c>
      <c r="K306">
        <v>6</v>
      </c>
      <c r="L306">
        <v>6</v>
      </c>
      <c r="M306">
        <v>1</v>
      </c>
      <c r="N306">
        <v>1</v>
      </c>
      <c r="Q306" t="s">
        <v>221</v>
      </c>
      <c r="R306">
        <v>0</v>
      </c>
      <c r="S306">
        <v>0</v>
      </c>
      <c r="T306" t="s">
        <v>31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45291</v>
      </c>
      <c r="G307">
        <v>2023</v>
      </c>
      <c r="H307" t="s">
        <v>44</v>
      </c>
      <c r="I307" t="s">
        <v>49</v>
      </c>
      <c r="K307">
        <v>8</v>
      </c>
      <c r="L307">
        <v>8</v>
      </c>
      <c r="M307">
        <v>1</v>
      </c>
      <c r="N307">
        <v>1</v>
      </c>
      <c r="O307" t="s">
        <v>35</v>
      </c>
      <c r="P307" t="s">
        <v>35</v>
      </c>
      <c r="Q307" t="s">
        <v>221</v>
      </c>
      <c r="R307">
        <v>0</v>
      </c>
      <c r="S307">
        <v>0</v>
      </c>
      <c r="T307" t="s">
        <v>443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45473</v>
      </c>
      <c r="G308">
        <v>2024</v>
      </c>
      <c r="H308" t="s">
        <v>33</v>
      </c>
      <c r="I308" t="s">
        <v>51</v>
      </c>
      <c r="J308">
        <v>1</v>
      </c>
      <c r="K308">
        <v>3</v>
      </c>
      <c r="L308">
        <v>3</v>
      </c>
      <c r="M308">
        <v>1</v>
      </c>
      <c r="N308">
        <v>1</v>
      </c>
      <c r="Q308" t="s">
        <v>222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J309">
        <v>2</v>
      </c>
      <c r="K309">
        <v>0</v>
      </c>
      <c r="L309">
        <v>0</v>
      </c>
      <c r="Q309" t="s">
        <v>223</v>
      </c>
      <c r="R309">
        <v>0</v>
      </c>
      <c r="S309">
        <v>0</v>
      </c>
      <c r="T309" t="s">
        <v>31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45657</v>
      </c>
      <c r="G310">
        <v>2024</v>
      </c>
      <c r="H310" t="s">
        <v>44</v>
      </c>
      <c r="I310" t="s">
        <v>53</v>
      </c>
      <c r="K310">
        <v>3</v>
      </c>
      <c r="L310">
        <v>3</v>
      </c>
      <c r="M310">
        <v>1</v>
      </c>
      <c r="N310">
        <v>1</v>
      </c>
      <c r="O310" t="s">
        <v>35</v>
      </c>
      <c r="P310" t="s">
        <v>35</v>
      </c>
      <c r="Q310" t="s">
        <v>223</v>
      </c>
      <c r="R310">
        <v>0</v>
      </c>
      <c r="S310">
        <v>0</v>
      </c>
      <c r="T310" t="s">
        <v>443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J311">
        <v>1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31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x14ac:dyDescent="0.3">
      <c r="A312">
        <v>323</v>
      </c>
      <c r="B312" t="s">
        <v>215</v>
      </c>
      <c r="C312" t="s">
        <v>216</v>
      </c>
      <c r="D312" t="s">
        <v>31</v>
      </c>
      <c r="E312" t="s">
        <v>32</v>
      </c>
      <c r="F312" s="3">
        <v>45838</v>
      </c>
      <c r="G312">
        <v>2025</v>
      </c>
      <c r="H312" t="s">
        <v>33</v>
      </c>
      <c r="I312" t="s">
        <v>404</v>
      </c>
      <c r="K312">
        <v>1</v>
      </c>
      <c r="L312">
        <v>1</v>
      </c>
      <c r="M312">
        <v>1</v>
      </c>
      <c r="N312">
        <v>1</v>
      </c>
      <c r="O312" t="s">
        <v>35</v>
      </c>
      <c r="P312" t="s">
        <v>35</v>
      </c>
      <c r="Q312" t="s">
        <v>409</v>
      </c>
      <c r="R312">
        <v>0</v>
      </c>
      <c r="S312">
        <v>0</v>
      </c>
      <c r="T312" t="s">
        <v>443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44742</v>
      </c>
      <c r="G313">
        <v>2022</v>
      </c>
      <c r="H313" t="s">
        <v>33</v>
      </c>
      <c r="I313" t="s">
        <v>34</v>
      </c>
      <c r="J313">
        <v>1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225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J314">
        <v>2</v>
      </c>
      <c r="K314">
        <v>3</v>
      </c>
      <c r="L314">
        <v>3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31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44926</v>
      </c>
      <c r="G315">
        <v>2022</v>
      </c>
      <c r="H315" t="s">
        <v>44</v>
      </c>
      <c r="I315" t="s">
        <v>45</v>
      </c>
      <c r="K315">
        <v>6</v>
      </c>
      <c r="L315">
        <v>6</v>
      </c>
      <c r="M315">
        <v>1</v>
      </c>
      <c r="N315">
        <v>1</v>
      </c>
      <c r="O315" t="s">
        <v>35</v>
      </c>
      <c r="P315" t="s">
        <v>35</v>
      </c>
      <c r="Q315" t="s">
        <v>226</v>
      </c>
      <c r="R315">
        <v>0</v>
      </c>
      <c r="S315">
        <v>0</v>
      </c>
      <c r="T315" t="s">
        <v>443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45107</v>
      </c>
      <c r="G316">
        <v>2023</v>
      </c>
      <c r="H316" t="s">
        <v>33</v>
      </c>
      <c r="I316" t="s">
        <v>47</v>
      </c>
      <c r="J316">
        <v>1</v>
      </c>
      <c r="K316">
        <v>1</v>
      </c>
      <c r="L316">
        <v>1</v>
      </c>
      <c r="M316">
        <v>1</v>
      </c>
      <c r="N316">
        <v>1</v>
      </c>
      <c r="O316" t="s">
        <v>35</v>
      </c>
      <c r="P316" t="s">
        <v>35</v>
      </c>
      <c r="Q316" t="s">
        <v>227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J317">
        <v>2</v>
      </c>
      <c r="K317">
        <v>0</v>
      </c>
      <c r="L317">
        <v>0</v>
      </c>
      <c r="Q317" t="s">
        <v>228</v>
      </c>
      <c r="R317">
        <v>0</v>
      </c>
      <c r="S317">
        <v>0</v>
      </c>
      <c r="T317" t="s">
        <v>31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45291</v>
      </c>
      <c r="G318">
        <v>2023</v>
      </c>
      <c r="H318" t="s">
        <v>44</v>
      </c>
      <c r="I318" t="s">
        <v>49</v>
      </c>
      <c r="K318">
        <v>1</v>
      </c>
      <c r="L318">
        <v>1</v>
      </c>
      <c r="M318">
        <v>1</v>
      </c>
      <c r="N318">
        <v>1</v>
      </c>
      <c r="O318" t="s">
        <v>35</v>
      </c>
      <c r="P318" t="s">
        <v>35</v>
      </c>
      <c r="Q318" t="s">
        <v>228</v>
      </c>
      <c r="R318">
        <v>0</v>
      </c>
      <c r="S318">
        <v>0</v>
      </c>
      <c r="T318" t="s">
        <v>443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45473</v>
      </c>
      <c r="G319">
        <v>2024</v>
      </c>
      <c r="H319" t="s">
        <v>33</v>
      </c>
      <c r="I319" t="s">
        <v>51</v>
      </c>
      <c r="J319">
        <v>1</v>
      </c>
      <c r="K319">
        <v>5</v>
      </c>
      <c r="L319">
        <v>5</v>
      </c>
      <c r="M319">
        <v>1</v>
      </c>
      <c r="N319">
        <v>1</v>
      </c>
      <c r="O319" t="s">
        <v>35</v>
      </c>
      <c r="P319" t="s">
        <v>35</v>
      </c>
      <c r="Q319" t="s">
        <v>229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J320">
        <v>2</v>
      </c>
      <c r="K320">
        <v>3</v>
      </c>
      <c r="L320">
        <v>3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31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45657</v>
      </c>
      <c r="G321">
        <v>2024</v>
      </c>
      <c r="H321" t="s">
        <v>44</v>
      </c>
      <c r="I321" t="s">
        <v>53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230</v>
      </c>
      <c r="R321">
        <v>0</v>
      </c>
      <c r="S321">
        <v>0</v>
      </c>
      <c r="T321" t="s">
        <v>443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J322">
        <v>1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325</v>
      </c>
      <c r="B323" t="s">
        <v>224</v>
      </c>
      <c r="C323" t="s">
        <v>216</v>
      </c>
      <c r="D323" t="s">
        <v>31</v>
      </c>
      <c r="E323" t="s">
        <v>32</v>
      </c>
      <c r="F323" s="3">
        <v>45838</v>
      </c>
      <c r="G323">
        <v>2025</v>
      </c>
      <c r="H323" t="s">
        <v>33</v>
      </c>
      <c r="I323" t="s">
        <v>404</v>
      </c>
      <c r="K323">
        <v>8</v>
      </c>
      <c r="L323">
        <v>8</v>
      </c>
      <c r="M323">
        <v>1</v>
      </c>
      <c r="N323">
        <v>1</v>
      </c>
      <c r="O323" t="s">
        <v>35</v>
      </c>
      <c r="P323" t="s">
        <v>35</v>
      </c>
      <c r="Q323" t="s">
        <v>408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J324">
        <v>2</v>
      </c>
      <c r="K324">
        <v>0</v>
      </c>
      <c r="L324">
        <v>81</v>
      </c>
      <c r="O324" t="s">
        <v>233</v>
      </c>
      <c r="P324" t="s">
        <v>58</v>
      </c>
      <c r="Q324" t="s">
        <v>234</v>
      </c>
      <c r="R324">
        <v>0</v>
      </c>
      <c r="S324">
        <v>0</v>
      </c>
      <c r="T324" t="s">
        <v>31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45291</v>
      </c>
      <c r="G325">
        <v>2023</v>
      </c>
      <c r="H325" t="s">
        <v>44</v>
      </c>
      <c r="I325" t="s">
        <v>49</v>
      </c>
      <c r="L325">
        <v>81</v>
      </c>
      <c r="O325" t="s">
        <v>429</v>
      </c>
      <c r="P325" t="s">
        <v>58</v>
      </c>
      <c r="Q325" t="s">
        <v>234</v>
      </c>
      <c r="R325">
        <v>0</v>
      </c>
      <c r="S325">
        <v>0</v>
      </c>
      <c r="T325" t="s">
        <v>443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J326">
        <v>2</v>
      </c>
      <c r="K326">
        <v>0</v>
      </c>
      <c r="L326">
        <v>82</v>
      </c>
      <c r="O326" t="s">
        <v>233</v>
      </c>
      <c r="P326" t="s">
        <v>58</v>
      </c>
      <c r="Q326" t="s">
        <v>238</v>
      </c>
      <c r="R326">
        <v>0</v>
      </c>
      <c r="S326">
        <v>0</v>
      </c>
      <c r="T326" t="s">
        <v>31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45657</v>
      </c>
      <c r="G327">
        <v>2024</v>
      </c>
      <c r="H327" t="s">
        <v>44</v>
      </c>
      <c r="I327" t="s">
        <v>53</v>
      </c>
      <c r="L327">
        <v>82</v>
      </c>
      <c r="O327" t="s">
        <v>429</v>
      </c>
      <c r="P327" t="s">
        <v>58</v>
      </c>
      <c r="Q327" t="s">
        <v>238</v>
      </c>
      <c r="R327">
        <v>0</v>
      </c>
      <c r="S327">
        <v>0</v>
      </c>
      <c r="T327" t="s">
        <v>443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J328">
        <v>1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31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x14ac:dyDescent="0.3">
      <c r="A329">
        <v>331</v>
      </c>
      <c r="B329" t="s">
        <v>231</v>
      </c>
      <c r="C329" t="s">
        <v>232</v>
      </c>
      <c r="D329" t="s">
        <v>66</v>
      </c>
      <c r="E329" t="s">
        <v>32</v>
      </c>
      <c r="F329" s="3">
        <v>45838</v>
      </c>
      <c r="G329">
        <v>2025</v>
      </c>
      <c r="H329" t="s">
        <v>33</v>
      </c>
      <c r="I329" t="s">
        <v>404</v>
      </c>
      <c r="L329">
        <v>82</v>
      </c>
      <c r="O329" t="s">
        <v>429</v>
      </c>
      <c r="P329" t="s">
        <v>58</v>
      </c>
      <c r="Q329" t="s">
        <v>430</v>
      </c>
      <c r="R329">
        <v>0</v>
      </c>
      <c r="S329">
        <v>0</v>
      </c>
      <c r="T329" t="s">
        <v>443</v>
      </c>
      <c r="U329" t="s">
        <v>37</v>
      </c>
      <c r="V329" t="s">
        <v>232</v>
      </c>
      <c r="W329" t="s">
        <v>145</v>
      </c>
      <c r="X329" t="s">
        <v>179</v>
      </c>
      <c r="Y329" t="s">
        <v>235</v>
      </c>
      <c r="Z329" t="s">
        <v>236</v>
      </c>
      <c r="AA329" t="s">
        <v>237</v>
      </c>
      <c r="AB329" t="s">
        <v>43</v>
      </c>
      <c r="AC329" t="s">
        <v>66</v>
      </c>
    </row>
    <row r="330" spans="1:29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44742</v>
      </c>
      <c r="G330">
        <v>2022</v>
      </c>
      <c r="H330" t="s">
        <v>33</v>
      </c>
      <c r="I330" t="s">
        <v>34</v>
      </c>
      <c r="J330">
        <v>1</v>
      </c>
      <c r="K330">
        <v>1.6</v>
      </c>
      <c r="L330">
        <v>1.8</v>
      </c>
      <c r="M330">
        <v>0.88888888888888895</v>
      </c>
      <c r="N330">
        <v>0.88888888888888895</v>
      </c>
      <c r="Q330" t="s">
        <v>240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J331">
        <v>2</v>
      </c>
      <c r="K331">
        <v>1.6</v>
      </c>
      <c r="L331">
        <v>1.75</v>
      </c>
      <c r="M331">
        <v>0.91428571428571437</v>
      </c>
      <c r="N331">
        <v>0.91428571428571437</v>
      </c>
      <c r="Q331" t="s">
        <v>242</v>
      </c>
      <c r="R331">
        <v>1</v>
      </c>
      <c r="S331">
        <v>1</v>
      </c>
      <c r="T331" t="s">
        <v>31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44926</v>
      </c>
      <c r="G332">
        <v>2022</v>
      </c>
      <c r="H332" t="s">
        <v>44</v>
      </c>
      <c r="I332" t="s">
        <v>45</v>
      </c>
      <c r="K332">
        <v>1.6</v>
      </c>
      <c r="L332">
        <v>1.75</v>
      </c>
      <c r="M332">
        <v>0.91428571428571437</v>
      </c>
      <c r="N332">
        <v>0.91428571428571437</v>
      </c>
      <c r="O332" t="s">
        <v>245</v>
      </c>
      <c r="P332" t="s">
        <v>245</v>
      </c>
      <c r="Q332" t="s">
        <v>242</v>
      </c>
      <c r="R332">
        <v>1</v>
      </c>
      <c r="S332">
        <v>1</v>
      </c>
      <c r="T332" t="s">
        <v>443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45107</v>
      </c>
      <c r="G333">
        <v>2023</v>
      </c>
      <c r="H333" t="s">
        <v>33</v>
      </c>
      <c r="I333" t="s">
        <v>47</v>
      </c>
      <c r="J333">
        <v>1</v>
      </c>
      <c r="K333">
        <v>1.8</v>
      </c>
      <c r="L333">
        <v>1.57</v>
      </c>
      <c r="M333">
        <v>1.1464968152866239</v>
      </c>
      <c r="N333">
        <v>1.1464968152866239</v>
      </c>
      <c r="Q333" t="s">
        <v>243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J334">
        <v>2</v>
      </c>
      <c r="K334">
        <v>1.8</v>
      </c>
      <c r="L334">
        <v>1.3</v>
      </c>
      <c r="M334">
        <v>1.3</v>
      </c>
      <c r="N334">
        <v>1.384615384615385</v>
      </c>
      <c r="Q334" t="s">
        <v>244</v>
      </c>
      <c r="R334">
        <v>1</v>
      </c>
      <c r="S334">
        <v>1</v>
      </c>
      <c r="T334" t="s">
        <v>31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45291</v>
      </c>
      <c r="G335">
        <v>2023</v>
      </c>
      <c r="H335" t="s">
        <v>44</v>
      </c>
      <c r="I335" t="s">
        <v>49</v>
      </c>
      <c r="K335">
        <v>1.8</v>
      </c>
      <c r="L335">
        <v>1.4</v>
      </c>
      <c r="M335">
        <v>1.285714285714286</v>
      </c>
      <c r="N335">
        <v>1.285714285714286</v>
      </c>
      <c r="O335" t="s">
        <v>245</v>
      </c>
      <c r="P335" t="s">
        <v>245</v>
      </c>
      <c r="Q335" t="s">
        <v>244</v>
      </c>
      <c r="R335">
        <v>1</v>
      </c>
      <c r="S335">
        <v>1</v>
      </c>
      <c r="T335" t="s">
        <v>443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45473</v>
      </c>
      <c r="G336">
        <v>2024</v>
      </c>
      <c r="H336" t="s">
        <v>33</v>
      </c>
      <c r="I336" t="s">
        <v>51</v>
      </c>
      <c r="J336">
        <v>1</v>
      </c>
      <c r="K336">
        <v>1.5</v>
      </c>
      <c r="L336">
        <v>1.48</v>
      </c>
      <c r="M336">
        <v>1.013513513513514</v>
      </c>
      <c r="N336">
        <v>1.013513513513514</v>
      </c>
      <c r="O336" t="s">
        <v>245</v>
      </c>
      <c r="P336" t="s">
        <v>245</v>
      </c>
      <c r="Q336" t="s">
        <v>246</v>
      </c>
      <c r="R336">
        <v>1</v>
      </c>
      <c r="S336">
        <v>1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J337">
        <v>2</v>
      </c>
      <c r="K337">
        <v>1.8</v>
      </c>
      <c r="L337">
        <v>0.82</v>
      </c>
      <c r="M337">
        <v>0.45555555555555549</v>
      </c>
      <c r="N337">
        <v>0.45555555555555549</v>
      </c>
      <c r="Q337" t="s">
        <v>247</v>
      </c>
      <c r="R337">
        <v>0</v>
      </c>
      <c r="S337">
        <v>0</v>
      </c>
      <c r="T337" t="s">
        <v>31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45657</v>
      </c>
      <c r="G338">
        <v>2024</v>
      </c>
      <c r="H338" t="s">
        <v>44</v>
      </c>
      <c r="I338" t="s">
        <v>53</v>
      </c>
      <c r="K338">
        <v>1.5</v>
      </c>
      <c r="L338">
        <v>1.1499999999999999</v>
      </c>
      <c r="M338">
        <v>1.3</v>
      </c>
      <c r="N338">
        <v>1.304347826086957</v>
      </c>
      <c r="O338" t="s">
        <v>245</v>
      </c>
      <c r="P338" t="s">
        <v>245</v>
      </c>
      <c r="Q338" t="s">
        <v>247</v>
      </c>
      <c r="R338">
        <v>1</v>
      </c>
      <c r="S338">
        <v>2</v>
      </c>
      <c r="T338" t="s">
        <v>443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J339">
        <v>1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31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x14ac:dyDescent="0.3">
      <c r="A340">
        <v>332</v>
      </c>
      <c r="B340" t="s">
        <v>239</v>
      </c>
      <c r="C340" t="s">
        <v>130</v>
      </c>
      <c r="D340" t="s">
        <v>31</v>
      </c>
      <c r="E340" t="s">
        <v>171</v>
      </c>
      <c r="F340" s="3">
        <v>45838</v>
      </c>
      <c r="G340">
        <v>2025</v>
      </c>
      <c r="H340" t="s">
        <v>33</v>
      </c>
      <c r="I340" t="s">
        <v>404</v>
      </c>
      <c r="K340">
        <v>1.4</v>
      </c>
      <c r="L340">
        <v>0.85</v>
      </c>
      <c r="M340">
        <v>1.3</v>
      </c>
      <c r="N340">
        <v>1.6470588235294119</v>
      </c>
      <c r="O340" t="s">
        <v>245</v>
      </c>
      <c r="P340" t="s">
        <v>245</v>
      </c>
      <c r="Q340" t="s">
        <v>431</v>
      </c>
      <c r="R340">
        <v>2</v>
      </c>
      <c r="S340">
        <v>2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135</v>
      </c>
      <c r="AB340" t="s">
        <v>65</v>
      </c>
      <c r="AC340" t="s">
        <v>66</v>
      </c>
    </row>
    <row r="341" spans="1:29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44926</v>
      </c>
      <c r="G341">
        <v>2022</v>
      </c>
      <c r="H341" t="s">
        <v>44</v>
      </c>
      <c r="I341" t="s">
        <v>45</v>
      </c>
      <c r="K341">
        <v>86</v>
      </c>
      <c r="L341">
        <v>86</v>
      </c>
      <c r="M341">
        <v>1</v>
      </c>
      <c r="N341">
        <v>1</v>
      </c>
      <c r="O341" t="s">
        <v>35</v>
      </c>
      <c r="P341" t="s">
        <v>35</v>
      </c>
      <c r="Q341" t="s">
        <v>448</v>
      </c>
      <c r="R341">
        <v>0</v>
      </c>
      <c r="S341">
        <v>0</v>
      </c>
      <c r="T341" t="s">
        <v>443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J342">
        <v>2</v>
      </c>
      <c r="K342">
        <v>88</v>
      </c>
      <c r="L342">
        <v>88.39</v>
      </c>
      <c r="M342">
        <v>1.0044318181818179</v>
      </c>
      <c r="N342">
        <v>1.0044318181818179</v>
      </c>
      <c r="Q342" t="s">
        <v>249</v>
      </c>
      <c r="R342">
        <v>0</v>
      </c>
      <c r="S342">
        <v>0</v>
      </c>
      <c r="T342" t="s">
        <v>31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45291</v>
      </c>
      <c r="G343">
        <v>2023</v>
      </c>
      <c r="H343" t="s">
        <v>44</v>
      </c>
      <c r="I343" t="s">
        <v>49</v>
      </c>
      <c r="K343">
        <v>88</v>
      </c>
      <c r="L343">
        <v>88.39</v>
      </c>
      <c r="M343">
        <v>1.0044318181818179</v>
      </c>
      <c r="N343">
        <v>1.0044318181818179</v>
      </c>
      <c r="O343" t="s">
        <v>35</v>
      </c>
      <c r="P343" t="s">
        <v>245</v>
      </c>
      <c r="Q343" t="s">
        <v>249</v>
      </c>
      <c r="R343">
        <v>0</v>
      </c>
      <c r="S343">
        <v>1</v>
      </c>
      <c r="T343" t="s">
        <v>443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J344">
        <v>2</v>
      </c>
      <c r="K344">
        <v>88</v>
      </c>
      <c r="L344">
        <v>88.84</v>
      </c>
      <c r="M344">
        <v>1.009545454545455</v>
      </c>
      <c r="N344">
        <v>1.009545454545455</v>
      </c>
      <c r="Q344" t="s">
        <v>251</v>
      </c>
      <c r="R344">
        <v>0</v>
      </c>
      <c r="S344">
        <v>0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45657</v>
      </c>
      <c r="G345">
        <v>2024</v>
      </c>
      <c r="H345" t="s">
        <v>44</v>
      </c>
      <c r="I345" t="s">
        <v>53</v>
      </c>
      <c r="K345">
        <v>88</v>
      </c>
      <c r="L345">
        <v>88.84</v>
      </c>
      <c r="M345">
        <v>1.009545454545455</v>
      </c>
      <c r="N345">
        <v>1.009545454545455</v>
      </c>
      <c r="O345" t="s">
        <v>35</v>
      </c>
      <c r="P345" t="s">
        <v>245</v>
      </c>
      <c r="Q345" t="s">
        <v>251</v>
      </c>
      <c r="R345">
        <v>0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x14ac:dyDescent="0.3">
      <c r="A346">
        <v>334</v>
      </c>
      <c r="B346" t="s">
        <v>248</v>
      </c>
      <c r="C346" t="s">
        <v>130</v>
      </c>
      <c r="D346" t="s">
        <v>66</v>
      </c>
      <c r="E346" t="s">
        <v>32</v>
      </c>
      <c r="F346" s="3">
        <v>46022</v>
      </c>
      <c r="G346">
        <v>2025</v>
      </c>
      <c r="H346" t="s">
        <v>44</v>
      </c>
      <c r="I346" t="s">
        <v>465</v>
      </c>
      <c r="J346">
        <v>2</v>
      </c>
      <c r="K346">
        <v>89</v>
      </c>
      <c r="L346">
        <v>89</v>
      </c>
      <c r="M346">
        <v>1</v>
      </c>
      <c r="N346">
        <v>1</v>
      </c>
      <c r="O346" t="s">
        <v>35</v>
      </c>
      <c r="P346" t="s">
        <v>245</v>
      </c>
      <c r="Q346" t="s">
        <v>505</v>
      </c>
      <c r="R346">
        <v>0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250</v>
      </c>
      <c r="AB346" t="s">
        <v>43</v>
      </c>
      <c r="AC346" t="s">
        <v>66</v>
      </c>
    </row>
    <row r="347" spans="1:29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45291</v>
      </c>
      <c r="G348">
        <v>2023</v>
      </c>
      <c r="H348" t="s">
        <v>44</v>
      </c>
      <c r="I348" t="s">
        <v>49</v>
      </c>
      <c r="K348">
        <v>80</v>
      </c>
      <c r="L348">
        <v>93.85</v>
      </c>
      <c r="M348">
        <v>1.173125</v>
      </c>
      <c r="N348">
        <v>1.173125</v>
      </c>
      <c r="O348" t="s">
        <v>58</v>
      </c>
      <c r="P348" t="s">
        <v>58</v>
      </c>
      <c r="Q348" t="s">
        <v>253</v>
      </c>
      <c r="R348">
        <v>0</v>
      </c>
      <c r="S348">
        <v>0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J349">
        <v>2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45657</v>
      </c>
      <c r="G350">
        <v>2024</v>
      </c>
      <c r="H350" t="s">
        <v>44</v>
      </c>
      <c r="I350" t="s">
        <v>53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254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x14ac:dyDescent="0.3">
      <c r="A351">
        <v>335</v>
      </c>
      <c r="B351" t="s">
        <v>252</v>
      </c>
      <c r="C351" t="s">
        <v>130</v>
      </c>
      <c r="D351" t="s">
        <v>66</v>
      </c>
      <c r="E351" t="s">
        <v>32</v>
      </c>
      <c r="F351" s="3">
        <v>46022</v>
      </c>
      <c r="G351">
        <v>2025</v>
      </c>
      <c r="H351" t="s">
        <v>44</v>
      </c>
      <c r="I351" t="s">
        <v>465</v>
      </c>
      <c r="K351">
        <v>82</v>
      </c>
      <c r="L351">
        <v>80.95</v>
      </c>
      <c r="M351">
        <v>0.9871951219512195</v>
      </c>
      <c r="N351">
        <v>0.9871951219512195</v>
      </c>
      <c r="O351" t="s">
        <v>58</v>
      </c>
      <c r="P351" t="s">
        <v>58</v>
      </c>
      <c r="Q351" t="s">
        <v>466</v>
      </c>
      <c r="R351">
        <v>0</v>
      </c>
      <c r="S351">
        <v>0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Z351" t="s">
        <v>134</v>
      </c>
      <c r="AA351" t="s">
        <v>135</v>
      </c>
      <c r="AB351" t="s">
        <v>43</v>
      </c>
      <c r="AC351" t="s">
        <v>66</v>
      </c>
    </row>
    <row r="352" spans="1:29" x14ac:dyDescent="0.3">
      <c r="A352">
        <v>339</v>
      </c>
      <c r="B352" t="s">
        <v>506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J352">
        <v>2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507</v>
      </c>
      <c r="R352">
        <v>0</v>
      </c>
      <c r="S352">
        <v>1</v>
      </c>
      <c r="T352" t="s">
        <v>31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x14ac:dyDescent="0.3">
      <c r="A353">
        <v>339</v>
      </c>
      <c r="B353" t="s">
        <v>506</v>
      </c>
      <c r="C353" t="s">
        <v>256</v>
      </c>
      <c r="D353" t="s">
        <v>66</v>
      </c>
      <c r="E353" t="s">
        <v>32</v>
      </c>
      <c r="F353" s="3">
        <v>44926</v>
      </c>
      <c r="G353">
        <v>2022</v>
      </c>
      <c r="H353" t="s">
        <v>44</v>
      </c>
      <c r="I353" t="s">
        <v>45</v>
      </c>
      <c r="K353">
        <v>22</v>
      </c>
      <c r="L353">
        <v>21.6</v>
      </c>
      <c r="M353">
        <f>+L353/K353</f>
        <v>0.98181818181818192</v>
      </c>
      <c r="N353">
        <f>+L353/K353</f>
        <v>0.98181818181818192</v>
      </c>
      <c r="O353" t="s">
        <v>58</v>
      </c>
      <c r="P353" t="s">
        <v>58</v>
      </c>
      <c r="Q353" t="s">
        <v>507</v>
      </c>
      <c r="R353">
        <v>0</v>
      </c>
      <c r="S353">
        <v>1</v>
      </c>
      <c r="T353" t="s">
        <v>443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x14ac:dyDescent="0.3">
      <c r="A354">
        <v>339</v>
      </c>
      <c r="B354" t="s">
        <v>506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J354">
        <v>2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31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x14ac:dyDescent="0.3">
      <c r="A355">
        <v>339</v>
      </c>
      <c r="B355" t="s">
        <v>506</v>
      </c>
      <c r="C355" t="s">
        <v>256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K355">
        <v>30</v>
      </c>
      <c r="L355">
        <v>28.57</v>
      </c>
      <c r="M355">
        <v>0.95233333333333337</v>
      </c>
      <c r="N355">
        <v>0.95233333333333337</v>
      </c>
      <c r="O355" t="s">
        <v>58</v>
      </c>
      <c r="P355" t="s">
        <v>58</v>
      </c>
      <c r="Q355" t="s">
        <v>257</v>
      </c>
      <c r="R355">
        <v>0</v>
      </c>
      <c r="S355">
        <v>1</v>
      </c>
      <c r="T355" t="s">
        <v>443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x14ac:dyDescent="0.3">
      <c r="A356">
        <v>339</v>
      </c>
      <c r="B356" t="s">
        <v>506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J356">
        <v>2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31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x14ac:dyDescent="0.3">
      <c r="A357">
        <v>339</v>
      </c>
      <c r="B357" t="s">
        <v>506</v>
      </c>
      <c r="C357" t="s">
        <v>256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K357">
        <v>30</v>
      </c>
      <c r="L357">
        <v>30.3</v>
      </c>
      <c r="M357">
        <v>1.01</v>
      </c>
      <c r="N357">
        <v>1.01</v>
      </c>
      <c r="O357" t="s">
        <v>58</v>
      </c>
      <c r="P357" t="s">
        <v>58</v>
      </c>
      <c r="Q357" t="s">
        <v>258</v>
      </c>
      <c r="R357">
        <v>0</v>
      </c>
      <c r="S357">
        <v>1</v>
      </c>
      <c r="T357" t="s">
        <v>443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x14ac:dyDescent="0.3">
      <c r="A358">
        <v>339</v>
      </c>
      <c r="B358" t="s">
        <v>506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J358">
        <v>1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31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x14ac:dyDescent="0.3">
      <c r="A359">
        <v>339</v>
      </c>
      <c r="B359" t="s">
        <v>506</v>
      </c>
      <c r="C359" t="s">
        <v>256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30</v>
      </c>
      <c r="L359">
        <v>33.299999999999997</v>
      </c>
      <c r="M359">
        <v>1.1100000000000001</v>
      </c>
      <c r="N359">
        <v>1.1100000000000001</v>
      </c>
      <c r="O359" t="s">
        <v>58</v>
      </c>
      <c r="P359" t="s">
        <v>58</v>
      </c>
      <c r="Q359" t="s">
        <v>407</v>
      </c>
      <c r="R359">
        <v>0</v>
      </c>
      <c r="S359">
        <v>1</v>
      </c>
      <c r="T359" t="s">
        <v>443</v>
      </c>
      <c r="U359" t="s">
        <v>37</v>
      </c>
      <c r="V359" t="s">
        <v>256</v>
      </c>
      <c r="W359" t="s">
        <v>73</v>
      </c>
      <c r="X359" t="s">
        <v>74</v>
      </c>
      <c r="Y359" t="s">
        <v>75</v>
      </c>
      <c r="Z359" t="s">
        <v>86</v>
      </c>
      <c r="AA359" t="s">
        <v>87</v>
      </c>
      <c r="AB359" t="s">
        <v>43</v>
      </c>
      <c r="AC359" t="s">
        <v>66</v>
      </c>
    </row>
    <row r="360" spans="1:29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44561</v>
      </c>
      <c r="G360">
        <f>YEAR(F360)</f>
        <v>2021</v>
      </c>
      <c r="H360" t="str">
        <f>PROPER(TEXT(F360,"mmmm"))</f>
        <v>Diciembre</v>
      </c>
      <c r="I360" t="str">
        <f>IF(H360="Junio",G360&amp;"-1",G360&amp;"-2")</f>
        <v>2021-2</v>
      </c>
      <c r="L360">
        <v>4.4000000000000004</v>
      </c>
      <c r="O360" t="s">
        <v>245</v>
      </c>
      <c r="P360" t="s">
        <v>245</v>
      </c>
      <c r="Q360" t="str">
        <f>A360&amp;"-"&amp;TEXT(F360,"yyyy-mm-dd")</f>
        <v>361-2021-12-31</v>
      </c>
      <c r="R360">
        <v>1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J361">
        <v>2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31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45291</v>
      </c>
      <c r="G362">
        <v>2023</v>
      </c>
      <c r="H362" t="s">
        <v>44</v>
      </c>
      <c r="I362" t="s">
        <v>49</v>
      </c>
      <c r="K362">
        <v>4.5</v>
      </c>
      <c r="L362">
        <v>4.5599999999999996</v>
      </c>
      <c r="M362">
        <v>1.013333333333333</v>
      </c>
      <c r="N362">
        <v>1.013333333333333</v>
      </c>
      <c r="O362" t="s">
        <v>245</v>
      </c>
      <c r="P362" t="s">
        <v>245</v>
      </c>
      <c r="Q362" t="s">
        <v>268</v>
      </c>
      <c r="R362">
        <v>2</v>
      </c>
      <c r="S362">
        <v>2</v>
      </c>
      <c r="T362" t="s">
        <v>443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x14ac:dyDescent="0.3">
      <c r="A363">
        <v>361</v>
      </c>
      <c r="B363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J363">
        <v>2</v>
      </c>
      <c r="K363">
        <v>4.5999999999999996</v>
      </c>
      <c r="L363">
        <v>4.78</v>
      </c>
      <c r="M363">
        <f>L363/K363</f>
        <v>1.0391304347826089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31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x14ac:dyDescent="0.3">
      <c r="A364">
        <v>361</v>
      </c>
      <c r="B364" s="6" t="s">
        <v>479</v>
      </c>
      <c r="C364" t="s">
        <v>267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4.5</v>
      </c>
      <c r="L364">
        <v>4.78</v>
      </c>
      <c r="M364">
        <f>L364/K364</f>
        <v>1.0622222222222222</v>
      </c>
      <c r="N364">
        <v>1.013333333333333</v>
      </c>
      <c r="O364" t="s">
        <v>245</v>
      </c>
      <c r="P364" t="s">
        <v>245</v>
      </c>
      <c r="Q364" t="s">
        <v>461</v>
      </c>
      <c r="R364">
        <v>1</v>
      </c>
      <c r="S364">
        <v>2</v>
      </c>
      <c r="T364" t="s">
        <v>443</v>
      </c>
      <c r="U364" t="s">
        <v>37</v>
      </c>
      <c r="V364" t="s">
        <v>267</v>
      </c>
      <c r="W364" t="s">
        <v>145</v>
      </c>
      <c r="X364" t="s">
        <v>179</v>
      </c>
      <c r="Y364" t="s">
        <v>269</v>
      </c>
      <c r="Z364" t="s">
        <v>41</v>
      </c>
      <c r="AA364" t="s">
        <v>124</v>
      </c>
      <c r="AB364" t="s">
        <v>43</v>
      </c>
      <c r="AC364" t="s">
        <v>66</v>
      </c>
    </row>
    <row r="365" spans="1:29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45107</v>
      </c>
      <c r="G365">
        <v>2023</v>
      </c>
      <c r="H365" t="s">
        <v>33</v>
      </c>
      <c r="I365" t="s">
        <v>47</v>
      </c>
      <c r="J365">
        <v>1</v>
      </c>
      <c r="K365">
        <v>0</v>
      </c>
      <c r="L365">
        <v>30173</v>
      </c>
      <c r="M365">
        <v>0</v>
      </c>
      <c r="N365">
        <v>0</v>
      </c>
      <c r="O365" t="s">
        <v>131</v>
      </c>
      <c r="P365" t="s">
        <v>35</v>
      </c>
      <c r="Q365" t="s">
        <v>272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J366">
        <v>2</v>
      </c>
      <c r="K366">
        <v>0</v>
      </c>
      <c r="L366">
        <v>48277</v>
      </c>
      <c r="M366">
        <v>0</v>
      </c>
      <c r="N366">
        <v>0</v>
      </c>
      <c r="O366" t="s">
        <v>131</v>
      </c>
      <c r="P366" t="s">
        <v>35</v>
      </c>
      <c r="Q366" t="s">
        <v>276</v>
      </c>
      <c r="R366">
        <v>0</v>
      </c>
      <c r="S366">
        <v>0</v>
      </c>
      <c r="T366" t="s">
        <v>31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45291</v>
      </c>
      <c r="G367">
        <v>2023</v>
      </c>
      <c r="H367" t="s">
        <v>44</v>
      </c>
      <c r="I367" t="s">
        <v>49</v>
      </c>
      <c r="L367">
        <v>78450</v>
      </c>
      <c r="O367" t="s">
        <v>284</v>
      </c>
      <c r="P367" t="s">
        <v>35</v>
      </c>
      <c r="Q367" t="s">
        <v>276</v>
      </c>
      <c r="R367">
        <v>0</v>
      </c>
      <c r="S367">
        <v>0</v>
      </c>
      <c r="T367" t="s">
        <v>443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45473</v>
      </c>
      <c r="G368">
        <v>2024</v>
      </c>
      <c r="H368" t="s">
        <v>33</v>
      </c>
      <c r="I368" t="s">
        <v>51</v>
      </c>
      <c r="J368">
        <v>1</v>
      </c>
      <c r="K368">
        <v>31694</v>
      </c>
      <c r="L368">
        <v>42069</v>
      </c>
      <c r="M368">
        <v>1.013513513513514</v>
      </c>
      <c r="N368">
        <v>1.013513513513514</v>
      </c>
      <c r="O368" t="s">
        <v>35</v>
      </c>
      <c r="P368" t="s">
        <v>35</v>
      </c>
      <c r="Q368" t="s">
        <v>277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J369">
        <v>2</v>
      </c>
      <c r="K369">
        <v>47541</v>
      </c>
      <c r="L369">
        <v>46635</v>
      </c>
      <c r="M369">
        <v>0.98094276519214996</v>
      </c>
      <c r="N369">
        <v>0.98094276519214996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31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45657</v>
      </c>
      <c r="G370">
        <v>2024</v>
      </c>
      <c r="H370" t="s">
        <v>44</v>
      </c>
      <c r="I370" t="s">
        <v>53</v>
      </c>
      <c r="K370">
        <v>79235</v>
      </c>
      <c r="L370">
        <v>88704</v>
      </c>
      <c r="M370">
        <v>1.119505269136114</v>
      </c>
      <c r="N370">
        <v>1.119505269136114</v>
      </c>
      <c r="O370" t="s">
        <v>35</v>
      </c>
      <c r="P370" t="s">
        <v>35</v>
      </c>
      <c r="Q370" t="s">
        <v>278</v>
      </c>
      <c r="R370">
        <v>0</v>
      </c>
      <c r="S370">
        <v>0</v>
      </c>
      <c r="T370" t="s">
        <v>443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45838</v>
      </c>
      <c r="G371">
        <v>2025</v>
      </c>
      <c r="H371" t="s">
        <v>33</v>
      </c>
      <c r="I371" t="s">
        <v>404</v>
      </c>
      <c r="J371">
        <v>1</v>
      </c>
      <c r="K371">
        <v>33279</v>
      </c>
      <c r="L371">
        <v>131244</v>
      </c>
      <c r="M371">
        <v>1.3</v>
      </c>
      <c r="N371">
        <v>3.9437483097448842</v>
      </c>
      <c r="O371" t="s">
        <v>35</v>
      </c>
      <c r="P371" t="s">
        <v>35</v>
      </c>
      <c r="Q371" t="s">
        <v>424</v>
      </c>
      <c r="R371">
        <v>0</v>
      </c>
      <c r="S371">
        <v>0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x14ac:dyDescent="0.3">
      <c r="A372">
        <v>364</v>
      </c>
      <c r="B372" t="s">
        <v>271</v>
      </c>
      <c r="C372" t="s">
        <v>267</v>
      </c>
      <c r="D372" t="s">
        <v>31</v>
      </c>
      <c r="E372" t="s">
        <v>171</v>
      </c>
      <c r="F372" s="3">
        <v>45838</v>
      </c>
      <c r="G372">
        <v>2025</v>
      </c>
      <c r="H372" t="s">
        <v>33</v>
      </c>
      <c r="I372" t="s">
        <v>404</v>
      </c>
      <c r="K372">
        <v>33279</v>
      </c>
      <c r="L372">
        <v>131244</v>
      </c>
      <c r="M372">
        <v>1.3</v>
      </c>
      <c r="N372">
        <v>3.9437483097448842</v>
      </c>
      <c r="O372" t="s">
        <v>35</v>
      </c>
      <c r="P372" t="s">
        <v>35</v>
      </c>
      <c r="Q372" t="s">
        <v>424</v>
      </c>
      <c r="R372">
        <v>0</v>
      </c>
      <c r="S372">
        <v>0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273</v>
      </c>
      <c r="Z372" t="s">
        <v>274</v>
      </c>
      <c r="AA372" t="s">
        <v>275</v>
      </c>
      <c r="AB372" t="s">
        <v>78</v>
      </c>
      <c r="AC372" t="s">
        <v>66</v>
      </c>
    </row>
    <row r="373" spans="1:29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44926</v>
      </c>
      <c r="G373">
        <v>2022</v>
      </c>
      <c r="H373" t="s">
        <v>44</v>
      </c>
      <c r="I373" t="s">
        <v>45</v>
      </c>
      <c r="K373">
        <v>5.7</v>
      </c>
      <c r="L373">
        <v>6.7</v>
      </c>
      <c r="M373">
        <v>1.1754385964912279</v>
      </c>
      <c r="N373">
        <v>1.1754385964912279</v>
      </c>
      <c r="O373" t="s">
        <v>58</v>
      </c>
      <c r="P373" t="s">
        <v>58</v>
      </c>
      <c r="Q373" t="s">
        <v>450</v>
      </c>
      <c r="R373">
        <v>1</v>
      </c>
      <c r="S373">
        <v>1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J374">
        <v>2</v>
      </c>
      <c r="K374">
        <v>5</v>
      </c>
      <c r="L374">
        <v>6.25</v>
      </c>
      <c r="M374">
        <v>1.25</v>
      </c>
      <c r="N374">
        <v>1.25</v>
      </c>
      <c r="O374" t="s">
        <v>58</v>
      </c>
      <c r="P374" t="s">
        <v>58</v>
      </c>
      <c r="Q374" t="s">
        <v>280</v>
      </c>
      <c r="R374">
        <v>2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45291</v>
      </c>
      <c r="G375">
        <v>2023</v>
      </c>
      <c r="H375" t="s">
        <v>44</v>
      </c>
      <c r="I375" t="s">
        <v>49</v>
      </c>
      <c r="K375">
        <v>5</v>
      </c>
      <c r="L375">
        <v>6.25</v>
      </c>
      <c r="M375">
        <v>1.25</v>
      </c>
      <c r="N375">
        <v>1.25</v>
      </c>
      <c r="O375" t="s">
        <v>58</v>
      </c>
      <c r="P375" t="s">
        <v>58</v>
      </c>
      <c r="Q375" t="s">
        <v>280</v>
      </c>
      <c r="R375">
        <v>0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J376">
        <v>2</v>
      </c>
      <c r="K376">
        <v>5</v>
      </c>
      <c r="L376">
        <v>4.96</v>
      </c>
      <c r="M376">
        <v>0.99199999999999999</v>
      </c>
      <c r="N376">
        <v>0.99199999999999999</v>
      </c>
      <c r="O376" t="s">
        <v>58</v>
      </c>
      <c r="P376" t="s">
        <v>58</v>
      </c>
      <c r="Q376" t="s">
        <v>282</v>
      </c>
      <c r="R376">
        <v>2</v>
      </c>
      <c r="S376">
        <v>2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45657</v>
      </c>
      <c r="G377">
        <v>2024</v>
      </c>
      <c r="H377" t="s">
        <v>44</v>
      </c>
      <c r="I377" t="s">
        <v>53</v>
      </c>
      <c r="K377">
        <v>5</v>
      </c>
      <c r="L377">
        <v>4.96</v>
      </c>
      <c r="M377">
        <v>0.99199999999999999</v>
      </c>
      <c r="N377">
        <v>0.99199999999999999</v>
      </c>
      <c r="O377" t="s">
        <v>58</v>
      </c>
      <c r="P377" t="s">
        <v>58</v>
      </c>
      <c r="Q377" t="s">
        <v>282</v>
      </c>
      <c r="R377">
        <v>0</v>
      </c>
      <c r="S377">
        <v>2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x14ac:dyDescent="0.3">
      <c r="A378">
        <v>367</v>
      </c>
      <c r="B378" t="s">
        <v>500</v>
      </c>
      <c r="C378" t="s">
        <v>267</v>
      </c>
      <c r="D378" t="s">
        <v>66</v>
      </c>
      <c r="E378" t="s">
        <v>32</v>
      </c>
      <c r="F378" s="3">
        <v>46022</v>
      </c>
      <c r="G378">
        <v>2025</v>
      </c>
      <c r="H378" t="s">
        <v>44</v>
      </c>
      <c r="I378" t="s">
        <v>465</v>
      </c>
      <c r="J378">
        <v>2</v>
      </c>
      <c r="K378">
        <v>5</v>
      </c>
      <c r="L378">
        <v>5</v>
      </c>
      <c r="O378" t="s">
        <v>58</v>
      </c>
      <c r="P378" t="s">
        <v>58</v>
      </c>
      <c r="Q378" t="s">
        <v>499</v>
      </c>
      <c r="R378">
        <v>1</v>
      </c>
      <c r="S378">
        <v>2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281</v>
      </c>
      <c r="Z378" t="s">
        <v>41</v>
      </c>
      <c r="AA378" t="s">
        <v>42</v>
      </c>
      <c r="AB378" t="s">
        <v>43</v>
      </c>
      <c r="AC378" t="s">
        <v>66</v>
      </c>
    </row>
    <row r="379" spans="1:29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45107</v>
      </c>
      <c r="G379">
        <v>2023</v>
      </c>
      <c r="H379" t="s">
        <v>33</v>
      </c>
      <c r="I379" t="s">
        <v>47</v>
      </c>
      <c r="J379">
        <v>1</v>
      </c>
      <c r="K379">
        <v>0</v>
      </c>
      <c r="L379">
        <v>78</v>
      </c>
      <c r="O379" t="s">
        <v>284</v>
      </c>
      <c r="P379" t="s">
        <v>35</v>
      </c>
      <c r="Q379" t="s">
        <v>285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J380">
        <v>2</v>
      </c>
      <c r="K380">
        <v>0</v>
      </c>
      <c r="L380">
        <v>96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45291</v>
      </c>
      <c r="G381">
        <v>2023</v>
      </c>
      <c r="H381" t="s">
        <v>44</v>
      </c>
      <c r="I381" t="s">
        <v>49</v>
      </c>
      <c r="L381">
        <v>174</v>
      </c>
      <c r="O381" t="s">
        <v>284</v>
      </c>
      <c r="P381" t="s">
        <v>35</v>
      </c>
      <c r="Q381" t="s">
        <v>286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45473</v>
      </c>
      <c r="G382">
        <v>2024</v>
      </c>
      <c r="H382" t="s">
        <v>33</v>
      </c>
      <c r="I382" t="s">
        <v>51</v>
      </c>
      <c r="J382">
        <v>1</v>
      </c>
      <c r="K382">
        <v>80</v>
      </c>
      <c r="L382">
        <v>61</v>
      </c>
      <c r="M382">
        <v>0.76249999999999996</v>
      </c>
      <c r="N382">
        <v>0.76249999999999996</v>
      </c>
      <c r="O382" t="s">
        <v>35</v>
      </c>
      <c r="P382" t="s">
        <v>35</v>
      </c>
      <c r="Q382" t="s">
        <v>287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J383">
        <v>2</v>
      </c>
      <c r="K383">
        <v>108</v>
      </c>
      <c r="L383">
        <v>77</v>
      </c>
      <c r="M383">
        <v>0.71296296296296291</v>
      </c>
      <c r="N383">
        <v>0.71296296296296291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31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45657</v>
      </c>
      <c r="G384">
        <v>2024</v>
      </c>
      <c r="H384" t="s">
        <v>44</v>
      </c>
      <c r="I384" t="s">
        <v>53</v>
      </c>
      <c r="K384">
        <v>188</v>
      </c>
      <c r="L384">
        <v>138</v>
      </c>
      <c r="M384">
        <v>0.73404255319148937</v>
      </c>
      <c r="N384">
        <v>0.73404255319148937</v>
      </c>
      <c r="O384" t="s">
        <v>35</v>
      </c>
      <c r="P384" t="s">
        <v>35</v>
      </c>
      <c r="Q384" t="s">
        <v>288</v>
      </c>
      <c r="R384">
        <v>0</v>
      </c>
      <c r="S384">
        <v>0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45838</v>
      </c>
      <c r="G385">
        <v>2025</v>
      </c>
      <c r="H385" t="s">
        <v>33</v>
      </c>
      <c r="I385" t="s">
        <v>404</v>
      </c>
      <c r="J385">
        <v>1</v>
      </c>
      <c r="K385">
        <v>81</v>
      </c>
      <c r="L385">
        <v>72</v>
      </c>
      <c r="M385">
        <v>0.88888888888888884</v>
      </c>
      <c r="N385">
        <v>0.88888888888888884</v>
      </c>
      <c r="O385" t="s">
        <v>35</v>
      </c>
      <c r="P385" t="s">
        <v>35</v>
      </c>
      <c r="Q385" t="s">
        <v>428</v>
      </c>
      <c r="R385">
        <v>0</v>
      </c>
      <c r="S385">
        <v>0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x14ac:dyDescent="0.3">
      <c r="A386">
        <v>369</v>
      </c>
      <c r="B386" t="s">
        <v>283</v>
      </c>
      <c r="C386" t="s">
        <v>267</v>
      </c>
      <c r="D386" t="s">
        <v>31</v>
      </c>
      <c r="E386" t="s">
        <v>32</v>
      </c>
      <c r="F386" s="3">
        <v>45838</v>
      </c>
      <c r="G386">
        <v>2025</v>
      </c>
      <c r="H386" t="s">
        <v>33</v>
      </c>
      <c r="I386" t="s">
        <v>404</v>
      </c>
      <c r="K386">
        <v>81</v>
      </c>
      <c r="L386">
        <v>72</v>
      </c>
      <c r="M386">
        <v>0.88888888888888884</v>
      </c>
      <c r="N386">
        <v>0.88888888888888884</v>
      </c>
      <c r="O386" t="s">
        <v>35</v>
      </c>
      <c r="P386" t="s">
        <v>35</v>
      </c>
      <c r="Q386" t="s">
        <v>428</v>
      </c>
      <c r="R386">
        <v>0</v>
      </c>
      <c r="S386">
        <v>0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273</v>
      </c>
      <c r="Z386" t="s">
        <v>41</v>
      </c>
      <c r="AA386" t="s">
        <v>42</v>
      </c>
      <c r="AB386" t="s">
        <v>78</v>
      </c>
      <c r="AC386" t="s">
        <v>66</v>
      </c>
    </row>
    <row r="387" spans="1:29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J387">
        <v>2</v>
      </c>
      <c r="K387">
        <v>16064</v>
      </c>
      <c r="L387">
        <v>24140</v>
      </c>
      <c r="M387">
        <v>1.3</v>
      </c>
      <c r="N387">
        <f>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31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44925</v>
      </c>
      <c r="G388">
        <v>2022</v>
      </c>
      <c r="H388" t="s">
        <v>44</v>
      </c>
      <c r="I388" t="s">
        <v>45</v>
      </c>
      <c r="K388">
        <v>16064</v>
      </c>
      <c r="L388">
        <v>24140</v>
      </c>
      <c r="M388">
        <v>1.3</v>
      </c>
      <c r="N388">
        <v>1.502739043824701</v>
      </c>
      <c r="O388" t="s">
        <v>143</v>
      </c>
      <c r="P388" t="s">
        <v>143</v>
      </c>
      <c r="Q388" t="s">
        <v>291</v>
      </c>
      <c r="R388">
        <v>0</v>
      </c>
      <c r="S388">
        <v>0</v>
      </c>
      <c r="T388" t="s">
        <v>443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J389">
        <v>2</v>
      </c>
      <c r="K389">
        <v>26073.47270271854</v>
      </c>
      <c r="L389">
        <v>26403.087925999898</v>
      </c>
      <c r="M389">
        <v>1.012641784507939</v>
      </c>
      <c r="N389">
        <v>1.012641784507939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31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K390">
        <v>26073.47270271854</v>
      </c>
      <c r="L390">
        <v>26403.087925999949</v>
      </c>
      <c r="M390">
        <v>1.012641784507939</v>
      </c>
      <c r="N390">
        <v>1.012641784507939</v>
      </c>
      <c r="O390" t="s">
        <v>143</v>
      </c>
      <c r="P390" t="s">
        <v>143</v>
      </c>
      <c r="Q390" t="s">
        <v>293</v>
      </c>
      <c r="R390">
        <v>0</v>
      </c>
      <c r="S390">
        <v>0</v>
      </c>
      <c r="T390" t="s">
        <v>443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J391">
        <v>2</v>
      </c>
      <c r="K391">
        <v>27010.108280834509</v>
      </c>
      <c r="L391">
        <v>29467.922112</v>
      </c>
      <c r="M391">
        <v>1.0909960747143497</v>
      </c>
      <c r="N391"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31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45657</v>
      </c>
      <c r="G392">
        <v>2024</v>
      </c>
      <c r="H392" t="s">
        <v>44</v>
      </c>
      <c r="I392" t="s">
        <v>53</v>
      </c>
      <c r="K392">
        <v>27010.108280834509</v>
      </c>
      <c r="L392">
        <v>29467.922112</v>
      </c>
      <c r="M392">
        <v>1.0909960747143499</v>
      </c>
      <c r="N392">
        <v>1.0909960747143499</v>
      </c>
      <c r="O392" t="s">
        <v>143</v>
      </c>
      <c r="P392" t="s">
        <v>143</v>
      </c>
      <c r="Q392" t="s">
        <v>295</v>
      </c>
      <c r="R392">
        <v>0</v>
      </c>
      <c r="S392">
        <v>0</v>
      </c>
      <c r="T392" t="s">
        <v>443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J393">
        <v>2</v>
      </c>
      <c r="K393">
        <v>32126.483745582696</v>
      </c>
      <c r="L393">
        <v>32126.483745582696</v>
      </c>
      <c r="M393">
        <v>1.178684216518632</v>
      </c>
      <c r="N393">
        <v>1.178684216518632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31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x14ac:dyDescent="0.3">
      <c r="A394">
        <v>376</v>
      </c>
      <c r="B394" t="s">
        <v>473</v>
      </c>
      <c r="C394" t="s">
        <v>142</v>
      </c>
      <c r="D394" t="s">
        <v>31</v>
      </c>
      <c r="E394" t="s">
        <v>32</v>
      </c>
      <c r="F394" s="3">
        <v>46022</v>
      </c>
      <c r="G394">
        <v>2025</v>
      </c>
      <c r="H394" t="s">
        <v>44</v>
      </c>
      <c r="I394" t="s">
        <v>465</v>
      </c>
      <c r="K394">
        <v>32126.483745582696</v>
      </c>
      <c r="L394">
        <v>32126.483745582696</v>
      </c>
      <c r="M394">
        <v>1</v>
      </c>
      <c r="N394">
        <v>1</v>
      </c>
      <c r="O394" t="s">
        <v>143</v>
      </c>
      <c r="P394" t="s">
        <v>143</v>
      </c>
      <c r="Q394" t="s">
        <v>498</v>
      </c>
      <c r="R394">
        <v>0</v>
      </c>
      <c r="S394">
        <v>0</v>
      </c>
      <c r="T394" t="s">
        <v>443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J395">
        <v>2</v>
      </c>
      <c r="K395">
        <v>12518.005306706251</v>
      </c>
      <c r="L395">
        <v>7607.1384189999999</v>
      </c>
      <c r="M395">
        <v>1.3</v>
      </c>
      <c r="N395">
        <v>1.6455603430904591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31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45291</v>
      </c>
      <c r="G396">
        <v>2023</v>
      </c>
      <c r="H396" t="s">
        <v>44</v>
      </c>
      <c r="I396" t="s">
        <v>49</v>
      </c>
      <c r="K396">
        <v>12518.005306706251</v>
      </c>
      <c r="L396">
        <v>7607.138418999999</v>
      </c>
      <c r="M396">
        <v>1.3</v>
      </c>
      <c r="N396">
        <v>1.64556034309046</v>
      </c>
      <c r="O396" t="s">
        <v>143</v>
      </c>
      <c r="P396" t="s">
        <v>143</v>
      </c>
      <c r="Q396" t="s">
        <v>298</v>
      </c>
      <c r="R396">
        <v>0</v>
      </c>
      <c r="S396">
        <v>0</v>
      </c>
      <c r="T396" t="s">
        <v>443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J397">
        <v>2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45657</v>
      </c>
      <c r="G398">
        <v>2024</v>
      </c>
      <c r="H398" t="s">
        <v>44</v>
      </c>
      <c r="I398" t="s">
        <v>53</v>
      </c>
      <c r="K398">
        <v>9557.1950106811255</v>
      </c>
      <c r="L398">
        <v>11947.626618</v>
      </c>
      <c r="M398">
        <v>1.2501185342192269</v>
      </c>
      <c r="N398">
        <v>1.2501185342192269</v>
      </c>
      <c r="O398" t="s">
        <v>143</v>
      </c>
      <c r="P398" t="s">
        <v>143</v>
      </c>
      <c r="Q398" t="s">
        <v>300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377</v>
      </c>
      <c r="B399" t="s">
        <v>296</v>
      </c>
      <c r="C399" t="s">
        <v>142</v>
      </c>
      <c r="D399" t="s">
        <v>31</v>
      </c>
      <c r="E399" t="s">
        <v>32</v>
      </c>
      <c r="F399" s="3">
        <v>46022</v>
      </c>
      <c r="G399">
        <v>2025</v>
      </c>
      <c r="H399" t="s">
        <v>44</v>
      </c>
      <c r="I399" t="s">
        <v>465</v>
      </c>
      <c r="J399">
        <v>2</v>
      </c>
      <c r="L399">
        <v>10285.243493</v>
      </c>
      <c r="O399" t="s">
        <v>143</v>
      </c>
      <c r="P399" t="s">
        <v>143</v>
      </c>
      <c r="Q399" t="s">
        <v>497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43281</v>
      </c>
      <c r="G400">
        <f t="shared" ref="G400:G411" si="28">YEAR(F400)</f>
        <v>2018</v>
      </c>
      <c r="H400" t="str">
        <f t="shared" ref="H400:H411" si="29">PROPER(TEXT(F400,"mmmm"))</f>
        <v>Junio</v>
      </c>
      <c r="I400" t="str">
        <f t="shared" ref="I400:I411" si="30">IF(H400="Junio",G400&amp;"-1",G400&amp;"-2")</f>
        <v>2018-1</v>
      </c>
      <c r="J400">
        <v>1</v>
      </c>
      <c r="L400" s="4">
        <v>11960</v>
      </c>
      <c r="O400" t="s">
        <v>35</v>
      </c>
      <c r="P400" t="s">
        <v>35</v>
      </c>
      <c r="Q400" t="str">
        <f t="shared" ref="Q400:Q411" si="31">A400&amp;"-"&amp;TEXT(F400,"yyyy-mm-dd")</f>
        <v>379-2018-06-30</v>
      </c>
      <c r="R400">
        <v>0</v>
      </c>
      <c r="S400">
        <v>0</v>
      </c>
      <c r="T400" t="s">
        <v>31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28"/>
        <v>2018</v>
      </c>
      <c r="H401" t="str">
        <f t="shared" si="29"/>
        <v>Diciembre</v>
      </c>
      <c r="I401" t="str">
        <f t="shared" si="30"/>
        <v>2018-2</v>
      </c>
      <c r="L401">
        <v>22872</v>
      </c>
      <c r="O401" t="s">
        <v>35</v>
      </c>
      <c r="P401" t="s">
        <v>35</v>
      </c>
      <c r="Q401" t="str">
        <f t="shared" si="31"/>
        <v>379-2018-12-31</v>
      </c>
      <c r="R401">
        <v>0</v>
      </c>
      <c r="S401">
        <v>0</v>
      </c>
      <c r="T401" t="s">
        <v>443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43465</v>
      </c>
      <c r="G402">
        <f t="shared" si="28"/>
        <v>2018</v>
      </c>
      <c r="H402" t="str">
        <f t="shared" si="29"/>
        <v>Diciembre</v>
      </c>
      <c r="I402" t="str">
        <f t="shared" si="30"/>
        <v>2018-2</v>
      </c>
      <c r="J402">
        <v>2</v>
      </c>
      <c r="L402" s="4">
        <v>10912</v>
      </c>
      <c r="O402" t="s">
        <v>35</v>
      </c>
      <c r="P402" t="s">
        <v>35</v>
      </c>
      <c r="Q402" t="str">
        <f t="shared" si="31"/>
        <v>379-2018-12-31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43646</v>
      </c>
      <c r="G403">
        <f t="shared" si="28"/>
        <v>2019</v>
      </c>
      <c r="H403" t="str">
        <f t="shared" si="29"/>
        <v>Junio</v>
      </c>
      <c r="I403" t="str">
        <f t="shared" si="30"/>
        <v>2019-1</v>
      </c>
      <c r="J403">
        <v>1</v>
      </c>
      <c r="L403" s="4">
        <v>12993</v>
      </c>
      <c r="O403" t="s">
        <v>35</v>
      </c>
      <c r="P403" t="s">
        <v>35</v>
      </c>
      <c r="Q403" t="str">
        <f t="shared" si="31"/>
        <v>379-2019-06-30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28"/>
        <v>2019</v>
      </c>
      <c r="H404" t="str">
        <f t="shared" si="29"/>
        <v>Diciembre</v>
      </c>
      <c r="I404" t="str">
        <f t="shared" si="30"/>
        <v>2019-2</v>
      </c>
      <c r="J404">
        <v>2</v>
      </c>
      <c r="L404" s="4">
        <v>9616</v>
      </c>
      <c r="O404" t="s">
        <v>35</v>
      </c>
      <c r="P404" t="s">
        <v>35</v>
      </c>
      <c r="Q404" t="str">
        <f t="shared" si="31"/>
        <v>379-2019-12-31</v>
      </c>
      <c r="R404">
        <v>0</v>
      </c>
      <c r="S404">
        <v>0</v>
      </c>
      <c r="T404" t="s">
        <v>31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43830</v>
      </c>
      <c r="G405">
        <f t="shared" si="28"/>
        <v>2019</v>
      </c>
      <c r="H405" t="str">
        <f t="shared" si="29"/>
        <v>Diciembre</v>
      </c>
      <c r="I405" t="str">
        <f t="shared" si="30"/>
        <v>2019-2</v>
      </c>
      <c r="L405">
        <v>22609</v>
      </c>
      <c r="O405" t="s">
        <v>35</v>
      </c>
      <c r="P405" t="s">
        <v>35</v>
      </c>
      <c r="Q405" t="str">
        <f t="shared" si="31"/>
        <v>379-2019-12-31</v>
      </c>
      <c r="R405">
        <v>0</v>
      </c>
      <c r="S405">
        <v>0</v>
      </c>
      <c r="T405" t="s">
        <v>443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44012</v>
      </c>
      <c r="G406">
        <f t="shared" si="28"/>
        <v>2020</v>
      </c>
      <c r="H406" t="str">
        <f t="shared" si="29"/>
        <v>Junio</v>
      </c>
      <c r="I406" t="str">
        <f t="shared" si="30"/>
        <v>2020-1</v>
      </c>
      <c r="J406">
        <v>1</v>
      </c>
      <c r="L406" s="4">
        <v>11830</v>
      </c>
      <c r="O406" t="s">
        <v>35</v>
      </c>
      <c r="P406" t="s">
        <v>35</v>
      </c>
      <c r="Q406" t="str">
        <f t="shared" si="31"/>
        <v>379-2020-06-30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28"/>
        <v>2020</v>
      </c>
      <c r="H407" t="str">
        <f t="shared" si="29"/>
        <v>Diciembre</v>
      </c>
      <c r="I407" t="str">
        <f t="shared" si="30"/>
        <v>2020-2</v>
      </c>
      <c r="J407">
        <v>2</v>
      </c>
      <c r="L407" s="4">
        <v>10182</v>
      </c>
      <c r="O407" t="s">
        <v>35</v>
      </c>
      <c r="P407" t="s">
        <v>35</v>
      </c>
      <c r="Q407" t="str">
        <f t="shared" si="31"/>
        <v>379-2020-12-31</v>
      </c>
      <c r="R407">
        <v>0</v>
      </c>
      <c r="S407">
        <v>0</v>
      </c>
      <c r="T407" t="s">
        <v>31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44196</v>
      </c>
      <c r="G408">
        <f t="shared" si="28"/>
        <v>2020</v>
      </c>
      <c r="H408" t="str">
        <f t="shared" si="29"/>
        <v>Diciembre</v>
      </c>
      <c r="I408" t="str">
        <f t="shared" si="30"/>
        <v>2020-2</v>
      </c>
      <c r="L408">
        <v>22012</v>
      </c>
      <c r="O408" t="s">
        <v>35</v>
      </c>
      <c r="P408" t="s">
        <v>35</v>
      </c>
      <c r="Q408" t="str">
        <f t="shared" si="31"/>
        <v>379-2020-12-31</v>
      </c>
      <c r="R408">
        <v>0</v>
      </c>
      <c r="S408">
        <v>0</v>
      </c>
      <c r="T408" t="s">
        <v>443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44377</v>
      </c>
      <c r="G409">
        <f t="shared" si="28"/>
        <v>2021</v>
      </c>
      <c r="H409" t="str">
        <f t="shared" si="29"/>
        <v>Junio</v>
      </c>
      <c r="I409" t="str">
        <f t="shared" si="30"/>
        <v>2021-1</v>
      </c>
      <c r="J409">
        <v>1</v>
      </c>
      <c r="L409" s="4">
        <v>10300</v>
      </c>
      <c r="O409" t="s">
        <v>35</v>
      </c>
      <c r="P409" t="s">
        <v>35</v>
      </c>
      <c r="Q409" t="str">
        <f t="shared" si="31"/>
        <v>379-2021-06-30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28"/>
        <v>2021</v>
      </c>
      <c r="H410" t="str">
        <f t="shared" si="29"/>
        <v>Diciembre</v>
      </c>
      <c r="I410" t="str">
        <f t="shared" si="30"/>
        <v>2021-2</v>
      </c>
      <c r="J410">
        <v>2</v>
      </c>
      <c r="L410" s="4">
        <v>8229</v>
      </c>
      <c r="O410" t="s">
        <v>35</v>
      </c>
      <c r="P410" t="s">
        <v>35</v>
      </c>
      <c r="Q410" t="str">
        <f t="shared" si="31"/>
        <v>379-2021-12-31</v>
      </c>
      <c r="R410">
        <v>0</v>
      </c>
      <c r="S410">
        <v>0</v>
      </c>
      <c r="T410" t="s">
        <v>31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44561</v>
      </c>
      <c r="G411">
        <f t="shared" si="28"/>
        <v>2021</v>
      </c>
      <c r="H411" t="str">
        <f t="shared" si="29"/>
        <v>Diciembre</v>
      </c>
      <c r="I411" t="str">
        <f t="shared" si="30"/>
        <v>2021-2</v>
      </c>
      <c r="L411">
        <v>18529</v>
      </c>
      <c r="O411" t="s">
        <v>35</v>
      </c>
      <c r="P411" t="s">
        <v>35</v>
      </c>
      <c r="Q411" t="str">
        <f t="shared" si="31"/>
        <v>379-2021-12-31</v>
      </c>
      <c r="R411">
        <v>0</v>
      </c>
      <c r="S411">
        <v>0</v>
      </c>
      <c r="T411" t="s">
        <v>443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44742</v>
      </c>
      <c r="G412">
        <v>2022</v>
      </c>
      <c r="H412" t="s">
        <v>33</v>
      </c>
      <c r="I412" t="s">
        <v>34</v>
      </c>
      <c r="J412">
        <v>1</v>
      </c>
      <c r="K412">
        <v>10808</v>
      </c>
      <c r="L412">
        <v>11012</v>
      </c>
      <c r="M412">
        <v>1.0189674315321979</v>
      </c>
      <c r="N412">
        <v>1.0189674315321979</v>
      </c>
      <c r="O412" t="s">
        <v>35</v>
      </c>
      <c r="P412" t="s">
        <v>35</v>
      </c>
      <c r="Q412" t="s">
        <v>303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J413">
        <v>2</v>
      </c>
      <c r="K413">
        <v>9192</v>
      </c>
      <c r="L413">
        <v>9578</v>
      </c>
      <c r="M413">
        <v>1.0528720626631849</v>
      </c>
      <c r="N413">
        <v>1.0528720626631849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44926</v>
      </c>
      <c r="G414">
        <v>2022</v>
      </c>
      <c r="H414" t="s">
        <v>44</v>
      </c>
      <c r="I414" t="s">
        <v>45</v>
      </c>
      <c r="K414">
        <v>20000</v>
      </c>
      <c r="L414">
        <v>20590</v>
      </c>
      <c r="M414">
        <v>1.02955</v>
      </c>
      <c r="N414">
        <v>1.02955</v>
      </c>
      <c r="O414" t="s">
        <v>35</v>
      </c>
      <c r="P414" t="s">
        <v>35</v>
      </c>
      <c r="Q414" t="s">
        <v>304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45107</v>
      </c>
      <c r="G415">
        <v>2023</v>
      </c>
      <c r="H415" t="s">
        <v>33</v>
      </c>
      <c r="I415" t="s">
        <v>47</v>
      </c>
      <c r="J415">
        <v>1</v>
      </c>
      <c r="K415">
        <v>12130</v>
      </c>
      <c r="L415">
        <v>12382</v>
      </c>
      <c r="M415">
        <v>1.020774938169827</v>
      </c>
      <c r="N415">
        <v>1.020774938169827</v>
      </c>
      <c r="O415" t="s">
        <v>35</v>
      </c>
      <c r="P415" t="s">
        <v>35</v>
      </c>
      <c r="Q415" t="s">
        <v>305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J416">
        <v>2</v>
      </c>
      <c r="K416">
        <v>9876</v>
      </c>
      <c r="L416">
        <v>10605</v>
      </c>
      <c r="M416">
        <v>1.0737140542729851</v>
      </c>
      <c r="N416">
        <v>1.0737140542729851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45291</v>
      </c>
      <c r="G417">
        <v>2023</v>
      </c>
      <c r="H417" t="s">
        <v>44</v>
      </c>
      <c r="I417" t="s">
        <v>49</v>
      </c>
      <c r="K417">
        <v>22006</v>
      </c>
      <c r="L417">
        <v>22987</v>
      </c>
      <c r="M417">
        <v>1.0445333090975191</v>
      </c>
      <c r="N417">
        <v>1.0445333090975191</v>
      </c>
      <c r="O417" t="s">
        <v>35</v>
      </c>
      <c r="P417" t="s">
        <v>35</v>
      </c>
      <c r="Q417" t="s">
        <v>306</v>
      </c>
      <c r="R417">
        <v>0</v>
      </c>
      <c r="S417">
        <v>0</v>
      </c>
      <c r="T417" t="s">
        <v>443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45473</v>
      </c>
      <c r="G418">
        <v>2024</v>
      </c>
      <c r="H418" t="s">
        <v>33</v>
      </c>
      <c r="I418" t="s">
        <v>51</v>
      </c>
      <c r="J418">
        <v>1</v>
      </c>
      <c r="K418">
        <v>13590</v>
      </c>
      <c r="L418">
        <v>12987</v>
      </c>
      <c r="M418">
        <v>0.95562913907284763</v>
      </c>
      <c r="N418">
        <v>0.95562913907284763</v>
      </c>
      <c r="O418" t="s">
        <v>35</v>
      </c>
      <c r="P418" t="s">
        <v>35</v>
      </c>
      <c r="Q418" t="s">
        <v>307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J419">
        <v>2</v>
      </c>
      <c r="K419">
        <v>10675</v>
      </c>
      <c r="L419">
        <v>10569</v>
      </c>
      <c r="M419">
        <v>0.99007025761124123</v>
      </c>
      <c r="N419">
        <v>0.99007025761124123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45657</v>
      </c>
      <c r="G420">
        <v>2024</v>
      </c>
      <c r="H420" t="s">
        <v>44</v>
      </c>
      <c r="I420" t="s">
        <v>53</v>
      </c>
      <c r="K420">
        <v>24265</v>
      </c>
      <c r="L420">
        <v>23556</v>
      </c>
      <c r="M420">
        <v>0.97078096023078508</v>
      </c>
      <c r="N420">
        <v>0.97078096023078508</v>
      </c>
      <c r="O420" t="s">
        <v>35</v>
      </c>
      <c r="P420" t="s">
        <v>35</v>
      </c>
      <c r="Q420" t="s">
        <v>308</v>
      </c>
      <c r="R420">
        <v>0</v>
      </c>
      <c r="S420">
        <v>0</v>
      </c>
      <c r="T420" t="s">
        <v>443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45838</v>
      </c>
      <c r="G421">
        <v>2025</v>
      </c>
      <c r="H421" t="s">
        <v>33</v>
      </c>
      <c r="I421" t="s">
        <v>404</v>
      </c>
      <c r="J421">
        <v>1</v>
      </c>
      <c r="K421">
        <v>13609</v>
      </c>
      <c r="L421">
        <v>14141</v>
      </c>
      <c r="M421">
        <v>1.039091777500184</v>
      </c>
      <c r="N421">
        <v>1.039091777500184</v>
      </c>
      <c r="O421" t="s">
        <v>35</v>
      </c>
      <c r="P421" t="s">
        <v>35</v>
      </c>
      <c r="Q421" t="s">
        <v>412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46022</v>
      </c>
      <c r="G422">
        <v>2025</v>
      </c>
      <c r="H422" t="s">
        <v>44</v>
      </c>
      <c r="I422" t="s">
        <v>465</v>
      </c>
      <c r="L422">
        <v>25435</v>
      </c>
      <c r="O422" t="s">
        <v>35</v>
      </c>
      <c r="P422" t="s">
        <v>35</v>
      </c>
      <c r="Q422" t="str">
        <f>A422&amp;"-"&amp;TEXT(F422,"yyyy-mm-dd")</f>
        <v>379-2025-12-31</v>
      </c>
      <c r="R422">
        <v>0</v>
      </c>
      <c r="S422">
        <v>0</v>
      </c>
      <c r="T422" t="s">
        <v>443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46022</v>
      </c>
      <c r="G423">
        <f>YEAR(F423)</f>
        <v>2025</v>
      </c>
      <c r="H423" t="str">
        <f>PROPER(TEXT(F423,"mmmm"))</f>
        <v>Diciembre</v>
      </c>
      <c r="I423" t="str">
        <f>IF(H423="Junio",G423&amp;"-1",G423&amp;"-2")</f>
        <v>2025-2</v>
      </c>
      <c r="J423">
        <v>2</v>
      </c>
      <c r="L423">
        <v>11294</v>
      </c>
      <c r="O423" t="s">
        <v>35</v>
      </c>
      <c r="P423" t="s">
        <v>35</v>
      </c>
      <c r="Q423" t="str">
        <f>A423&amp;"-"&amp;TEXT(F423,"yyyy-mm-dd")</f>
        <v>379-2025-12-31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44926</v>
      </c>
      <c r="G424">
        <v>2022</v>
      </c>
      <c r="H424" t="s">
        <v>44</v>
      </c>
      <c r="I424" t="s">
        <v>45</v>
      </c>
      <c r="J424">
        <v>2</v>
      </c>
      <c r="K424">
        <v>13361</v>
      </c>
      <c r="L424">
        <v>10035.311890999999</v>
      </c>
      <c r="O424" t="s">
        <v>143</v>
      </c>
      <c r="P424" t="s">
        <v>143</v>
      </c>
      <c r="Q424" t="s">
        <v>315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44926</v>
      </c>
      <c r="G425">
        <v>2022</v>
      </c>
      <c r="H425" t="s">
        <v>44</v>
      </c>
      <c r="I425" t="s">
        <v>45</v>
      </c>
      <c r="K425">
        <v>13361</v>
      </c>
      <c r="L425">
        <v>10035.311890999999</v>
      </c>
      <c r="O425" t="s">
        <v>143</v>
      </c>
      <c r="P425" t="s">
        <v>143</v>
      </c>
      <c r="Q425" t="s">
        <v>315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45291</v>
      </c>
      <c r="G426">
        <v>2023</v>
      </c>
      <c r="H426" t="s">
        <v>44</v>
      </c>
      <c r="I426" t="s">
        <v>49</v>
      </c>
      <c r="J426">
        <v>2</v>
      </c>
      <c r="K426">
        <v>14097.721</v>
      </c>
      <c r="L426">
        <v>17697.080526999998</v>
      </c>
      <c r="O426" t="s">
        <v>143</v>
      </c>
      <c r="P426" t="s">
        <v>143</v>
      </c>
      <c r="Q426" t="s">
        <v>317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45291</v>
      </c>
      <c r="G427">
        <v>2023</v>
      </c>
      <c r="H427" t="s">
        <v>44</v>
      </c>
      <c r="I427" t="s">
        <v>49</v>
      </c>
      <c r="K427">
        <v>14097.721</v>
      </c>
      <c r="L427">
        <v>17697.080526999998</v>
      </c>
      <c r="O427" t="s">
        <v>143</v>
      </c>
      <c r="P427" t="s">
        <v>143</v>
      </c>
      <c r="Q427" t="s">
        <v>317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45657</v>
      </c>
      <c r="G428">
        <v>2024</v>
      </c>
      <c r="H428" t="s">
        <v>44</v>
      </c>
      <c r="I428" t="s">
        <v>53</v>
      </c>
      <c r="J428">
        <v>2</v>
      </c>
      <c r="K428">
        <v>15507.493100000003</v>
      </c>
      <c r="L428">
        <v>13243.138849000001</v>
      </c>
      <c r="O428" t="s">
        <v>143</v>
      </c>
      <c r="P428" t="s">
        <v>143</v>
      </c>
      <c r="Q428" t="s">
        <v>319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Z428" t="s">
        <v>63</v>
      </c>
      <c r="AA428" t="s">
        <v>148</v>
      </c>
      <c r="AB428" t="s">
        <v>43</v>
      </c>
      <c r="AC428" t="s">
        <v>66</v>
      </c>
    </row>
    <row r="429" spans="1:29" x14ac:dyDescent="0.3">
      <c r="A429">
        <v>385</v>
      </c>
      <c r="B429" t="s">
        <v>309</v>
      </c>
      <c r="C429" t="s">
        <v>310</v>
      </c>
      <c r="D429" t="s">
        <v>31</v>
      </c>
      <c r="E429" t="s">
        <v>32</v>
      </c>
      <c r="F429" s="3">
        <v>45657</v>
      </c>
      <c r="G429">
        <v>2024</v>
      </c>
      <c r="H429" t="s">
        <v>44</v>
      </c>
      <c r="I429" t="s">
        <v>53</v>
      </c>
      <c r="K429">
        <v>15507.493100000003</v>
      </c>
      <c r="L429">
        <v>13243.138849000001</v>
      </c>
      <c r="O429" t="s">
        <v>143</v>
      </c>
      <c r="P429" t="s">
        <v>143</v>
      </c>
      <c r="Q429" t="s">
        <v>319</v>
      </c>
      <c r="R429">
        <v>0</v>
      </c>
      <c r="S429">
        <v>0</v>
      </c>
      <c r="T429" t="s">
        <v>443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43</v>
      </c>
      <c r="AC429" t="s">
        <v>66</v>
      </c>
    </row>
    <row r="430" spans="1:29" x14ac:dyDescent="0.3">
      <c r="A430">
        <v>385</v>
      </c>
      <c r="B430" t="s">
        <v>309</v>
      </c>
      <c r="C430" t="s">
        <v>310</v>
      </c>
      <c r="D430" t="s">
        <v>31</v>
      </c>
      <c r="E430" t="s">
        <v>32</v>
      </c>
      <c r="F430" s="3">
        <v>46022</v>
      </c>
      <c r="G430">
        <v>2025</v>
      </c>
      <c r="H430" t="s">
        <v>44</v>
      </c>
      <c r="I430" t="s">
        <v>465</v>
      </c>
      <c r="J430">
        <v>2</v>
      </c>
      <c r="L430">
        <f>17058242411/1000000</f>
        <v>17058.242410999999</v>
      </c>
      <c r="O430" t="s">
        <v>143</v>
      </c>
      <c r="P430" t="s">
        <v>143</v>
      </c>
      <c r="Q430" t="s">
        <v>486</v>
      </c>
      <c r="R430">
        <v>0</v>
      </c>
      <c r="S430">
        <v>0</v>
      </c>
      <c r="T430" t="s">
        <v>31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AB430" t="s">
        <v>43</v>
      </c>
      <c r="AC430" t="s">
        <v>66</v>
      </c>
    </row>
    <row r="431" spans="1:29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44926</v>
      </c>
      <c r="G431">
        <v>2022</v>
      </c>
      <c r="H431" t="s">
        <v>44</v>
      </c>
      <c r="I431" t="s">
        <v>45</v>
      </c>
      <c r="J431">
        <v>2</v>
      </c>
      <c r="L431">
        <f>894406923/1000000</f>
        <v>894.40692300000001</v>
      </c>
      <c r="O431" t="s">
        <v>143</v>
      </c>
      <c r="P431" t="s">
        <v>143</v>
      </c>
      <c r="Q431" t="s">
        <v>491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44926</v>
      </c>
      <c r="G432">
        <v>2022</v>
      </c>
      <c r="H432" t="s">
        <v>44</v>
      </c>
      <c r="I432" t="s">
        <v>45</v>
      </c>
      <c r="L432">
        <f>894406923/1000000</f>
        <v>894.40692300000001</v>
      </c>
      <c r="O432" t="s">
        <v>143</v>
      </c>
      <c r="P432" t="s">
        <v>143</v>
      </c>
      <c r="Q432" t="s">
        <v>491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45291</v>
      </c>
      <c r="G433">
        <v>2023</v>
      </c>
      <c r="H433" t="s">
        <v>44</v>
      </c>
      <c r="I433" t="s">
        <v>49</v>
      </c>
      <c r="J433">
        <v>2</v>
      </c>
      <c r="L433">
        <v>3779.9283479999999</v>
      </c>
      <c r="O433" t="s">
        <v>143</v>
      </c>
      <c r="P433" t="s">
        <v>143</v>
      </c>
      <c r="Q433" t="s">
        <v>379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45291</v>
      </c>
      <c r="G434">
        <v>2023</v>
      </c>
      <c r="H434" t="s">
        <v>44</v>
      </c>
      <c r="I434" t="s">
        <v>49</v>
      </c>
      <c r="L434">
        <v>3779.9283479999999</v>
      </c>
      <c r="O434" t="s">
        <v>143</v>
      </c>
      <c r="P434" t="s">
        <v>143</v>
      </c>
      <c r="Q434" t="s">
        <v>379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45657</v>
      </c>
      <c r="G435">
        <v>2024</v>
      </c>
      <c r="H435" t="s">
        <v>44</v>
      </c>
      <c r="I435" t="s">
        <v>53</v>
      </c>
      <c r="J435">
        <v>2</v>
      </c>
      <c r="L435">
        <v>4694.2130900000002</v>
      </c>
      <c r="O435" t="s">
        <v>143</v>
      </c>
      <c r="P435" t="s">
        <v>143</v>
      </c>
      <c r="Q435" t="s">
        <v>381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Z435" t="s">
        <v>63</v>
      </c>
      <c r="AA435" t="s">
        <v>148</v>
      </c>
      <c r="AB435" t="s">
        <v>78</v>
      </c>
      <c r="AC435" t="s">
        <v>66</v>
      </c>
    </row>
    <row r="436" spans="1:29" x14ac:dyDescent="0.3">
      <c r="A436">
        <v>386.1</v>
      </c>
      <c r="B436" t="s">
        <v>377</v>
      </c>
      <c r="C436" t="s">
        <v>310</v>
      </c>
      <c r="D436" t="s">
        <v>31</v>
      </c>
      <c r="E436" t="s">
        <v>32</v>
      </c>
      <c r="F436" s="3">
        <v>45657</v>
      </c>
      <c r="G436">
        <v>2024</v>
      </c>
      <c r="H436" t="s">
        <v>44</v>
      </c>
      <c r="I436" t="s">
        <v>53</v>
      </c>
      <c r="L436">
        <v>4694.2130900000002</v>
      </c>
      <c r="O436" t="s">
        <v>143</v>
      </c>
      <c r="P436" t="s">
        <v>143</v>
      </c>
      <c r="Q436" t="s">
        <v>381</v>
      </c>
      <c r="R436">
        <v>0</v>
      </c>
      <c r="S436">
        <v>0</v>
      </c>
      <c r="T436" t="s">
        <v>443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386.1</v>
      </c>
      <c r="B437" t="s">
        <v>377</v>
      </c>
      <c r="C437" t="s">
        <v>310</v>
      </c>
      <c r="D437" t="s">
        <v>31</v>
      </c>
      <c r="E437" t="s">
        <v>32</v>
      </c>
      <c r="F437" s="3">
        <v>46022</v>
      </c>
      <c r="G437">
        <v>2025</v>
      </c>
      <c r="H437" t="s">
        <v>44</v>
      </c>
      <c r="I437" t="s">
        <v>465</v>
      </c>
      <c r="J437">
        <v>2</v>
      </c>
      <c r="L437">
        <f>4042632396/1000000</f>
        <v>4042.632396</v>
      </c>
      <c r="O437" t="s">
        <v>143</v>
      </c>
      <c r="P437" t="s">
        <v>143</v>
      </c>
      <c r="Q437" t="s">
        <v>490</v>
      </c>
      <c r="R437">
        <v>0</v>
      </c>
      <c r="S437">
        <v>0</v>
      </c>
      <c r="T437" t="s">
        <v>31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AB437" t="s">
        <v>78</v>
      </c>
      <c r="AC437" t="s">
        <v>66</v>
      </c>
    </row>
    <row r="438" spans="1:29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44926</v>
      </c>
      <c r="G438">
        <f>YEAR(F438)</f>
        <v>2022</v>
      </c>
      <c r="H438" t="s">
        <v>44</v>
      </c>
      <c r="I438" t="s">
        <v>45</v>
      </c>
      <c r="J438">
        <v>2</v>
      </c>
      <c r="L438">
        <f>5335242827/1000000</f>
        <v>5335.242827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44926</v>
      </c>
      <c r="G439">
        <f>YEAR(F439)</f>
        <v>2022</v>
      </c>
      <c r="H439" t="s">
        <v>44</v>
      </c>
      <c r="I439" t="s">
        <v>45</v>
      </c>
      <c r="L439">
        <f>5335242827/1000000</f>
        <v>5335.242827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45291</v>
      </c>
      <c r="G440">
        <v>2023</v>
      </c>
      <c r="H440" t="s">
        <v>44</v>
      </c>
      <c r="I440" t="s">
        <v>49</v>
      </c>
      <c r="J440">
        <v>2</v>
      </c>
      <c r="L440">
        <v>9868.4183169999997</v>
      </c>
      <c r="O440" t="s">
        <v>143</v>
      </c>
      <c r="P440" t="s">
        <v>143</v>
      </c>
      <c r="Q440" t="s">
        <v>384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45291</v>
      </c>
      <c r="G441">
        <v>2023</v>
      </c>
      <c r="H441" t="s">
        <v>44</v>
      </c>
      <c r="I441" t="s">
        <v>49</v>
      </c>
      <c r="L441">
        <v>9868.4183169999997</v>
      </c>
      <c r="O441" t="s">
        <v>143</v>
      </c>
      <c r="P441" t="s">
        <v>143</v>
      </c>
      <c r="Q441" t="s">
        <v>384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45657</v>
      </c>
      <c r="G442">
        <v>2024</v>
      </c>
      <c r="H442" t="s">
        <v>44</v>
      </c>
      <c r="I442" t="s">
        <v>53</v>
      </c>
      <c r="J442">
        <v>2</v>
      </c>
      <c r="L442">
        <v>4170.686009</v>
      </c>
      <c r="O442" t="s">
        <v>143</v>
      </c>
      <c r="P442" t="s">
        <v>143</v>
      </c>
      <c r="Q442" t="s">
        <v>386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78</v>
      </c>
      <c r="AC442" t="s">
        <v>66</v>
      </c>
    </row>
    <row r="443" spans="1:29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45657</v>
      </c>
      <c r="G443">
        <v>2024</v>
      </c>
      <c r="H443" t="s">
        <v>44</v>
      </c>
      <c r="I443" t="s">
        <v>53</v>
      </c>
      <c r="L443">
        <v>4170.686009</v>
      </c>
      <c r="O443" t="s">
        <v>143</v>
      </c>
      <c r="P443" t="s">
        <v>143</v>
      </c>
      <c r="Q443" t="s">
        <v>386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Z443" t="s">
        <v>63</v>
      </c>
      <c r="AA443" t="s">
        <v>148</v>
      </c>
      <c r="AB443" t="s">
        <v>78</v>
      </c>
      <c r="AC443" t="s">
        <v>66</v>
      </c>
    </row>
    <row r="444" spans="1:29" x14ac:dyDescent="0.3">
      <c r="A444">
        <v>386.2</v>
      </c>
      <c r="B444" t="s">
        <v>382</v>
      </c>
      <c r="C444" t="s">
        <v>310</v>
      </c>
      <c r="D444" t="s">
        <v>31</v>
      </c>
      <c r="E444" t="s">
        <v>32</v>
      </c>
      <c r="F444" s="3">
        <v>46022</v>
      </c>
      <c r="G444">
        <v>2025</v>
      </c>
      <c r="H444" t="s">
        <v>44</v>
      </c>
      <c r="I444" t="s">
        <v>465</v>
      </c>
      <c r="J444">
        <v>2</v>
      </c>
      <c r="L444">
        <f>7446830696/1000000</f>
        <v>7446.830696</v>
      </c>
      <c r="O444" t="s">
        <v>143</v>
      </c>
      <c r="P444" t="s">
        <v>143</v>
      </c>
      <c r="Q444" t="s">
        <v>489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AB444" t="s">
        <v>78</v>
      </c>
      <c r="AC444" t="s">
        <v>66</v>
      </c>
    </row>
    <row r="445" spans="1:29" x14ac:dyDescent="0.3">
      <c r="A445">
        <v>386.2</v>
      </c>
      <c r="B445" t="s">
        <v>382</v>
      </c>
      <c r="C445" t="s">
        <v>310</v>
      </c>
      <c r="D445" t="s">
        <v>31</v>
      </c>
      <c r="E445" t="s">
        <v>32</v>
      </c>
      <c r="F445" s="3">
        <v>46022</v>
      </c>
      <c r="G445">
        <v>2025</v>
      </c>
      <c r="H445" t="s">
        <v>44</v>
      </c>
      <c r="I445" t="s">
        <v>465</v>
      </c>
      <c r="L445">
        <f>7446830696/1000000</f>
        <v>7446.830696</v>
      </c>
      <c r="O445" t="s">
        <v>143</v>
      </c>
      <c r="P445" t="s">
        <v>143</v>
      </c>
      <c r="Q445" t="s">
        <v>489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AB445" t="s">
        <v>78</v>
      </c>
      <c r="AC445" t="s">
        <v>66</v>
      </c>
    </row>
    <row r="446" spans="1:29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44926</v>
      </c>
      <c r="G446">
        <v>2022</v>
      </c>
      <c r="H446" t="s">
        <v>44</v>
      </c>
      <c r="I446" t="s">
        <v>45</v>
      </c>
      <c r="J446">
        <v>2</v>
      </c>
      <c r="L446">
        <f>3805662141/1000000</f>
        <v>3805.6621409999998</v>
      </c>
      <c r="O446" t="s">
        <v>143</v>
      </c>
      <c r="P446" t="s">
        <v>143</v>
      </c>
      <c r="Q446" t="s">
        <v>493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44926</v>
      </c>
      <c r="G447">
        <v>2022</v>
      </c>
      <c r="H447" t="s">
        <v>44</v>
      </c>
      <c r="I447" t="s">
        <v>45</v>
      </c>
      <c r="L447">
        <f>3805662141/1000000</f>
        <v>3805.6621409999998</v>
      </c>
      <c r="O447" t="s">
        <v>143</v>
      </c>
      <c r="P447" t="s">
        <v>143</v>
      </c>
      <c r="Q447" t="s">
        <v>493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45291</v>
      </c>
      <c r="G448">
        <v>2023</v>
      </c>
      <c r="H448" t="s">
        <v>44</v>
      </c>
      <c r="I448" t="s">
        <v>49</v>
      </c>
      <c r="J448">
        <v>2</v>
      </c>
      <c r="L448">
        <f>4048733862/1000000</f>
        <v>4048.733862</v>
      </c>
      <c r="O448" t="s">
        <v>143</v>
      </c>
      <c r="P448" t="s">
        <v>143</v>
      </c>
      <c r="Q448" t="s">
        <v>389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45291</v>
      </c>
      <c r="G449">
        <v>2023</v>
      </c>
      <c r="H449" t="s">
        <v>44</v>
      </c>
      <c r="I449" t="s">
        <v>49</v>
      </c>
      <c r="L449">
        <f>4048733862/1000000</f>
        <v>4048.733862</v>
      </c>
      <c r="O449" t="s">
        <v>143</v>
      </c>
      <c r="P449" t="s">
        <v>143</v>
      </c>
      <c r="Q449" t="s">
        <v>389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45657</v>
      </c>
      <c r="G450">
        <v>2024</v>
      </c>
      <c r="H450" t="s">
        <v>44</v>
      </c>
      <c r="I450" t="s">
        <v>53</v>
      </c>
      <c r="J450">
        <v>2</v>
      </c>
      <c r="L450">
        <v>4378.2397499999997</v>
      </c>
      <c r="O450" t="s">
        <v>143</v>
      </c>
      <c r="P450" t="s">
        <v>143</v>
      </c>
      <c r="Q450" t="s">
        <v>391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Z450" t="s">
        <v>63</v>
      </c>
      <c r="AA450" t="s">
        <v>148</v>
      </c>
      <c r="AB450" t="s">
        <v>78</v>
      </c>
      <c r="AC450" t="s">
        <v>66</v>
      </c>
    </row>
    <row r="451" spans="1:29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45657</v>
      </c>
      <c r="G451">
        <v>2024</v>
      </c>
      <c r="H451" t="s">
        <v>44</v>
      </c>
      <c r="I451" t="s">
        <v>53</v>
      </c>
      <c r="L451">
        <v>4378.2397499999997</v>
      </c>
      <c r="O451" t="s">
        <v>143</v>
      </c>
      <c r="P451" t="s">
        <v>143</v>
      </c>
      <c r="Q451" t="s">
        <v>391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386.3</v>
      </c>
      <c r="B452" t="s">
        <v>387</v>
      </c>
      <c r="C452" t="s">
        <v>310</v>
      </c>
      <c r="D452" t="s">
        <v>31</v>
      </c>
      <c r="E452" t="s">
        <v>32</v>
      </c>
      <c r="F452" s="3">
        <v>46022</v>
      </c>
      <c r="G452">
        <v>2025</v>
      </c>
      <c r="H452" t="s">
        <v>44</v>
      </c>
      <c r="I452" t="s">
        <v>465</v>
      </c>
      <c r="J452">
        <v>2</v>
      </c>
      <c r="L452">
        <f>(5278611105+290168214)/1000000</f>
        <v>5568.7793190000002</v>
      </c>
      <c r="O452" t="s">
        <v>143</v>
      </c>
      <c r="P452" t="s">
        <v>143</v>
      </c>
      <c r="Q452" t="s">
        <v>492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AB452" t="s">
        <v>78</v>
      </c>
      <c r="AC452" t="s">
        <v>66</v>
      </c>
    </row>
    <row r="453" spans="1:29" x14ac:dyDescent="0.3">
      <c r="A453">
        <v>386.3</v>
      </c>
      <c r="B453" t="s">
        <v>387</v>
      </c>
      <c r="C453" t="s">
        <v>310</v>
      </c>
      <c r="D453" t="s">
        <v>31</v>
      </c>
      <c r="E453" t="s">
        <v>32</v>
      </c>
      <c r="F453" s="3">
        <v>46022</v>
      </c>
      <c r="G453">
        <v>2025</v>
      </c>
      <c r="H453" t="s">
        <v>44</v>
      </c>
      <c r="I453" t="s">
        <v>465</v>
      </c>
      <c r="L453">
        <f>(5278611105+290168214)/1000000</f>
        <v>5568.7793190000002</v>
      </c>
      <c r="O453" t="s">
        <v>143</v>
      </c>
      <c r="P453" t="s">
        <v>143</v>
      </c>
      <c r="Q453" t="s">
        <v>492</v>
      </c>
      <c r="R453">
        <v>0</v>
      </c>
      <c r="S453">
        <v>0</v>
      </c>
      <c r="T453" t="s">
        <v>443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AB453" t="s">
        <v>78</v>
      </c>
      <c r="AC453" t="s">
        <v>66</v>
      </c>
    </row>
    <row r="454" spans="1:29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44926</v>
      </c>
      <c r="G454">
        <v>2022</v>
      </c>
      <c r="H454" t="s">
        <v>44</v>
      </c>
      <c r="I454" t="s">
        <v>45</v>
      </c>
      <c r="J454">
        <v>2</v>
      </c>
      <c r="K454">
        <v>8.8000000000000007</v>
      </c>
      <c r="L454">
        <v>7.8</v>
      </c>
      <c r="M454">
        <v>0.88636363636363624</v>
      </c>
      <c r="N454">
        <v>0.88636363636363624</v>
      </c>
      <c r="Q454" t="s">
        <v>321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44926</v>
      </c>
      <c r="G455">
        <v>2022</v>
      </c>
      <c r="H455" t="s">
        <v>44</v>
      </c>
      <c r="I455" t="s">
        <v>45</v>
      </c>
      <c r="K455">
        <v>8.8000000000000007</v>
      </c>
      <c r="L455">
        <v>7.8</v>
      </c>
      <c r="M455">
        <v>0.88636363636363624</v>
      </c>
      <c r="N455">
        <v>0.88636363636363624</v>
      </c>
      <c r="O455" t="s">
        <v>245</v>
      </c>
      <c r="P455" t="s">
        <v>245</v>
      </c>
      <c r="Q455" t="s">
        <v>321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45291</v>
      </c>
      <c r="G456">
        <v>2023</v>
      </c>
      <c r="H456" t="s">
        <v>44</v>
      </c>
      <c r="I456" t="s">
        <v>49</v>
      </c>
      <c r="J456">
        <v>2</v>
      </c>
      <c r="K456">
        <v>8.4</v>
      </c>
      <c r="L456">
        <v>7.9</v>
      </c>
      <c r="M456">
        <v>0.94047619047619047</v>
      </c>
      <c r="N456">
        <v>0.94047619047619047</v>
      </c>
      <c r="Q456" t="s">
        <v>323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45291</v>
      </c>
      <c r="G457">
        <v>2023</v>
      </c>
      <c r="H457" t="s">
        <v>44</v>
      </c>
      <c r="I457" t="s">
        <v>49</v>
      </c>
      <c r="K457">
        <v>8.4</v>
      </c>
      <c r="L457">
        <v>7.9</v>
      </c>
      <c r="M457">
        <v>0.94047619047619047</v>
      </c>
      <c r="N457">
        <v>0.94047619047619047</v>
      </c>
      <c r="O457" t="s">
        <v>245</v>
      </c>
      <c r="P457" t="s">
        <v>245</v>
      </c>
      <c r="Q457" t="s">
        <v>323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45657</v>
      </c>
      <c r="G458">
        <v>2024</v>
      </c>
      <c r="H458" t="s">
        <v>44</v>
      </c>
      <c r="I458" t="s">
        <v>53</v>
      </c>
      <c r="J458">
        <v>2</v>
      </c>
      <c r="K458">
        <v>8.3000000000000007</v>
      </c>
      <c r="L458">
        <v>12.4</v>
      </c>
      <c r="M458">
        <v>1.3</v>
      </c>
      <c r="N458">
        <v>1.481927710843373</v>
      </c>
      <c r="Q458" t="s">
        <v>324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x14ac:dyDescent="0.3">
      <c r="A459">
        <v>423</v>
      </c>
      <c r="B459" t="s">
        <v>320</v>
      </c>
      <c r="C459" t="s">
        <v>83</v>
      </c>
      <c r="D459" t="s">
        <v>66</v>
      </c>
      <c r="E459" t="s">
        <v>32</v>
      </c>
      <c r="F459" s="3">
        <v>45657</v>
      </c>
      <c r="G459">
        <v>2024</v>
      </c>
      <c r="H459" t="s">
        <v>44</v>
      </c>
      <c r="I459" t="s">
        <v>53</v>
      </c>
      <c r="K459">
        <v>8.3000000000000007</v>
      </c>
      <c r="L459">
        <v>12.4</v>
      </c>
      <c r="M459">
        <v>1.3</v>
      </c>
      <c r="N459">
        <v>1.481927710843373</v>
      </c>
      <c r="O459" t="s">
        <v>245</v>
      </c>
      <c r="P459" t="s">
        <v>245</v>
      </c>
      <c r="Q459" t="s">
        <v>324</v>
      </c>
      <c r="R459">
        <v>1</v>
      </c>
      <c r="S459">
        <v>1</v>
      </c>
      <c r="T459" t="s">
        <v>443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x14ac:dyDescent="0.3">
      <c r="A460">
        <v>423</v>
      </c>
      <c r="B460" t="s">
        <v>320</v>
      </c>
      <c r="C460" t="s">
        <v>83</v>
      </c>
      <c r="D460" t="s">
        <v>66</v>
      </c>
      <c r="E460" t="s">
        <v>32</v>
      </c>
      <c r="F460" s="3">
        <v>46022</v>
      </c>
      <c r="G460">
        <v>2025</v>
      </c>
      <c r="H460" t="s">
        <v>44</v>
      </c>
      <c r="I460" t="s">
        <v>465</v>
      </c>
      <c r="J460">
        <v>2</v>
      </c>
      <c r="K460">
        <v>12</v>
      </c>
      <c r="L460">
        <v>15.1</v>
      </c>
      <c r="O460" t="s">
        <v>245</v>
      </c>
      <c r="P460" t="s">
        <v>245</v>
      </c>
      <c r="Q460" t="s">
        <v>455</v>
      </c>
      <c r="R460">
        <v>1</v>
      </c>
      <c r="S460">
        <v>1</v>
      </c>
      <c r="T460" t="s">
        <v>31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44926</v>
      </c>
      <c r="G461">
        <v>2022</v>
      </c>
      <c r="H461" t="s">
        <v>44</v>
      </c>
      <c r="I461" t="s">
        <v>45</v>
      </c>
      <c r="J461">
        <v>2</v>
      </c>
      <c r="K461">
        <v>6.5</v>
      </c>
      <c r="L461">
        <v>5</v>
      </c>
      <c r="M461">
        <v>0.76923076923076927</v>
      </c>
      <c r="N461">
        <v>0.76923076923076927</v>
      </c>
      <c r="Q461" t="s">
        <v>326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44926</v>
      </c>
      <c r="G462">
        <v>2022</v>
      </c>
      <c r="H462" t="s">
        <v>44</v>
      </c>
      <c r="I462" t="s">
        <v>45</v>
      </c>
      <c r="K462">
        <v>6.5</v>
      </c>
      <c r="L462">
        <v>5</v>
      </c>
      <c r="M462">
        <v>0.76923076923076927</v>
      </c>
      <c r="N462">
        <v>0.76923076923076927</v>
      </c>
      <c r="O462" t="s">
        <v>245</v>
      </c>
      <c r="P462" t="s">
        <v>35</v>
      </c>
      <c r="Q462" t="s">
        <v>326</v>
      </c>
      <c r="R462">
        <v>1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45291</v>
      </c>
      <c r="G463">
        <v>2023</v>
      </c>
      <c r="H463" t="s">
        <v>44</v>
      </c>
      <c r="I463" t="s">
        <v>49</v>
      </c>
      <c r="J463">
        <v>2</v>
      </c>
      <c r="K463">
        <v>6</v>
      </c>
      <c r="L463">
        <v>6</v>
      </c>
      <c r="M463">
        <v>1</v>
      </c>
      <c r="N463">
        <v>1</v>
      </c>
      <c r="Q463" t="s">
        <v>327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45291</v>
      </c>
      <c r="G464">
        <v>2023</v>
      </c>
      <c r="H464" t="s">
        <v>44</v>
      </c>
      <c r="I464" t="s">
        <v>49</v>
      </c>
      <c r="K464">
        <v>6</v>
      </c>
      <c r="L464">
        <v>6</v>
      </c>
      <c r="M464">
        <v>1</v>
      </c>
      <c r="N464">
        <v>1</v>
      </c>
      <c r="O464" t="s">
        <v>35</v>
      </c>
      <c r="P464" t="s">
        <v>35</v>
      </c>
      <c r="Q464" t="s">
        <v>327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45657</v>
      </c>
      <c r="G465">
        <v>2024</v>
      </c>
      <c r="H465" t="s">
        <v>44</v>
      </c>
      <c r="I465" t="s">
        <v>53</v>
      </c>
      <c r="J465">
        <v>2</v>
      </c>
      <c r="K465">
        <v>7</v>
      </c>
      <c r="L465">
        <v>9</v>
      </c>
      <c r="M465">
        <v>1.285714285714286</v>
      </c>
      <c r="N465">
        <v>1.285714285714286</v>
      </c>
      <c r="Q465" t="s">
        <v>328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424</v>
      </c>
      <c r="B466" t="s">
        <v>325</v>
      </c>
      <c r="C466" t="s">
        <v>83</v>
      </c>
      <c r="D466" t="s">
        <v>66</v>
      </c>
      <c r="E466" t="s">
        <v>32</v>
      </c>
      <c r="F466" s="3">
        <v>45657</v>
      </c>
      <c r="G466">
        <v>2024</v>
      </c>
      <c r="H466" t="s">
        <v>44</v>
      </c>
      <c r="I466" t="s">
        <v>53</v>
      </c>
      <c r="K466">
        <v>7</v>
      </c>
      <c r="L466">
        <v>9</v>
      </c>
      <c r="M466">
        <v>1.285714285714286</v>
      </c>
      <c r="N466">
        <v>1.285714285714286</v>
      </c>
      <c r="O466" t="s">
        <v>35</v>
      </c>
      <c r="P466" t="s">
        <v>35</v>
      </c>
      <c r="Q466" t="s">
        <v>328</v>
      </c>
      <c r="R466">
        <v>0</v>
      </c>
      <c r="S466">
        <v>0</v>
      </c>
      <c r="T466" t="s">
        <v>443</v>
      </c>
      <c r="U466" t="s">
        <v>37</v>
      </c>
      <c r="V466" t="s">
        <v>83</v>
      </c>
      <c r="W466" t="s">
        <v>38</v>
      </c>
      <c r="X466" t="s">
        <v>39</v>
      </c>
      <c r="Y466" t="s">
        <v>322</v>
      </c>
      <c r="Z466" t="s">
        <v>274</v>
      </c>
      <c r="AA466" t="s">
        <v>275</v>
      </c>
      <c r="AB466" t="s">
        <v>43</v>
      </c>
      <c r="AC466" t="s">
        <v>66</v>
      </c>
    </row>
    <row r="467" spans="1:29" x14ac:dyDescent="0.3">
      <c r="A467">
        <v>424</v>
      </c>
      <c r="B467" t="s">
        <v>325</v>
      </c>
      <c r="C467" t="s">
        <v>83</v>
      </c>
      <c r="D467" t="s">
        <v>66</v>
      </c>
      <c r="E467" t="s">
        <v>32</v>
      </c>
      <c r="F467" s="3">
        <v>46022</v>
      </c>
      <c r="G467">
        <v>2025</v>
      </c>
      <c r="H467" t="s">
        <v>44</v>
      </c>
      <c r="I467" t="s">
        <v>465</v>
      </c>
      <c r="J467">
        <v>2</v>
      </c>
      <c r="K467">
        <v>9</v>
      </c>
      <c r="L467">
        <v>11</v>
      </c>
      <c r="O467" t="s">
        <v>35</v>
      </c>
      <c r="P467" t="s">
        <v>35</v>
      </c>
      <c r="Q467" t="s">
        <v>495</v>
      </c>
      <c r="R467">
        <v>0</v>
      </c>
      <c r="S467">
        <v>0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45291</v>
      </c>
      <c r="G468">
        <v>2023</v>
      </c>
      <c r="H468" t="s">
        <v>44</v>
      </c>
      <c r="I468" t="s">
        <v>49</v>
      </c>
      <c r="L468">
        <v>94.85</v>
      </c>
      <c r="O468" t="s">
        <v>284</v>
      </c>
      <c r="P468" t="s">
        <v>58</v>
      </c>
      <c r="Q468" t="s">
        <v>449</v>
      </c>
      <c r="R468">
        <v>0</v>
      </c>
      <c r="S468">
        <v>0</v>
      </c>
      <c r="T468" t="s">
        <v>443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J469">
        <v>2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0</v>
      </c>
      <c r="T469" t="s">
        <v>31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45657</v>
      </c>
      <c r="G470">
        <v>2024</v>
      </c>
      <c r="H470" t="s">
        <v>44</v>
      </c>
      <c r="I470" t="s">
        <v>53</v>
      </c>
      <c r="J470">
        <v>2</v>
      </c>
      <c r="L470">
        <v>94.85</v>
      </c>
      <c r="O470" t="s">
        <v>284</v>
      </c>
      <c r="P470" t="s">
        <v>58</v>
      </c>
      <c r="Q470" t="s">
        <v>330</v>
      </c>
      <c r="R470">
        <v>0</v>
      </c>
      <c r="S470">
        <v>0</v>
      </c>
      <c r="T470" t="s">
        <v>31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x14ac:dyDescent="0.3">
      <c r="A471">
        <v>460</v>
      </c>
      <c r="B471" t="s">
        <v>329</v>
      </c>
      <c r="C471" t="s">
        <v>130</v>
      </c>
      <c r="D471" t="s">
        <v>66</v>
      </c>
      <c r="E471" t="s">
        <v>32</v>
      </c>
      <c r="F471" s="3">
        <v>45657</v>
      </c>
      <c r="G471">
        <v>2024</v>
      </c>
      <c r="H471" t="s">
        <v>44</v>
      </c>
      <c r="I471" t="s">
        <v>53</v>
      </c>
      <c r="K471">
        <v>80</v>
      </c>
      <c r="L471">
        <v>91.44</v>
      </c>
      <c r="M471">
        <v>1.143</v>
      </c>
      <c r="N471">
        <v>1.143</v>
      </c>
      <c r="O471" t="s">
        <v>58</v>
      </c>
      <c r="P471" t="s">
        <v>58</v>
      </c>
      <c r="Q471" t="s">
        <v>330</v>
      </c>
      <c r="R471">
        <v>0</v>
      </c>
      <c r="S471">
        <v>1</v>
      </c>
      <c r="T471" t="s">
        <v>443</v>
      </c>
      <c r="U471" t="s">
        <v>37</v>
      </c>
      <c r="V471" t="s">
        <v>130</v>
      </c>
      <c r="W471" t="s">
        <v>73</v>
      </c>
      <c r="X471" t="s">
        <v>218</v>
      </c>
      <c r="Y471" t="s">
        <v>331</v>
      </c>
      <c r="Z471" t="s">
        <v>134</v>
      </c>
      <c r="AA471" t="s">
        <v>135</v>
      </c>
      <c r="AB471" t="s">
        <v>43</v>
      </c>
      <c r="AC471" t="s">
        <v>66</v>
      </c>
    </row>
    <row r="472" spans="1:29" x14ac:dyDescent="0.3">
      <c r="A472">
        <v>460</v>
      </c>
      <c r="B472" t="s">
        <v>329</v>
      </c>
      <c r="C472" t="s">
        <v>130</v>
      </c>
      <c r="D472" t="s">
        <v>66</v>
      </c>
      <c r="E472" t="s">
        <v>32</v>
      </c>
      <c r="F472" s="3">
        <v>45838</v>
      </c>
      <c r="G472">
        <v>2025</v>
      </c>
      <c r="H472" t="s">
        <v>33</v>
      </c>
      <c r="I472" t="s">
        <v>404</v>
      </c>
      <c r="K472">
        <v>80</v>
      </c>
      <c r="L472">
        <v>91.44</v>
      </c>
      <c r="M472">
        <v>1.143</v>
      </c>
      <c r="N472">
        <v>1.143</v>
      </c>
      <c r="O472" t="s">
        <v>58</v>
      </c>
      <c r="P472" t="s">
        <v>58</v>
      </c>
      <c r="Q472" t="s">
        <v>454</v>
      </c>
      <c r="R472">
        <v>0</v>
      </c>
      <c r="S472">
        <v>1</v>
      </c>
      <c r="T472" t="s">
        <v>443</v>
      </c>
      <c r="U472" t="s">
        <v>37</v>
      </c>
      <c r="V472" t="s">
        <v>130</v>
      </c>
      <c r="W472" t="s">
        <v>73</v>
      </c>
      <c r="X472" t="s">
        <v>218</v>
      </c>
      <c r="Y472" t="s">
        <v>331</v>
      </c>
      <c r="Z472" t="s">
        <v>134</v>
      </c>
      <c r="AA472" t="s">
        <v>135</v>
      </c>
      <c r="AB472" t="s">
        <v>43</v>
      </c>
      <c r="AC472" t="s">
        <v>66</v>
      </c>
    </row>
    <row r="473" spans="1:29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44926</v>
      </c>
      <c r="G473">
        <v>2022</v>
      </c>
      <c r="H473" t="s">
        <v>44</v>
      </c>
      <c r="I473" t="s">
        <v>45</v>
      </c>
      <c r="J473">
        <v>2</v>
      </c>
      <c r="K473">
        <v>25</v>
      </c>
      <c r="L473">
        <v>43.56</v>
      </c>
      <c r="M473">
        <v>1.3</v>
      </c>
      <c r="N473">
        <v>1.7423999999999999</v>
      </c>
      <c r="O473" t="s">
        <v>35</v>
      </c>
      <c r="P473" t="s">
        <v>245</v>
      </c>
      <c r="Q473" t="s">
        <v>451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J474">
        <v>2</v>
      </c>
      <c r="K474">
        <v>42</v>
      </c>
      <c r="L474">
        <v>53.34</v>
      </c>
      <c r="M474">
        <v>1.27</v>
      </c>
      <c r="N474"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31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K475">
        <v>25</v>
      </c>
      <c r="L475">
        <v>43.56</v>
      </c>
      <c r="M475">
        <v>1.3</v>
      </c>
      <c r="N475">
        <v>1.7423999999999999</v>
      </c>
      <c r="O475" t="s">
        <v>35</v>
      </c>
      <c r="P475" t="s">
        <v>245</v>
      </c>
      <c r="Q475" t="s">
        <v>451</v>
      </c>
      <c r="R475">
        <v>1</v>
      </c>
      <c r="S475">
        <v>1</v>
      </c>
      <c r="T475" t="s">
        <v>443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x14ac:dyDescent="0.3">
      <c r="A476">
        <v>466</v>
      </c>
      <c r="B476" t="s">
        <v>341</v>
      </c>
      <c r="C476" t="s">
        <v>30</v>
      </c>
      <c r="D476" t="s">
        <v>31</v>
      </c>
      <c r="E476" t="s">
        <v>32</v>
      </c>
      <c r="F476" s="3">
        <v>45291</v>
      </c>
      <c r="G476">
        <v>2023</v>
      </c>
      <c r="H476" t="s">
        <v>44</v>
      </c>
      <c r="I476" t="s">
        <v>49</v>
      </c>
      <c r="K476">
        <v>42</v>
      </c>
      <c r="L476">
        <v>53.34</v>
      </c>
      <c r="M476">
        <v>1.27</v>
      </c>
      <c r="N476">
        <v>1.27</v>
      </c>
      <c r="O476" t="s">
        <v>35</v>
      </c>
      <c r="P476" t="s">
        <v>245</v>
      </c>
      <c r="Q476" t="s">
        <v>452</v>
      </c>
      <c r="R476">
        <v>1</v>
      </c>
      <c r="S476">
        <v>1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x14ac:dyDescent="0.3">
      <c r="A477">
        <v>466</v>
      </c>
      <c r="B477" t="s">
        <v>341</v>
      </c>
      <c r="C477" t="s">
        <v>342</v>
      </c>
      <c r="D477" t="s">
        <v>31</v>
      </c>
      <c r="E477" t="s">
        <v>32</v>
      </c>
      <c r="F477" s="3">
        <v>45473</v>
      </c>
      <c r="G477">
        <v>2024</v>
      </c>
      <c r="H477" t="s">
        <v>33</v>
      </c>
      <c r="I477" t="s">
        <v>51</v>
      </c>
      <c r="J477">
        <v>1</v>
      </c>
      <c r="K477">
        <v>50</v>
      </c>
      <c r="L477">
        <v>59.6</v>
      </c>
      <c r="M477">
        <v>1.1919999999999999</v>
      </c>
      <c r="N477">
        <v>1.1919999999999999</v>
      </c>
      <c r="O477" t="s">
        <v>35</v>
      </c>
      <c r="P477" t="s">
        <v>245</v>
      </c>
      <c r="Q477" t="s">
        <v>343</v>
      </c>
      <c r="R477">
        <v>0</v>
      </c>
      <c r="S477">
        <v>0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x14ac:dyDescent="0.3">
      <c r="A478">
        <v>466</v>
      </c>
      <c r="B478" t="s">
        <v>341</v>
      </c>
      <c r="C478" t="s">
        <v>342</v>
      </c>
      <c r="D478" t="s">
        <v>31</v>
      </c>
      <c r="E478" t="s">
        <v>32</v>
      </c>
      <c r="F478" s="3">
        <v>45657</v>
      </c>
      <c r="G478">
        <v>2024</v>
      </c>
      <c r="H478" t="s">
        <v>44</v>
      </c>
      <c r="I478" t="s">
        <v>53</v>
      </c>
      <c r="K478">
        <v>50</v>
      </c>
      <c r="L478">
        <v>53.8</v>
      </c>
      <c r="M478">
        <v>1.0760000000000001</v>
      </c>
      <c r="N478">
        <v>1.0760000000000001</v>
      </c>
      <c r="O478" t="s">
        <v>35</v>
      </c>
      <c r="P478" t="s">
        <v>245</v>
      </c>
      <c r="Q478" t="s">
        <v>344</v>
      </c>
      <c r="R478">
        <v>0</v>
      </c>
      <c r="S478">
        <v>0</v>
      </c>
      <c r="T478" t="s">
        <v>443</v>
      </c>
      <c r="U478" t="s">
        <v>37</v>
      </c>
      <c r="V478" t="s">
        <v>342</v>
      </c>
      <c r="W478" t="s">
        <v>112</v>
      </c>
      <c r="X478" t="s">
        <v>113</v>
      </c>
      <c r="Y478" t="s">
        <v>114</v>
      </c>
      <c r="Z478" t="s">
        <v>41</v>
      </c>
      <c r="AA478" t="s">
        <v>102</v>
      </c>
      <c r="AB478" t="s">
        <v>43</v>
      </c>
      <c r="AC478" t="s">
        <v>66</v>
      </c>
    </row>
    <row r="479" spans="1:29" x14ac:dyDescent="0.3">
      <c r="A479">
        <v>466</v>
      </c>
      <c r="B479" t="s">
        <v>341</v>
      </c>
      <c r="C479" t="s">
        <v>30</v>
      </c>
      <c r="D479" t="s">
        <v>31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50</v>
      </c>
      <c r="L479">
        <v>53.8</v>
      </c>
      <c r="M479">
        <v>1.0760000000000001</v>
      </c>
      <c r="N479">
        <v>1.0760000000000001</v>
      </c>
      <c r="O479" t="s">
        <v>35</v>
      </c>
      <c r="P479" t="s">
        <v>245</v>
      </c>
      <c r="Q479" t="s">
        <v>344</v>
      </c>
      <c r="R479">
        <v>1</v>
      </c>
      <c r="S479">
        <v>1</v>
      </c>
      <c r="T479" t="s">
        <v>31</v>
      </c>
      <c r="U479" t="s">
        <v>37</v>
      </c>
      <c r="V479" t="s">
        <v>342</v>
      </c>
      <c r="W479" t="s">
        <v>112</v>
      </c>
      <c r="X479" t="s">
        <v>113</v>
      </c>
      <c r="Y479" t="s">
        <v>114</v>
      </c>
      <c r="Z479" t="s">
        <v>41</v>
      </c>
      <c r="AA479" t="s">
        <v>102</v>
      </c>
      <c r="AB479" t="s">
        <v>43</v>
      </c>
      <c r="AC479" t="s">
        <v>66</v>
      </c>
    </row>
    <row r="480" spans="1:29" x14ac:dyDescent="0.3">
      <c r="A480">
        <v>466</v>
      </c>
      <c r="B480" t="s">
        <v>341</v>
      </c>
      <c r="C480" t="s">
        <v>30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50</v>
      </c>
      <c r="L480">
        <v>58.6</v>
      </c>
      <c r="M480">
        <f>+L480/K480</f>
        <v>1.1719999999999999</v>
      </c>
      <c r="N480">
        <v>1.0760000000000001</v>
      </c>
      <c r="O480" t="s">
        <v>35</v>
      </c>
      <c r="P480" t="s">
        <v>245</v>
      </c>
      <c r="Q480" t="s">
        <v>457</v>
      </c>
      <c r="R480">
        <v>1</v>
      </c>
      <c r="S480">
        <v>1</v>
      </c>
      <c r="T480" t="s">
        <v>31</v>
      </c>
      <c r="U480" t="s">
        <v>37</v>
      </c>
      <c r="V480" t="s">
        <v>342</v>
      </c>
      <c r="W480" t="s">
        <v>112</v>
      </c>
      <c r="X480" t="s">
        <v>113</v>
      </c>
      <c r="Y480" t="s">
        <v>114</v>
      </c>
      <c r="Z480" t="s">
        <v>41</v>
      </c>
      <c r="AA480" t="s">
        <v>102</v>
      </c>
      <c r="AB480" t="s">
        <v>43</v>
      </c>
      <c r="AC480" t="s">
        <v>66</v>
      </c>
    </row>
    <row r="481" spans="1:29" x14ac:dyDescent="0.3">
      <c r="A481">
        <v>203</v>
      </c>
      <c r="B481" t="s">
        <v>141</v>
      </c>
      <c r="C481" t="s">
        <v>142</v>
      </c>
      <c r="D481" t="s">
        <v>31</v>
      </c>
      <c r="E481" t="s">
        <v>32</v>
      </c>
      <c r="F481" s="3">
        <v>46022</v>
      </c>
      <c r="G481">
        <f>YEAR(F481)</f>
        <v>2025</v>
      </c>
      <c r="H481" t="str">
        <f>PROPER(TEXT(F481,"mmmm"))</f>
        <v>Diciembre</v>
      </c>
      <c r="I481" t="str">
        <f>IF(H481="Junio",G481&amp;"-1",G481&amp;"-2")</f>
        <v>2025-2</v>
      </c>
      <c r="J481">
        <v>2</v>
      </c>
      <c r="L481">
        <v>149949.86906172594</v>
      </c>
      <c r="O481" t="s">
        <v>143</v>
      </c>
      <c r="P481" t="s">
        <v>143</v>
      </c>
      <c r="Q481" t="str">
        <f>A481&amp;"-"&amp;TEXT(F481,"yyyy-mm-dd")</f>
        <v>203-2025-12-31</v>
      </c>
      <c r="R481">
        <v>0</v>
      </c>
      <c r="S481">
        <v>0</v>
      </c>
      <c r="T481" t="s">
        <v>31</v>
      </c>
      <c r="U481" t="s">
        <v>37</v>
      </c>
      <c r="V481" t="s">
        <v>142</v>
      </c>
      <c r="W481" t="s">
        <v>145</v>
      </c>
      <c r="X481" t="s">
        <v>146</v>
      </c>
      <c r="Y481" t="s">
        <v>147</v>
      </c>
      <c r="Z481" t="s">
        <v>63</v>
      </c>
      <c r="AA481" t="s">
        <v>148</v>
      </c>
      <c r="AB481" t="s">
        <v>78</v>
      </c>
      <c r="AC481" t="s">
        <v>66</v>
      </c>
    </row>
    <row r="482" spans="1:29" x14ac:dyDescent="0.3">
      <c r="A482">
        <v>203</v>
      </c>
      <c r="B482" t="s">
        <v>141</v>
      </c>
      <c r="C482" t="s">
        <v>142</v>
      </c>
      <c r="D482" t="s">
        <v>31</v>
      </c>
      <c r="E482" t="s">
        <v>32</v>
      </c>
      <c r="F482" s="3">
        <v>46022</v>
      </c>
      <c r="G482">
        <f>YEAR(F482)</f>
        <v>2025</v>
      </c>
      <c r="H482" t="str">
        <f>PROPER(TEXT(F482,"mmmm"))</f>
        <v>Diciembre</v>
      </c>
      <c r="I482" t="str">
        <f>IF(H482="Junio",G482&amp;"-1",G482&amp;"-2")</f>
        <v>2025-2</v>
      </c>
      <c r="L482">
        <v>309304.69728996162</v>
      </c>
      <c r="O482" t="s">
        <v>143</v>
      </c>
      <c r="P482" t="s">
        <v>143</v>
      </c>
      <c r="Q482" t="str">
        <f>A482&amp;"-"&amp;TEXT(F482,"yyyy-mm-dd")</f>
        <v>203-2025-12-31</v>
      </c>
      <c r="R482">
        <v>0</v>
      </c>
      <c r="S482">
        <v>0</v>
      </c>
      <c r="T482" t="s">
        <v>443</v>
      </c>
      <c r="U482" t="s">
        <v>37</v>
      </c>
      <c r="V482" t="s">
        <v>142</v>
      </c>
      <c r="W482" t="s">
        <v>145</v>
      </c>
      <c r="X482" t="s">
        <v>146</v>
      </c>
      <c r="Y482" t="s">
        <v>147</v>
      </c>
      <c r="Z482" t="s">
        <v>63</v>
      </c>
      <c r="AA482" t="s">
        <v>148</v>
      </c>
      <c r="AB482" t="s">
        <v>78</v>
      </c>
      <c r="AC482" t="s">
        <v>66</v>
      </c>
    </row>
    <row r="483" spans="1:29" x14ac:dyDescent="0.3">
      <c r="A483">
        <v>148</v>
      </c>
      <c r="B483" t="s">
        <v>104</v>
      </c>
      <c r="C483" t="s">
        <v>105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J483">
        <v>2</v>
      </c>
      <c r="K483">
        <v>5.2</v>
      </c>
      <c r="L483">
        <v>5.2</v>
      </c>
      <c r="M483">
        <v>1.02</v>
      </c>
      <c r="N483">
        <v>1.02</v>
      </c>
      <c r="O483" t="s">
        <v>58</v>
      </c>
      <c r="P483" t="s">
        <v>58</v>
      </c>
      <c r="Q483" t="s">
        <v>406</v>
      </c>
      <c r="R483">
        <v>0</v>
      </c>
      <c r="S483">
        <v>1</v>
      </c>
      <c r="T483" t="s">
        <v>31</v>
      </c>
      <c r="U483" t="s">
        <v>37</v>
      </c>
      <c r="V483" t="s">
        <v>105</v>
      </c>
      <c r="W483" t="s">
        <v>73</v>
      </c>
      <c r="X483" t="s">
        <v>74</v>
      </c>
      <c r="Y483" t="s">
        <v>75</v>
      </c>
      <c r="Z483" t="s">
        <v>76</v>
      </c>
      <c r="AA483" t="s">
        <v>77</v>
      </c>
      <c r="AB483" t="s">
        <v>43</v>
      </c>
      <c r="AC483" t="s">
        <v>31</v>
      </c>
    </row>
    <row r="484" spans="1:29" x14ac:dyDescent="0.3">
      <c r="A484">
        <v>466</v>
      </c>
      <c r="B484" t="s">
        <v>341</v>
      </c>
      <c r="C484" t="s">
        <v>30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>
        <v>55</v>
      </c>
      <c r="L484">
        <v>58.6</v>
      </c>
      <c r="M484">
        <f>+L484/K484</f>
        <v>1.0654545454545454</v>
      </c>
      <c r="N484">
        <v>1.0760000000000001</v>
      </c>
      <c r="O484" t="s">
        <v>35</v>
      </c>
      <c r="P484" t="s">
        <v>245</v>
      </c>
      <c r="Q484" t="s">
        <v>487</v>
      </c>
      <c r="R484">
        <v>1</v>
      </c>
      <c r="S484">
        <v>1</v>
      </c>
      <c r="T484" t="s">
        <v>443</v>
      </c>
      <c r="U484" t="s">
        <v>37</v>
      </c>
      <c r="V484" t="s">
        <v>342</v>
      </c>
      <c r="W484" t="s">
        <v>112</v>
      </c>
      <c r="X484" t="s">
        <v>113</v>
      </c>
      <c r="Y484" t="s">
        <v>114</v>
      </c>
      <c r="Z484" t="s">
        <v>41</v>
      </c>
      <c r="AA484" t="s">
        <v>102</v>
      </c>
      <c r="AB484" t="s">
        <v>43</v>
      </c>
      <c r="AC484" t="s">
        <v>66</v>
      </c>
    </row>
    <row r="485" spans="1:29" x14ac:dyDescent="0.3">
      <c r="A485">
        <v>109</v>
      </c>
      <c r="B485" t="s">
        <v>96</v>
      </c>
      <c r="C485" t="s">
        <v>99</v>
      </c>
      <c r="D485" t="s">
        <v>66</v>
      </c>
      <c r="E485" t="s">
        <v>32</v>
      </c>
      <c r="F485" s="3">
        <v>46022</v>
      </c>
      <c r="G485">
        <v>2024</v>
      </c>
      <c r="H485" t="s">
        <v>44</v>
      </c>
      <c r="I485" t="s">
        <v>465</v>
      </c>
      <c r="J485">
        <v>2</v>
      </c>
      <c r="K485">
        <v>80</v>
      </c>
      <c r="L485">
        <v>94</v>
      </c>
      <c r="M485">
        <f>+L485/K485</f>
        <v>1.175</v>
      </c>
      <c r="N485">
        <v>1.0625</v>
      </c>
      <c r="O485" t="s">
        <v>58</v>
      </c>
      <c r="P485" t="s">
        <v>58</v>
      </c>
      <c r="Q485" t="s">
        <v>488</v>
      </c>
      <c r="R485">
        <v>0</v>
      </c>
      <c r="S485">
        <v>0</v>
      </c>
      <c r="T485" t="s">
        <v>31</v>
      </c>
      <c r="U485" t="s">
        <v>37</v>
      </c>
      <c r="V485" t="s">
        <v>99</v>
      </c>
      <c r="W485" t="s">
        <v>60</v>
      </c>
      <c r="X485" t="s">
        <v>100</v>
      </c>
      <c r="Z485" t="s">
        <v>101</v>
      </c>
      <c r="AA485" t="s">
        <v>102</v>
      </c>
      <c r="AB485" t="s">
        <v>65</v>
      </c>
      <c r="AC485" t="s">
        <v>66</v>
      </c>
    </row>
    <row r="486" spans="1:29" x14ac:dyDescent="0.3">
      <c r="A486">
        <v>386.1</v>
      </c>
      <c r="B486" t="s">
        <v>377</v>
      </c>
      <c r="C486" t="s">
        <v>310</v>
      </c>
      <c r="D486" t="s">
        <v>31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L486">
        <f>4042632396/1000000</f>
        <v>4042.632396</v>
      </c>
      <c r="O486" t="s">
        <v>143</v>
      </c>
      <c r="P486" t="s">
        <v>143</v>
      </c>
      <c r="Q486" t="s">
        <v>490</v>
      </c>
      <c r="R486">
        <v>0</v>
      </c>
      <c r="S486">
        <v>0</v>
      </c>
      <c r="T486" t="s">
        <v>443</v>
      </c>
      <c r="U486" t="s">
        <v>37</v>
      </c>
      <c r="V486" t="s">
        <v>310</v>
      </c>
      <c r="W486" t="s">
        <v>312</v>
      </c>
      <c r="X486" t="s">
        <v>313</v>
      </c>
      <c r="Y486" t="s">
        <v>314</v>
      </c>
      <c r="AB486" t="s">
        <v>78</v>
      </c>
      <c r="AC486" t="s">
        <v>66</v>
      </c>
    </row>
    <row r="487" spans="1:29" x14ac:dyDescent="0.3">
      <c r="A487">
        <v>385</v>
      </c>
      <c r="B487" t="s">
        <v>309</v>
      </c>
      <c r="C487" t="s">
        <v>310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f>17058242411/1000000</f>
        <v>17058.242410999999</v>
      </c>
      <c r="O487" t="s">
        <v>143</v>
      </c>
      <c r="P487" t="s">
        <v>143</v>
      </c>
      <c r="Q487" t="s">
        <v>486</v>
      </c>
      <c r="R487">
        <v>0</v>
      </c>
      <c r="S487">
        <v>0</v>
      </c>
      <c r="T487" t="s">
        <v>443</v>
      </c>
      <c r="U487" t="s">
        <v>37</v>
      </c>
      <c r="V487" t="s">
        <v>310</v>
      </c>
      <c r="W487" t="s">
        <v>312</v>
      </c>
      <c r="X487" t="s">
        <v>313</v>
      </c>
      <c r="Y487" t="s">
        <v>314</v>
      </c>
      <c r="AB487" t="s">
        <v>43</v>
      </c>
      <c r="AC487" t="s">
        <v>66</v>
      </c>
    </row>
    <row r="488" spans="1:29" x14ac:dyDescent="0.3">
      <c r="A488">
        <v>423</v>
      </c>
      <c r="B488" t="s">
        <v>320</v>
      </c>
      <c r="C488" t="s">
        <v>83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12</v>
      </c>
      <c r="L488">
        <v>15.1</v>
      </c>
      <c r="O488" t="s">
        <v>245</v>
      </c>
      <c r="P488" t="s">
        <v>245</v>
      </c>
      <c r="Q488" t="s">
        <v>494</v>
      </c>
      <c r="R488">
        <v>1</v>
      </c>
      <c r="S488">
        <v>1</v>
      </c>
      <c r="T488" t="s">
        <v>443</v>
      </c>
      <c r="U488" t="s">
        <v>37</v>
      </c>
      <c r="V488" t="s">
        <v>83</v>
      </c>
      <c r="W488" t="s">
        <v>38</v>
      </c>
      <c r="X488" t="s">
        <v>39</v>
      </c>
      <c r="Y488" t="s">
        <v>322</v>
      </c>
      <c r="Z488" t="s">
        <v>274</v>
      </c>
      <c r="AA488" t="s">
        <v>275</v>
      </c>
      <c r="AB488" t="s">
        <v>43</v>
      </c>
      <c r="AC488" t="s">
        <v>66</v>
      </c>
    </row>
    <row r="489" spans="1:29" x14ac:dyDescent="0.3">
      <c r="A489">
        <v>424</v>
      </c>
      <c r="B489" t="s">
        <v>325</v>
      </c>
      <c r="C489" t="s">
        <v>83</v>
      </c>
      <c r="D489" t="s">
        <v>66</v>
      </c>
      <c r="E489" t="s">
        <v>32</v>
      </c>
      <c r="F489" s="3">
        <v>46022</v>
      </c>
      <c r="G489">
        <v>2025</v>
      </c>
      <c r="H489" t="s">
        <v>44</v>
      </c>
      <c r="I489" t="s">
        <v>465</v>
      </c>
      <c r="K489">
        <v>9</v>
      </c>
      <c r="L489">
        <v>11</v>
      </c>
      <c r="O489" t="s">
        <v>35</v>
      </c>
      <c r="P489" t="s">
        <v>35</v>
      </c>
      <c r="Q489" t="s">
        <v>495</v>
      </c>
      <c r="R489">
        <v>0</v>
      </c>
      <c r="S489">
        <v>0</v>
      </c>
      <c r="T489" t="s">
        <v>443</v>
      </c>
      <c r="U489" t="s">
        <v>37</v>
      </c>
      <c r="V489" t="s">
        <v>83</v>
      </c>
      <c r="W489" t="s">
        <v>38</v>
      </c>
      <c r="X489" t="s">
        <v>39</v>
      </c>
      <c r="Y489" t="s">
        <v>322</v>
      </c>
      <c r="Z489" t="s">
        <v>274</v>
      </c>
      <c r="AA489" t="s">
        <v>275</v>
      </c>
      <c r="AB489" t="s">
        <v>43</v>
      </c>
      <c r="AC489" t="s">
        <v>66</v>
      </c>
    </row>
    <row r="490" spans="1:29" x14ac:dyDescent="0.3">
      <c r="A490">
        <v>377</v>
      </c>
      <c r="B490" t="s">
        <v>296</v>
      </c>
      <c r="C490" t="s">
        <v>142</v>
      </c>
      <c r="D490" t="s">
        <v>31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L490">
        <v>10285.243493</v>
      </c>
      <c r="O490" t="s">
        <v>143</v>
      </c>
      <c r="P490" t="s">
        <v>143</v>
      </c>
      <c r="Q490" t="s">
        <v>497</v>
      </c>
      <c r="R490">
        <v>0</v>
      </c>
      <c r="S490">
        <v>0</v>
      </c>
      <c r="T490" t="s">
        <v>443</v>
      </c>
      <c r="U490" t="s">
        <v>37</v>
      </c>
      <c r="V490" t="s">
        <v>142</v>
      </c>
      <c r="W490" t="s">
        <v>145</v>
      </c>
      <c r="X490" t="s">
        <v>146</v>
      </c>
      <c r="Y490" t="s">
        <v>147</v>
      </c>
      <c r="Z490" t="s">
        <v>63</v>
      </c>
      <c r="AA490" t="s">
        <v>148</v>
      </c>
      <c r="AB490" t="s">
        <v>78</v>
      </c>
      <c r="AC490" t="s">
        <v>66</v>
      </c>
    </row>
    <row r="491" spans="1:29" x14ac:dyDescent="0.3">
      <c r="A491">
        <v>367</v>
      </c>
      <c r="B491" t="s">
        <v>500</v>
      </c>
      <c r="C491" t="s">
        <v>267</v>
      </c>
      <c r="D491" t="s">
        <v>66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5</v>
      </c>
      <c r="L491">
        <v>5</v>
      </c>
      <c r="O491" t="s">
        <v>58</v>
      </c>
      <c r="P491" t="s">
        <v>58</v>
      </c>
      <c r="Q491" t="s">
        <v>499</v>
      </c>
      <c r="R491">
        <v>1</v>
      </c>
      <c r="S491">
        <v>2</v>
      </c>
      <c r="T491" t="s">
        <v>31</v>
      </c>
      <c r="U491" t="s">
        <v>37</v>
      </c>
      <c r="V491" t="s">
        <v>267</v>
      </c>
      <c r="W491" t="s">
        <v>145</v>
      </c>
      <c r="X491" t="s">
        <v>179</v>
      </c>
      <c r="Y491" t="s">
        <v>281</v>
      </c>
      <c r="Z491" t="s">
        <v>41</v>
      </c>
      <c r="AA491" t="s">
        <v>42</v>
      </c>
      <c r="AB491" t="s">
        <v>43</v>
      </c>
      <c r="AC491" t="s">
        <v>66</v>
      </c>
    </row>
    <row r="492" spans="1:29" x14ac:dyDescent="0.3">
      <c r="A492">
        <v>244</v>
      </c>
      <c r="B492" t="s">
        <v>182</v>
      </c>
      <c r="C492" t="s">
        <v>177</v>
      </c>
      <c r="D492" t="s">
        <v>66</v>
      </c>
      <c r="E492" t="s">
        <v>171</v>
      </c>
      <c r="F492" s="3">
        <v>46022</v>
      </c>
      <c r="G492">
        <v>2025</v>
      </c>
      <c r="H492" t="s">
        <v>44</v>
      </c>
      <c r="I492" t="s">
        <v>465</v>
      </c>
      <c r="K492">
        <v>25</v>
      </c>
      <c r="L492">
        <v>25</v>
      </c>
      <c r="M492">
        <v>1</v>
      </c>
      <c r="N492">
        <v>1</v>
      </c>
      <c r="O492" t="s">
        <v>35</v>
      </c>
      <c r="P492" t="s">
        <v>35</v>
      </c>
      <c r="Q492" t="s">
        <v>501</v>
      </c>
      <c r="R492">
        <v>0</v>
      </c>
      <c r="S492">
        <v>0</v>
      </c>
      <c r="T492" t="s">
        <v>31</v>
      </c>
      <c r="U492" t="s">
        <v>37</v>
      </c>
      <c r="V492" t="s">
        <v>177</v>
      </c>
      <c r="W492" t="s">
        <v>145</v>
      </c>
      <c r="X492" t="s">
        <v>179</v>
      </c>
      <c r="Y492" t="s">
        <v>180</v>
      </c>
      <c r="Z492" t="s">
        <v>63</v>
      </c>
      <c r="AA492" t="s">
        <v>64</v>
      </c>
      <c r="AB492" t="s">
        <v>43</v>
      </c>
      <c r="AC492" t="s">
        <v>66</v>
      </c>
    </row>
    <row r="493" spans="1:29" x14ac:dyDescent="0.3">
      <c r="A493">
        <v>334</v>
      </c>
      <c r="B493" t="s">
        <v>248</v>
      </c>
      <c r="C493" t="s">
        <v>130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89</v>
      </c>
      <c r="L493">
        <v>89</v>
      </c>
      <c r="M493">
        <v>1</v>
      </c>
      <c r="N493">
        <v>1</v>
      </c>
      <c r="O493" t="s">
        <v>35</v>
      </c>
      <c r="P493" t="s">
        <v>245</v>
      </c>
      <c r="Q493" t="s">
        <v>505</v>
      </c>
      <c r="R493">
        <v>0</v>
      </c>
      <c r="S493">
        <v>1</v>
      </c>
      <c r="T493" t="s">
        <v>443</v>
      </c>
      <c r="U493" t="s">
        <v>37</v>
      </c>
      <c r="V493" t="s">
        <v>130</v>
      </c>
      <c r="W493" t="s">
        <v>60</v>
      </c>
      <c r="X493" t="s">
        <v>100</v>
      </c>
      <c r="Y493" t="s">
        <v>241</v>
      </c>
      <c r="Z493" t="s">
        <v>134</v>
      </c>
      <c r="AA493" t="s">
        <v>250</v>
      </c>
      <c r="AB493" t="s">
        <v>43</v>
      </c>
      <c r="AC493" t="s">
        <v>66</v>
      </c>
    </row>
    <row r="494" spans="1:29" x14ac:dyDescent="0.3">
      <c r="A494">
        <v>96</v>
      </c>
      <c r="B494" t="s">
        <v>70</v>
      </c>
      <c r="C494" t="s">
        <v>71</v>
      </c>
      <c r="D494" t="s">
        <v>66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L494">
        <v>740</v>
      </c>
      <c r="O494" t="s">
        <v>35</v>
      </c>
      <c r="P494" t="s">
        <v>35</v>
      </c>
      <c r="Q494" t="s">
        <v>508</v>
      </c>
      <c r="R494">
        <v>0</v>
      </c>
      <c r="S494">
        <v>0</v>
      </c>
      <c r="T494" t="s">
        <v>443</v>
      </c>
      <c r="U494" t="s">
        <v>37</v>
      </c>
      <c r="V494" t="s">
        <v>71</v>
      </c>
      <c r="W494" t="s">
        <v>73</v>
      </c>
      <c r="X494" t="s">
        <v>74</v>
      </c>
      <c r="Y494" t="s">
        <v>75</v>
      </c>
      <c r="Z494" t="s">
        <v>76</v>
      </c>
      <c r="AA494" t="s">
        <v>77</v>
      </c>
      <c r="AB494" t="s">
        <v>78</v>
      </c>
      <c r="AC494" t="s">
        <v>66</v>
      </c>
    </row>
  </sheetData>
  <sortState xmlns:xlrd2="http://schemas.microsoft.com/office/spreadsheetml/2017/richdata2" ref="A2:AC480">
    <sortCondition ref="A2:A480"/>
    <sortCondition ref="F2:F48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2025-11-20T06:43:10Z</dcterms:modified>
</cp:coreProperties>
</file>