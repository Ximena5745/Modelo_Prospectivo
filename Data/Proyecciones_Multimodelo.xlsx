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spectiva/Data/"/>
    </mc:Choice>
  </mc:AlternateContent>
  <xr:revisionPtr revIDLastSave="1219" documentId="8_{44BC8EE8-0004-4F82-B9F9-910542D6C047}" xr6:coauthVersionLast="47" xr6:coauthVersionMax="47" xr10:uidLastSave="{EA794EB9-7572-453E-944A-9BAB9D934927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Proyecciones!$A$1:$I$562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H40" i="1"/>
  <c r="G41" i="1"/>
  <c r="I41" i="1" s="1"/>
  <c r="D39" i="1"/>
  <c r="D38" i="1"/>
  <c r="D37" i="1"/>
  <c r="H41" i="1" l="1"/>
  <c r="G42" i="1"/>
  <c r="G43" i="1" l="1"/>
  <c r="H42" i="1"/>
  <c r="I42" i="1"/>
  <c r="G44" i="1" l="1"/>
  <c r="H43" i="1"/>
  <c r="I43" i="1"/>
  <c r="G45" i="1" l="1"/>
  <c r="H44" i="1"/>
  <c r="I44" i="1"/>
  <c r="G46" i="1" l="1"/>
  <c r="H45" i="1"/>
  <c r="I45" i="1"/>
  <c r="G47" i="1" l="1"/>
  <c r="I46" i="1"/>
  <c r="H46" i="1"/>
  <c r="G48" i="1" l="1"/>
  <c r="H47" i="1"/>
  <c r="I47" i="1"/>
  <c r="G49" i="1" l="1"/>
  <c r="I48" i="1"/>
  <c r="H48" i="1"/>
  <c r="I49" i="1" l="1"/>
  <c r="H49" i="1"/>
</calcChain>
</file>

<file path=xl/sharedStrings.xml><?xml version="1.0" encoding="utf-8"?>
<sst xmlns="http://schemas.openxmlformats.org/spreadsheetml/2006/main" count="1902" uniqueCount="90">
  <si>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</si>
  <si>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</si>
  <si>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</si>
  <si>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</si>
  <si>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</si>
  <si>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</si>
  <si>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</si>
  <si>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</si>
  <si>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</si>
  <si>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</si>
  <si>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</si>
  <si>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</si>
  <si>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</si>
  <si>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</si>
  <si>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</si>
  <si>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</si>
  <si>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</si>
  <si>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</si>
  <si>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</si>
  <si>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</si>
  <si>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</si>
  <si>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</si>
  <si>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</si>
  <si>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</si>
  <si>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</si>
  <si>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</si>
  <si>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</si>
  <si>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</si>
  <si>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</si>
  <si>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</si>
  <si>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</si>
  <si>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</si>
  <si>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</si>
  <si>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</si>
  <si>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</si>
  <si>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</si>
  <si>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</si>
  <si>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</si>
  <si>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</si>
  <si>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</si>
  <si>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</si>
  <si>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</si>
  <si>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</si>
  <si>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</si>
  <si>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</si>
  <si>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</si>
  <si>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</si>
  <si>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</si>
  <si>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</si>
  <si>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</si>
  <si>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</si>
  <si>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</si>
  <si>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</si>
  <si>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</si>
  <si>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</si>
  <si>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</si>
  <si>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</si>
  <si>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</si>
  <si>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</si>
  <si>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</si>
  <si>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</si>
  <si>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</si>
  <si>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</si>
  <si>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</si>
  <si>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</si>
  <si>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</si>
  <si>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</si>
  <si>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</si>
  <si>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</si>
  <si>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</si>
  <si>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</si>
  <si>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</si>
  <si>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</si>
  <si>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</si>
  <si>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</si>
  <si>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</si>
  <si>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</si>
  <si>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</si>
  <si>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</si>
  <si>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</si>
  <si>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</si>
  <si>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</si>
  <si>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</si>
  <si>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</si>
  <si>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</si>
  <si>
    <t>Polinomial_Grado_4</t>
  </si>
  <si>
    <t>Tendencia_Historica</t>
  </si>
  <si>
    <t>Ensemble_Ponderado</t>
  </si>
  <si>
    <t>ARIMA</t>
  </si>
  <si>
    <t>Prophet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</si>
</sst>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567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90.466210501716631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92.466210501716631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94.466210501716631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96.466210501716631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98.817673270209056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f>+G40*0.97</f>
        <v>92.016971428571424</v>
      </c>
      <c r="I40">
        <f>+G40*1.005</f>
        <v>95.337171428571409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f>+G40*1.0035</f>
        <v>95.194877142857138</v>
      </c>
      <c r="H41">
        <f t="shared" ref="H41:H49" si="1">+G41*0.97</f>
        <v>92.339030828571424</v>
      </c>
      <c r="I41">
        <f t="shared" ref="I41:I49" si="2">+G41*1.005</f>
        <v>95.670851528571418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f t="shared" ref="G42:G49" si="3">+G41*1.0035</f>
        <v>95.528059212857144</v>
      </c>
      <c r="H42">
        <f t="shared" si="1"/>
        <v>92.662217436471423</v>
      </c>
      <c r="I42">
        <f t="shared" si="2"/>
        <v>96.005699508921424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f t="shared" si="3"/>
        <v>95.862407420102144</v>
      </c>
      <c r="H43">
        <f t="shared" si="1"/>
        <v>92.98653519749908</v>
      </c>
      <c r="I43">
        <f t="shared" si="2"/>
        <v>96.341719457202643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f t="shared" si="3"/>
        <v>96.197925846072508</v>
      </c>
      <c r="H44">
        <f t="shared" si="1"/>
        <v>93.311988070690333</v>
      </c>
      <c r="I44">
        <f t="shared" si="2"/>
        <v>96.678915475302858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f t="shared" si="3"/>
        <v>96.534618586533767</v>
      </c>
      <c r="H45">
        <f t="shared" si="1"/>
        <v>93.638580028937753</v>
      </c>
      <c r="I45">
        <f t="shared" si="2"/>
        <v>97.017291679466425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f t="shared" si="3"/>
        <v>96.872489751586642</v>
      </c>
      <c r="H46">
        <f t="shared" si="1"/>
        <v>93.966315059039033</v>
      </c>
      <c r="I46">
        <f t="shared" si="2"/>
        <v>97.356852200344562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f t="shared" si="3"/>
        <v>97.211543465717199</v>
      </c>
      <c r="H47">
        <f t="shared" si="1"/>
        <v>94.295197161745676</v>
      </c>
      <c r="I47">
        <f t="shared" si="2"/>
        <v>97.697601183045776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f t="shared" si="3"/>
        <v>97.55178386784722</v>
      </c>
      <c r="H48">
        <f t="shared" si="1"/>
        <v>94.625230351811794</v>
      </c>
      <c r="I48">
        <f t="shared" si="2"/>
        <v>98.039542787186448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f t="shared" si="3"/>
        <v>97.893215111384691</v>
      </c>
      <c r="H49">
        <f t="shared" si="1"/>
        <v>94.956418658043148</v>
      </c>
      <c r="I49">
        <f t="shared" si="2"/>
        <v>98.38268118694161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86</v>
      </c>
      <c r="G65">
        <v>208028</v>
      </c>
      <c r="H65">
        <v>196794.48</v>
      </c>
      <c r="I65">
        <v>219261.51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86</v>
      </c>
      <c r="G66">
        <v>221304.03</v>
      </c>
      <c r="H66">
        <v>208468.4</v>
      </c>
      <c r="I66">
        <v>234139.67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86</v>
      </c>
      <c r="G67">
        <v>235427.33</v>
      </c>
      <c r="H67">
        <v>220830.83</v>
      </c>
      <c r="I67">
        <v>250023.82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86</v>
      </c>
      <c r="G68">
        <v>250451.95</v>
      </c>
      <c r="H68">
        <v>233922.12</v>
      </c>
      <c r="I68">
        <v>266981.78000000003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86</v>
      </c>
      <c r="G69">
        <v>266435.42</v>
      </c>
      <c r="H69">
        <v>247784.94</v>
      </c>
      <c r="I69">
        <v>285085.90000000002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72.818857142857141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70.021785714285713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67.224714285714285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64.427642857142857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61.630571428571429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58.833500000000001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56.036428571428573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53.239357142857152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50.442285714285724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47.645214285714296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78.122336368158329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76.31640769303462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74.552226084515084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72.828826489220774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71.145266162598247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69.500624153213707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67.894000798968491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66.324517234960496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64.791314912722086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63.293555130571669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86</v>
      </c>
      <c r="G198">
        <v>11770.07</v>
      </c>
      <c r="H198">
        <v>11134.49</v>
      </c>
      <c r="I198">
        <v>12405.66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86</v>
      </c>
      <c r="G199">
        <v>12574.74</v>
      </c>
      <c r="H199">
        <v>11845.4</v>
      </c>
      <c r="I199">
        <v>13304.07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86</v>
      </c>
      <c r="G200">
        <v>13434.41</v>
      </c>
      <c r="H200">
        <v>12601.48</v>
      </c>
      <c r="I200">
        <v>14267.35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86</v>
      </c>
      <c r="G201">
        <v>14352.86</v>
      </c>
      <c r="H201">
        <v>13405.57</v>
      </c>
      <c r="I201">
        <v>15300.15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86</v>
      </c>
      <c r="G202">
        <v>15334.1</v>
      </c>
      <c r="H202">
        <v>14260.71</v>
      </c>
      <c r="I202">
        <v>16407.490000000002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  <row r="463" spans="1:9" x14ac:dyDescent="0.3">
      <c r="A463" t="s">
        <v>74</v>
      </c>
      <c r="B463" t="s">
        <v>9</v>
      </c>
      <c r="C463" s="2">
        <v>46203</v>
      </c>
      <c r="D463">
        <v>2026</v>
      </c>
      <c r="E463" t="s">
        <v>10</v>
      </c>
      <c r="F463" t="s">
        <v>85</v>
      </c>
      <c r="G463">
        <v>55171.105118790183</v>
      </c>
      <c r="H463">
        <v>51952.439061592617</v>
      </c>
      <c r="I463">
        <v>58665.192575987538</v>
      </c>
    </row>
    <row r="464" spans="1:9" x14ac:dyDescent="0.3">
      <c r="A464" t="s">
        <v>77</v>
      </c>
      <c r="B464" t="s">
        <v>60</v>
      </c>
      <c r="C464" s="2">
        <v>46203</v>
      </c>
      <c r="D464">
        <v>2026</v>
      </c>
      <c r="E464" t="s">
        <v>10</v>
      </c>
      <c r="F464" t="s">
        <v>85</v>
      </c>
      <c r="G464">
        <v>12374.93665244013</v>
      </c>
      <c r="H464">
        <v>11652.986485275311</v>
      </c>
      <c r="I464">
        <v>13158.66412804179</v>
      </c>
    </row>
    <row r="465" spans="1:9" x14ac:dyDescent="0.3">
      <c r="A465" t="s">
        <v>78</v>
      </c>
      <c r="B465" t="s">
        <v>61</v>
      </c>
      <c r="C465" s="2">
        <v>46203</v>
      </c>
      <c r="D465">
        <v>2026</v>
      </c>
      <c r="E465" t="s">
        <v>10</v>
      </c>
      <c r="F465" t="s">
        <v>85</v>
      </c>
      <c r="G465">
        <v>42796.34744803737</v>
      </c>
      <c r="H465">
        <v>40299.621116265618</v>
      </c>
      <c r="I465">
        <v>45506.718764872203</v>
      </c>
    </row>
    <row r="466" spans="1:9" x14ac:dyDescent="0.3">
      <c r="A466" t="s">
        <v>75</v>
      </c>
      <c r="B466" t="s">
        <v>62</v>
      </c>
      <c r="C466" s="2">
        <v>46203</v>
      </c>
      <c r="D466">
        <v>2026</v>
      </c>
      <c r="E466" t="s">
        <v>10</v>
      </c>
      <c r="F466" t="s">
        <v>85</v>
      </c>
      <c r="G466">
        <v>8608.43195696976</v>
      </c>
      <c r="H466">
        <v>8106.218566718916</v>
      </c>
      <c r="I466">
        <v>9153.6197697246807</v>
      </c>
    </row>
    <row r="467" spans="1:9" x14ac:dyDescent="0.3">
      <c r="A467" t="s">
        <v>76</v>
      </c>
      <c r="B467" t="s">
        <v>63</v>
      </c>
      <c r="C467" s="2">
        <v>46203</v>
      </c>
      <c r="D467">
        <v>2026</v>
      </c>
      <c r="E467" t="s">
        <v>10</v>
      </c>
      <c r="F467" t="s">
        <v>85</v>
      </c>
      <c r="G467">
        <v>46562.673161820421</v>
      </c>
      <c r="H467">
        <v>43846.220494873713</v>
      </c>
      <c r="I467">
        <v>49511.57280626287</v>
      </c>
    </row>
    <row r="468" spans="1:9" x14ac:dyDescent="0.3">
      <c r="A468" t="s">
        <v>74</v>
      </c>
      <c r="B468" t="s">
        <v>9</v>
      </c>
      <c r="C468" s="2">
        <v>46387</v>
      </c>
      <c r="D468">
        <v>2026</v>
      </c>
      <c r="E468" t="s">
        <v>12</v>
      </c>
      <c r="F468" t="s">
        <v>85</v>
      </c>
      <c r="G468">
        <v>55967.26459514397</v>
      </c>
      <c r="H468">
        <v>52604.197415085087</v>
      </c>
      <c r="I468">
        <v>59618.109585812912</v>
      </c>
    </row>
    <row r="469" spans="1:9" x14ac:dyDescent="0.3">
      <c r="A469" t="s">
        <v>77</v>
      </c>
      <c r="B469" t="s">
        <v>60</v>
      </c>
      <c r="C469" s="2">
        <v>46387</v>
      </c>
      <c r="D469">
        <v>2026</v>
      </c>
      <c r="E469" t="s">
        <v>12</v>
      </c>
      <c r="F469" t="s">
        <v>85</v>
      </c>
      <c r="G469">
        <v>12553.516056711709</v>
      </c>
      <c r="H469">
        <v>11799.176566474551</v>
      </c>
      <c r="I469">
        <v>13372.40441122501</v>
      </c>
    </row>
    <row r="470" spans="1:9" x14ac:dyDescent="0.3">
      <c r="A470" t="s">
        <v>78</v>
      </c>
      <c r="B470" t="s">
        <v>61</v>
      </c>
      <c r="C470" s="2">
        <v>46387</v>
      </c>
      <c r="D470">
        <v>2026</v>
      </c>
      <c r="E470" t="s">
        <v>12</v>
      </c>
      <c r="F470" t="s">
        <v>85</v>
      </c>
      <c r="G470">
        <v>43413.930102956503</v>
      </c>
      <c r="H470">
        <v>40805.191502941168</v>
      </c>
      <c r="I470">
        <v>46245.898582891503</v>
      </c>
    </row>
    <row r="471" spans="1:9" x14ac:dyDescent="0.3">
      <c r="A471" t="s">
        <v>75</v>
      </c>
      <c r="B471" t="s">
        <v>62</v>
      </c>
      <c r="C471" s="2">
        <v>46387</v>
      </c>
      <c r="D471">
        <v>2026</v>
      </c>
      <c r="E471" t="s">
        <v>12</v>
      </c>
      <c r="F471" t="s">
        <v>85</v>
      </c>
      <c r="G471">
        <v>8732.6579383839708</v>
      </c>
      <c r="H471">
        <v>8207.9134199640375</v>
      </c>
      <c r="I471">
        <v>9302.3048689638272</v>
      </c>
    </row>
    <row r="472" spans="1:9" x14ac:dyDescent="0.3">
      <c r="A472" t="s">
        <v>76</v>
      </c>
      <c r="B472" t="s">
        <v>63</v>
      </c>
      <c r="C472" s="2">
        <v>46387</v>
      </c>
      <c r="D472">
        <v>2026</v>
      </c>
      <c r="E472" t="s">
        <v>12</v>
      </c>
      <c r="F472" t="s">
        <v>85</v>
      </c>
      <c r="G472">
        <v>47234.606656760006</v>
      </c>
      <c r="H472">
        <v>44396.283995121063</v>
      </c>
      <c r="I472">
        <v>50315.804716849103</v>
      </c>
    </row>
    <row r="473" spans="1:9" x14ac:dyDescent="0.3">
      <c r="A473" t="s">
        <v>74</v>
      </c>
      <c r="B473" t="s">
        <v>9</v>
      </c>
      <c r="C473" s="2">
        <v>46568</v>
      </c>
      <c r="D473">
        <v>2027</v>
      </c>
      <c r="E473" t="s">
        <v>13</v>
      </c>
      <c r="F473" t="s">
        <v>85</v>
      </c>
      <c r="G473">
        <v>56889.849334480503</v>
      </c>
      <c r="H473">
        <v>53371.776019523677</v>
      </c>
      <c r="I473">
        <v>60708.964342016967</v>
      </c>
    </row>
    <row r="474" spans="1:9" x14ac:dyDescent="0.3">
      <c r="A474" t="s">
        <v>77</v>
      </c>
      <c r="B474" t="s">
        <v>60</v>
      </c>
      <c r="C474" s="2">
        <v>46568</v>
      </c>
      <c r="D474">
        <v>2027</v>
      </c>
      <c r="E474" t="s">
        <v>13</v>
      </c>
      <c r="F474" t="s">
        <v>85</v>
      </c>
      <c r="G474">
        <v>12760.45277986082</v>
      </c>
      <c r="H474">
        <v>11971.34525124611</v>
      </c>
      <c r="I474">
        <v>13617.08427536717</v>
      </c>
    </row>
    <row r="475" spans="1:9" x14ac:dyDescent="0.3">
      <c r="A475" t="s">
        <v>78</v>
      </c>
      <c r="B475" t="s">
        <v>61</v>
      </c>
      <c r="C475" s="2">
        <v>46568</v>
      </c>
      <c r="D475">
        <v>2027</v>
      </c>
      <c r="E475" t="s">
        <v>13</v>
      </c>
      <c r="F475" t="s">
        <v>85</v>
      </c>
      <c r="G475">
        <v>44129.581112119551</v>
      </c>
      <c r="H475">
        <v>41400.603912725317</v>
      </c>
      <c r="I475">
        <v>47092.077013817172</v>
      </c>
    </row>
    <row r="476" spans="1:9" x14ac:dyDescent="0.3">
      <c r="A476" t="s">
        <v>75</v>
      </c>
      <c r="B476" t="s">
        <v>62</v>
      </c>
      <c r="C476" s="2">
        <v>46568</v>
      </c>
      <c r="D476">
        <v>2027</v>
      </c>
      <c r="E476" t="s">
        <v>13</v>
      </c>
      <c r="F476" t="s">
        <v>85</v>
      </c>
      <c r="G476">
        <v>8876.6102470429523</v>
      </c>
      <c r="H476">
        <v>8327.6798841975942</v>
      </c>
      <c r="I476">
        <v>9472.5126058489332</v>
      </c>
    </row>
    <row r="477" spans="1:9" x14ac:dyDescent="0.3">
      <c r="A477" t="s">
        <v>76</v>
      </c>
      <c r="B477" t="s">
        <v>63</v>
      </c>
      <c r="C477" s="2">
        <v>46568</v>
      </c>
      <c r="D477">
        <v>2027</v>
      </c>
      <c r="E477" t="s">
        <v>13</v>
      </c>
      <c r="F477" t="s">
        <v>85</v>
      </c>
      <c r="G477">
        <v>48013.239087437563</v>
      </c>
      <c r="H477">
        <v>45044.096135326086</v>
      </c>
      <c r="I477">
        <v>51236.451736168048</v>
      </c>
    </row>
    <row r="478" spans="1:9" x14ac:dyDescent="0.3">
      <c r="A478" t="s">
        <v>74</v>
      </c>
      <c r="B478" t="s">
        <v>9</v>
      </c>
      <c r="C478" s="2">
        <v>46752</v>
      </c>
      <c r="D478">
        <v>2027</v>
      </c>
      <c r="E478" t="s">
        <v>14</v>
      </c>
      <c r="F478" t="s">
        <v>85</v>
      </c>
      <c r="G478">
        <v>57951.82222692357</v>
      </c>
      <c r="H478">
        <v>54266.649646082697</v>
      </c>
      <c r="I478">
        <v>61952.335192078754</v>
      </c>
    </row>
    <row r="479" spans="1:9" x14ac:dyDescent="0.3">
      <c r="A479" t="s">
        <v>77</v>
      </c>
      <c r="B479" t="s">
        <v>60</v>
      </c>
      <c r="C479" s="2">
        <v>46752</v>
      </c>
      <c r="D479">
        <v>2027</v>
      </c>
      <c r="E479" t="s">
        <v>14</v>
      </c>
      <c r="F479" t="s">
        <v>85</v>
      </c>
      <c r="G479">
        <v>12998.65441171677</v>
      </c>
      <c r="H479">
        <v>12172.066342780599</v>
      </c>
      <c r="I479">
        <v>13895.973659074019</v>
      </c>
    </row>
    <row r="480" spans="1:9" x14ac:dyDescent="0.3">
      <c r="A480" t="s">
        <v>78</v>
      </c>
      <c r="B480" t="s">
        <v>61</v>
      </c>
      <c r="C480" s="2">
        <v>46752</v>
      </c>
      <c r="D480">
        <v>2027</v>
      </c>
      <c r="E480" t="s">
        <v>14</v>
      </c>
      <c r="F480" t="s">
        <v>85</v>
      </c>
      <c r="G480">
        <v>44953.35581787421</v>
      </c>
      <c r="H480">
        <v>42094.75935082732</v>
      </c>
      <c r="I480">
        <v>48056.562513816389</v>
      </c>
    </row>
    <row r="481" spans="1:9" x14ac:dyDescent="0.3">
      <c r="A481" t="s">
        <v>75</v>
      </c>
      <c r="B481" t="s">
        <v>62</v>
      </c>
      <c r="C481" s="2">
        <v>46752</v>
      </c>
      <c r="D481">
        <v>2027</v>
      </c>
      <c r="E481" t="s">
        <v>14</v>
      </c>
      <c r="F481" t="s">
        <v>85</v>
      </c>
      <c r="G481">
        <v>9042.3115025291136</v>
      </c>
      <c r="H481">
        <v>8467.3083855251225</v>
      </c>
      <c r="I481">
        <v>9666.5176622455838</v>
      </c>
    </row>
    <row r="482" spans="1:9" x14ac:dyDescent="0.3">
      <c r="A482" t="s">
        <v>76</v>
      </c>
      <c r="B482" t="s">
        <v>63</v>
      </c>
      <c r="C482" s="2">
        <v>46752</v>
      </c>
      <c r="D482">
        <v>2027</v>
      </c>
      <c r="E482" t="s">
        <v>14</v>
      </c>
      <c r="F482" t="s">
        <v>85</v>
      </c>
      <c r="G482">
        <v>48909.510724394473</v>
      </c>
      <c r="H482">
        <v>45799.341260557587</v>
      </c>
      <c r="I482">
        <v>52285.817529833177</v>
      </c>
    </row>
    <row r="483" spans="1:9" x14ac:dyDescent="0.3">
      <c r="A483" t="s">
        <v>74</v>
      </c>
      <c r="B483" t="s">
        <v>9</v>
      </c>
      <c r="C483" s="2">
        <v>46934</v>
      </c>
      <c r="D483">
        <v>2028</v>
      </c>
      <c r="E483" t="s">
        <v>15</v>
      </c>
      <c r="F483" t="s">
        <v>85</v>
      </c>
      <c r="G483">
        <v>59166.789232411807</v>
      </c>
      <c r="H483">
        <v>55300.803367122877</v>
      </c>
      <c r="I483">
        <v>63363.587682938152</v>
      </c>
    </row>
    <row r="484" spans="1:9" x14ac:dyDescent="0.3">
      <c r="A484" t="s">
        <v>77</v>
      </c>
      <c r="B484" t="s">
        <v>60</v>
      </c>
      <c r="C484" s="2">
        <v>46934</v>
      </c>
      <c r="D484">
        <v>2028</v>
      </c>
      <c r="E484" t="s">
        <v>15</v>
      </c>
      <c r="F484" t="s">
        <v>85</v>
      </c>
      <c r="G484">
        <v>13271.172783341721</v>
      </c>
      <c r="H484">
        <v>12404.028105359081</v>
      </c>
      <c r="I484">
        <v>14212.51907061473</v>
      </c>
    </row>
    <row r="485" spans="1:9" x14ac:dyDescent="0.3">
      <c r="A485" t="s">
        <v>78</v>
      </c>
      <c r="B485" t="s">
        <v>61</v>
      </c>
      <c r="C485" s="2">
        <v>46934</v>
      </c>
      <c r="D485">
        <v>2028</v>
      </c>
      <c r="E485" t="s">
        <v>15</v>
      </c>
      <c r="F485" t="s">
        <v>85</v>
      </c>
      <c r="G485">
        <v>45895.808393236301</v>
      </c>
      <c r="H485">
        <v>42896.954664207813</v>
      </c>
      <c r="I485">
        <v>49151.274171407553</v>
      </c>
    </row>
    <row r="486" spans="1:9" x14ac:dyDescent="0.3">
      <c r="A486" t="s">
        <v>75</v>
      </c>
      <c r="B486" t="s">
        <v>62</v>
      </c>
      <c r="C486" s="2">
        <v>46934</v>
      </c>
      <c r="D486">
        <v>2028</v>
      </c>
      <c r="E486" t="s">
        <v>15</v>
      </c>
      <c r="F486" t="s">
        <v>85</v>
      </c>
      <c r="G486">
        <v>9231.8846635921273</v>
      </c>
      <c r="H486">
        <v>8628.6689731271545</v>
      </c>
      <c r="I486">
        <v>9886.7175479558591</v>
      </c>
    </row>
    <row r="487" spans="1:9" x14ac:dyDescent="0.3">
      <c r="A487" t="s">
        <v>76</v>
      </c>
      <c r="B487" t="s">
        <v>63</v>
      </c>
      <c r="C487" s="2">
        <v>46934</v>
      </c>
      <c r="D487">
        <v>2028</v>
      </c>
      <c r="E487" t="s">
        <v>15</v>
      </c>
      <c r="F487" t="s">
        <v>85</v>
      </c>
      <c r="G487">
        <v>49934.904568819693</v>
      </c>
      <c r="H487">
        <v>46672.134393995737</v>
      </c>
      <c r="I487">
        <v>53476.870134982288</v>
      </c>
    </row>
    <row r="488" spans="1:9" x14ac:dyDescent="0.3">
      <c r="A488" t="s">
        <v>74</v>
      </c>
      <c r="B488" t="s">
        <v>9</v>
      </c>
      <c r="C488" s="2">
        <v>47118</v>
      </c>
      <c r="D488">
        <v>2028</v>
      </c>
      <c r="E488" t="s">
        <v>16</v>
      </c>
      <c r="F488" t="s">
        <v>85</v>
      </c>
      <c r="G488">
        <v>60548.99938069874</v>
      </c>
      <c r="H488">
        <v>56486.726928715732</v>
      </c>
      <c r="I488">
        <v>64958.880670014812</v>
      </c>
    </row>
    <row r="489" spans="1:9" x14ac:dyDescent="0.3">
      <c r="A489" t="s">
        <v>77</v>
      </c>
      <c r="B489" t="s">
        <v>60</v>
      </c>
      <c r="C489" s="2">
        <v>47118</v>
      </c>
      <c r="D489">
        <v>2028</v>
      </c>
      <c r="E489" t="s">
        <v>16</v>
      </c>
      <c r="F489" t="s">
        <v>85</v>
      </c>
      <c r="G489">
        <v>13581.203967030749</v>
      </c>
      <c r="H489">
        <v>12670.03200210447</v>
      </c>
      <c r="I489">
        <v>14570.344958181229</v>
      </c>
    </row>
    <row r="490" spans="1:9" x14ac:dyDescent="0.3">
      <c r="A490" t="s">
        <v>78</v>
      </c>
      <c r="B490" t="s">
        <v>61</v>
      </c>
      <c r="C490" s="2">
        <v>47118</v>
      </c>
      <c r="D490">
        <v>2028</v>
      </c>
      <c r="E490" t="s">
        <v>16</v>
      </c>
      <c r="F490" t="s">
        <v>85</v>
      </c>
      <c r="G490">
        <v>46967.991841889823</v>
      </c>
      <c r="H490">
        <v>43816.878176333659</v>
      </c>
      <c r="I490">
        <v>50388.746446239653</v>
      </c>
    </row>
    <row r="491" spans="1:9" x14ac:dyDescent="0.3">
      <c r="A491" t="s">
        <v>75</v>
      </c>
      <c r="B491" t="s">
        <v>62</v>
      </c>
      <c r="C491" s="2">
        <v>47118</v>
      </c>
      <c r="D491">
        <v>2028</v>
      </c>
      <c r="E491" t="s">
        <v>16</v>
      </c>
      <c r="F491" t="s">
        <v>85</v>
      </c>
      <c r="G491">
        <v>9447.5530281489318</v>
      </c>
      <c r="H491">
        <v>8813.7104411955952</v>
      </c>
      <c r="I491">
        <v>10135.633553917891</v>
      </c>
    </row>
    <row r="492" spans="1:9" x14ac:dyDescent="0.3">
      <c r="A492" t="s">
        <v>76</v>
      </c>
      <c r="B492" t="s">
        <v>63</v>
      </c>
      <c r="C492" s="2">
        <v>47118</v>
      </c>
      <c r="D492">
        <v>2028</v>
      </c>
      <c r="E492" t="s">
        <v>16</v>
      </c>
      <c r="F492" t="s">
        <v>85</v>
      </c>
      <c r="G492">
        <v>51101.446352549807</v>
      </c>
      <c r="H492">
        <v>47673.016487520137</v>
      </c>
      <c r="I492">
        <v>54823.247116096944</v>
      </c>
    </row>
    <row r="493" spans="1:9" x14ac:dyDescent="0.3">
      <c r="A493" t="s">
        <v>74</v>
      </c>
      <c r="B493" t="s">
        <v>9</v>
      </c>
      <c r="C493" s="2">
        <v>47299</v>
      </c>
      <c r="D493">
        <v>2029</v>
      </c>
      <c r="E493" t="s">
        <v>17</v>
      </c>
      <c r="F493" t="s">
        <v>85</v>
      </c>
      <c r="G493">
        <v>62113.344771352698</v>
      </c>
      <c r="H493">
        <v>57837.409123167949</v>
      </c>
      <c r="I493">
        <v>66755.172426227189</v>
      </c>
    </row>
    <row r="494" spans="1:9" x14ac:dyDescent="0.3">
      <c r="A494" t="s">
        <v>77</v>
      </c>
      <c r="B494" t="s">
        <v>60</v>
      </c>
      <c r="C494" s="2">
        <v>47299</v>
      </c>
      <c r="D494">
        <v>2029</v>
      </c>
      <c r="E494" t="s">
        <v>17</v>
      </c>
      <c r="F494" t="s">
        <v>85</v>
      </c>
      <c r="G494">
        <v>13932.08827631181</v>
      </c>
      <c r="H494">
        <v>12972.99143273281</v>
      </c>
      <c r="I494">
        <v>14973.255080147561</v>
      </c>
    </row>
    <row r="495" spans="1:9" x14ac:dyDescent="0.3">
      <c r="A495" t="s">
        <v>78</v>
      </c>
      <c r="B495" t="s">
        <v>61</v>
      </c>
      <c r="C495" s="2">
        <v>47299</v>
      </c>
      <c r="D495">
        <v>2029</v>
      </c>
      <c r="E495" t="s">
        <v>17</v>
      </c>
      <c r="F495" t="s">
        <v>85</v>
      </c>
      <c r="G495">
        <v>48181.457998186939</v>
      </c>
      <c r="H495">
        <v>44864.6053219327</v>
      </c>
      <c r="I495">
        <v>51782.133907871772</v>
      </c>
    </row>
    <row r="496" spans="1:9" x14ac:dyDescent="0.3">
      <c r="A496" t="s">
        <v>75</v>
      </c>
      <c r="B496" t="s">
        <v>62</v>
      </c>
      <c r="C496" s="2">
        <v>47299</v>
      </c>
      <c r="D496">
        <v>2029</v>
      </c>
      <c r="E496" t="s">
        <v>17</v>
      </c>
      <c r="F496" t="s">
        <v>85</v>
      </c>
      <c r="G496">
        <v>9691.6402332837351</v>
      </c>
      <c r="H496">
        <v>9024.459450870092</v>
      </c>
      <c r="I496">
        <v>10415.91170540544</v>
      </c>
    </row>
    <row r="497" spans="1:9" x14ac:dyDescent="0.3">
      <c r="A497" t="s">
        <v>76</v>
      </c>
      <c r="B497" t="s">
        <v>63</v>
      </c>
      <c r="C497" s="2">
        <v>47299</v>
      </c>
      <c r="D497">
        <v>2029</v>
      </c>
      <c r="E497" t="s">
        <v>17</v>
      </c>
      <c r="F497" t="s">
        <v>85</v>
      </c>
      <c r="G497">
        <v>52421.704538068967</v>
      </c>
      <c r="H497">
        <v>48812.949672297873</v>
      </c>
      <c r="I497">
        <v>56339.26072082176</v>
      </c>
    </row>
    <row r="498" spans="1:9" x14ac:dyDescent="0.3">
      <c r="A498" t="s">
        <v>74</v>
      </c>
      <c r="B498" t="s">
        <v>9</v>
      </c>
      <c r="C498" s="2">
        <v>47483</v>
      </c>
      <c r="D498">
        <v>2029</v>
      </c>
      <c r="E498" t="s">
        <v>18</v>
      </c>
      <c r="F498" t="s">
        <v>85</v>
      </c>
      <c r="G498">
        <v>63875.360573756872</v>
      </c>
      <c r="H498">
        <v>59366.332161545834</v>
      </c>
      <c r="I498">
        <v>68770.226751011302</v>
      </c>
    </row>
    <row r="499" spans="1:9" x14ac:dyDescent="0.3">
      <c r="A499" t="s">
        <v>77</v>
      </c>
      <c r="B499" t="s">
        <v>60</v>
      </c>
      <c r="C499" s="2">
        <v>47483</v>
      </c>
      <c r="D499">
        <v>2029</v>
      </c>
      <c r="E499" t="s">
        <v>18</v>
      </c>
      <c r="F499" t="s">
        <v>85</v>
      </c>
      <c r="G499">
        <v>14327.310265945731</v>
      </c>
      <c r="H499">
        <v>13315.930471304629</v>
      </c>
      <c r="I499">
        <v>15425.23387532917</v>
      </c>
    </row>
    <row r="500" spans="1:9" x14ac:dyDescent="0.3">
      <c r="A500" t="s">
        <v>78</v>
      </c>
      <c r="B500" t="s">
        <v>61</v>
      </c>
      <c r="C500" s="2">
        <v>47483</v>
      </c>
      <c r="D500">
        <v>2029</v>
      </c>
      <c r="E500" t="s">
        <v>18</v>
      </c>
      <c r="F500" t="s">
        <v>85</v>
      </c>
      <c r="G500">
        <v>49548.257527147973</v>
      </c>
      <c r="H500">
        <v>46050.594281748607</v>
      </c>
      <c r="I500">
        <v>53345.215974552368</v>
      </c>
    </row>
    <row r="501" spans="1:9" x14ac:dyDescent="0.3">
      <c r="A501" t="s">
        <v>75</v>
      </c>
      <c r="B501" t="s">
        <v>62</v>
      </c>
      <c r="C501" s="2">
        <v>47483</v>
      </c>
      <c r="D501">
        <v>2029</v>
      </c>
      <c r="E501" t="s">
        <v>18</v>
      </c>
      <c r="F501" t="s">
        <v>85</v>
      </c>
      <c r="G501">
        <v>9966.5702552479997</v>
      </c>
      <c r="H501">
        <v>9263.0196521743947</v>
      </c>
      <c r="I501">
        <v>10730.32371522748</v>
      </c>
    </row>
    <row r="502" spans="1:9" x14ac:dyDescent="0.3">
      <c r="A502" t="s">
        <v>76</v>
      </c>
      <c r="B502" t="s">
        <v>63</v>
      </c>
      <c r="C502" s="2">
        <v>47483</v>
      </c>
      <c r="D502">
        <v>2029</v>
      </c>
      <c r="E502" t="s">
        <v>18</v>
      </c>
      <c r="F502" t="s">
        <v>85</v>
      </c>
      <c r="G502">
        <v>53908.79031850888</v>
      </c>
      <c r="H502">
        <v>50103.312509371441</v>
      </c>
      <c r="I502">
        <v>58039.903035783827</v>
      </c>
    </row>
    <row r="503" spans="1:9" x14ac:dyDescent="0.3">
      <c r="A503" t="s">
        <v>74</v>
      </c>
      <c r="B503" t="s">
        <v>9</v>
      </c>
      <c r="C503" s="2">
        <v>47664</v>
      </c>
      <c r="D503">
        <v>2030</v>
      </c>
      <c r="E503" t="s">
        <v>19</v>
      </c>
      <c r="F503" t="s">
        <v>85</v>
      </c>
      <c r="G503">
        <v>65851.225027109307</v>
      </c>
      <c r="H503">
        <v>61087.466046199661</v>
      </c>
      <c r="I503">
        <v>71022.619079339842</v>
      </c>
    </row>
    <row r="504" spans="1:9" x14ac:dyDescent="0.3">
      <c r="A504" t="s">
        <v>77</v>
      </c>
      <c r="B504" t="s">
        <v>60</v>
      </c>
      <c r="C504" s="2">
        <v>47664</v>
      </c>
      <c r="D504">
        <v>2030</v>
      </c>
      <c r="E504" t="s">
        <v>19</v>
      </c>
      <c r="F504" t="s">
        <v>85</v>
      </c>
      <c r="G504">
        <v>14770.498731926211</v>
      </c>
      <c r="H504">
        <v>13701.982603976259</v>
      </c>
      <c r="I504">
        <v>15930.44783324234</v>
      </c>
    </row>
    <row r="505" spans="1:9" x14ac:dyDescent="0.3">
      <c r="A505" t="s">
        <v>78</v>
      </c>
      <c r="B505" t="s">
        <v>61</v>
      </c>
      <c r="C505" s="2">
        <v>47664</v>
      </c>
      <c r="D505">
        <v>2030</v>
      </c>
      <c r="E505" t="s">
        <v>19</v>
      </c>
      <c r="F505" t="s">
        <v>85</v>
      </c>
      <c r="G505">
        <v>51080.939924461367</v>
      </c>
      <c r="H505">
        <v>47385.681617295741</v>
      </c>
      <c r="I505">
        <v>55092.401651998807</v>
      </c>
    </row>
    <row r="506" spans="1:9" x14ac:dyDescent="0.3">
      <c r="A506" t="s">
        <v>75</v>
      </c>
      <c r="B506" t="s">
        <v>62</v>
      </c>
      <c r="C506" s="2">
        <v>47664</v>
      </c>
      <c r="D506">
        <v>2030</v>
      </c>
      <c r="E506" t="s">
        <v>19</v>
      </c>
      <c r="F506" t="s">
        <v>85</v>
      </c>
      <c r="G506">
        <v>10274.867409460459</v>
      </c>
      <c r="H506">
        <v>9531.5708059527406</v>
      </c>
      <c r="I506">
        <v>11081.76793692775</v>
      </c>
    </row>
    <row r="507" spans="1:9" x14ac:dyDescent="0.3">
      <c r="A507" t="s">
        <v>76</v>
      </c>
      <c r="B507" t="s">
        <v>63</v>
      </c>
      <c r="C507" s="2">
        <v>47664</v>
      </c>
      <c r="D507">
        <v>2030</v>
      </c>
      <c r="E507" t="s">
        <v>19</v>
      </c>
      <c r="F507" t="s">
        <v>85</v>
      </c>
      <c r="G507">
        <v>55576.35761764885</v>
      </c>
      <c r="H507">
        <v>51555.895240246929</v>
      </c>
      <c r="I507">
        <v>59940.851142412102</v>
      </c>
    </row>
    <row r="508" spans="1:9" x14ac:dyDescent="0.3">
      <c r="A508" t="s">
        <v>74</v>
      </c>
      <c r="B508" t="s">
        <v>9</v>
      </c>
      <c r="C508" s="2">
        <v>47848</v>
      </c>
      <c r="D508">
        <v>2030</v>
      </c>
      <c r="E508" t="s">
        <v>20</v>
      </c>
      <c r="F508" t="s">
        <v>85</v>
      </c>
      <c r="G508">
        <v>68057.759440422902</v>
      </c>
      <c r="H508">
        <v>63015.262943288137</v>
      </c>
      <c r="I508">
        <v>73531.742590741007</v>
      </c>
    </row>
    <row r="509" spans="1:9" x14ac:dyDescent="0.3">
      <c r="A509" t="s">
        <v>77</v>
      </c>
      <c r="B509" t="s">
        <v>60</v>
      </c>
      <c r="C509" s="2">
        <v>47848</v>
      </c>
      <c r="D509">
        <v>2030</v>
      </c>
      <c r="E509" t="s">
        <v>20</v>
      </c>
      <c r="F509" t="s">
        <v>85</v>
      </c>
      <c r="G509">
        <v>15265.42671147986</v>
      </c>
      <c r="H509">
        <v>14134.389466751159</v>
      </c>
      <c r="I509">
        <v>16493.246864363478</v>
      </c>
    </row>
    <row r="510" spans="1:9" x14ac:dyDescent="0.3">
      <c r="A510" t="s">
        <v>78</v>
      </c>
      <c r="B510" t="s">
        <v>61</v>
      </c>
      <c r="C510" s="2">
        <v>47848</v>
      </c>
      <c r="D510">
        <v>2030</v>
      </c>
      <c r="E510" t="s">
        <v>20</v>
      </c>
      <c r="F510" t="s">
        <v>85</v>
      </c>
      <c r="G510">
        <v>52792.553516483807</v>
      </c>
      <c r="H510">
        <v>48881.077905613849</v>
      </c>
      <c r="I510">
        <v>57038.734272176684</v>
      </c>
    </row>
    <row r="511" spans="1:9" x14ac:dyDescent="0.3">
      <c r="A511" t="s">
        <v>75</v>
      </c>
      <c r="B511" t="s">
        <v>62</v>
      </c>
      <c r="C511" s="2">
        <v>47848</v>
      </c>
      <c r="D511">
        <v>2030</v>
      </c>
      <c r="E511" t="s">
        <v>20</v>
      </c>
      <c r="F511" t="s">
        <v>85</v>
      </c>
      <c r="G511">
        <v>10619.156350507121</v>
      </c>
      <c r="H511">
        <v>9832.3679058062226</v>
      </c>
      <c r="I511">
        <v>11473.270317984339</v>
      </c>
    </row>
    <row r="512" spans="1:9" x14ac:dyDescent="0.3">
      <c r="A512" t="s">
        <v>76</v>
      </c>
      <c r="B512" t="s">
        <v>63</v>
      </c>
      <c r="C512" s="2">
        <v>47848</v>
      </c>
      <c r="D512">
        <v>2030</v>
      </c>
      <c r="E512" t="s">
        <v>20</v>
      </c>
      <c r="F512" t="s">
        <v>85</v>
      </c>
      <c r="G512">
        <v>57438.603089915778</v>
      </c>
      <c r="H512">
        <v>53182.895037481932</v>
      </c>
      <c r="I512">
        <v>62058.472272756677</v>
      </c>
    </row>
    <row r="513" spans="1:9" x14ac:dyDescent="0.3">
      <c r="A513" t="s">
        <v>79</v>
      </c>
      <c r="B513" t="s">
        <v>64</v>
      </c>
      <c r="C513" s="2">
        <v>46203</v>
      </c>
      <c r="D513">
        <v>2026</v>
      </c>
      <c r="E513" t="s">
        <v>10</v>
      </c>
      <c r="F513" t="s">
        <v>85</v>
      </c>
      <c r="G513">
        <v>51314.275885893258</v>
      </c>
      <c r="H513">
        <v>48320.616112575721</v>
      </c>
      <c r="I513">
        <v>54564.103261328593</v>
      </c>
    </row>
    <row r="514" spans="1:9" x14ac:dyDescent="0.3">
      <c r="A514" t="s">
        <v>79</v>
      </c>
      <c r="B514" t="s">
        <v>64</v>
      </c>
      <c r="C514" s="2">
        <v>46387</v>
      </c>
      <c r="D514">
        <v>2026</v>
      </c>
      <c r="E514" t="s">
        <v>12</v>
      </c>
      <c r="F514" t="s">
        <v>85</v>
      </c>
      <c r="G514">
        <v>51917.593900602202</v>
      </c>
      <c r="H514">
        <v>48790.783318617337</v>
      </c>
      <c r="I514">
        <v>55311.965805421023</v>
      </c>
    </row>
    <row r="515" spans="1:9" x14ac:dyDescent="0.3">
      <c r="A515" t="s">
        <v>79</v>
      </c>
      <c r="B515" t="s">
        <v>64</v>
      </c>
      <c r="C515" s="2">
        <v>46568</v>
      </c>
      <c r="D515">
        <v>2027</v>
      </c>
      <c r="E515" t="s">
        <v>13</v>
      </c>
      <c r="F515" t="s">
        <v>85</v>
      </c>
      <c r="G515">
        <v>52637.695105211649</v>
      </c>
      <c r="H515">
        <v>49367.69121823254</v>
      </c>
      <c r="I515">
        <v>56187.513372605485</v>
      </c>
    </row>
    <row r="516" spans="1:9" x14ac:dyDescent="0.3">
      <c r="A516" t="s">
        <v>79</v>
      </c>
      <c r="B516" t="s">
        <v>64</v>
      </c>
      <c r="C516" s="2">
        <v>46752</v>
      </c>
      <c r="D516">
        <v>2027</v>
      </c>
      <c r="E516" t="s">
        <v>14</v>
      </c>
      <c r="F516" t="s">
        <v>85</v>
      </c>
      <c r="G516">
        <v>53487.060286191278</v>
      </c>
      <c r="H516">
        <v>50062.360604727015</v>
      </c>
      <c r="I516">
        <v>57204.811674196695</v>
      </c>
    </row>
    <row r="517" spans="1:9" x14ac:dyDescent="0.3">
      <c r="A517" t="s">
        <v>79</v>
      </c>
      <c r="B517" t="s">
        <v>64</v>
      </c>
      <c r="C517" s="2">
        <v>46934</v>
      </c>
      <c r="D517">
        <v>2028</v>
      </c>
      <c r="E517" t="s">
        <v>15</v>
      </c>
      <c r="F517" t="s">
        <v>85</v>
      </c>
      <c r="G517">
        <v>54478.789194642908</v>
      </c>
      <c r="H517">
        <v>50886.299873699405</v>
      </c>
      <c r="I517">
        <v>58378.687989161976</v>
      </c>
    </row>
    <row r="518" spans="1:9" x14ac:dyDescent="0.3">
      <c r="A518" t="s">
        <v>79</v>
      </c>
      <c r="B518" t="s">
        <v>64</v>
      </c>
      <c r="C518" s="2">
        <v>47118</v>
      </c>
      <c r="D518">
        <v>2028</v>
      </c>
      <c r="E518" t="s">
        <v>16</v>
      </c>
      <c r="F518" t="s">
        <v>85</v>
      </c>
      <c r="G518">
        <v>55626.599341041379</v>
      </c>
      <c r="H518">
        <v>51851.498260621083</v>
      </c>
      <c r="I518">
        <v>59724.735991549838</v>
      </c>
    </row>
    <row r="519" spans="1:9" x14ac:dyDescent="0.3">
      <c r="A519" t="s">
        <v>79</v>
      </c>
      <c r="B519" t="s">
        <v>64</v>
      </c>
      <c r="C519" s="2">
        <v>47299</v>
      </c>
      <c r="D519">
        <v>2029</v>
      </c>
      <c r="E519" t="s">
        <v>17</v>
      </c>
      <c r="F519" t="s">
        <v>85</v>
      </c>
      <c r="G519">
        <v>56944.824729712469</v>
      </c>
      <c r="H519">
        <v>52970.41902166856</v>
      </c>
      <c r="I519">
        <v>61259.32051383896</v>
      </c>
    </row>
    <row r="520" spans="1:9" x14ac:dyDescent="0.3">
      <c r="A520" t="s">
        <v>79</v>
      </c>
      <c r="B520" t="s">
        <v>64</v>
      </c>
      <c r="C520" s="2">
        <v>47483</v>
      </c>
      <c r="D520">
        <v>2029</v>
      </c>
      <c r="E520" t="s">
        <v>18</v>
      </c>
      <c r="F520" t="s">
        <v>85</v>
      </c>
      <c r="G520">
        <v>58448.414530034635</v>
      </c>
      <c r="H520">
        <v>54255.992554971475</v>
      </c>
      <c r="I520">
        <v>62999.582243003664</v>
      </c>
    </row>
    <row r="521" spans="1:9" x14ac:dyDescent="0.3">
      <c r="A521" t="s">
        <v>79</v>
      </c>
      <c r="B521" t="s">
        <v>64</v>
      </c>
      <c r="C521" s="2">
        <v>47664</v>
      </c>
      <c r="D521">
        <v>2030</v>
      </c>
      <c r="E521" t="s">
        <v>19</v>
      </c>
      <c r="F521" t="s">
        <v>85</v>
      </c>
      <c r="G521">
        <v>60152.931681200957</v>
      </c>
      <c r="H521">
        <v>55721.609459296589</v>
      </c>
      <c r="I521">
        <v>64963.44234593182</v>
      </c>
    </row>
    <row r="522" spans="1:9" x14ac:dyDescent="0.3">
      <c r="A522" t="s">
        <v>79</v>
      </c>
      <c r="B522" t="s">
        <v>64</v>
      </c>
      <c r="C522" s="2">
        <v>47848</v>
      </c>
      <c r="D522">
        <v>2030</v>
      </c>
      <c r="E522" t="s">
        <v>20</v>
      </c>
      <c r="F522" t="s">
        <v>85</v>
      </c>
      <c r="G522">
        <v>62074.551427219129</v>
      </c>
      <c r="H522">
        <v>57381.113527039917</v>
      </c>
      <c r="I522">
        <v>67169.607020662588</v>
      </c>
    </row>
    <row r="523" spans="1:9" x14ac:dyDescent="0.3">
      <c r="A523" t="s">
        <v>80</v>
      </c>
      <c r="B523" t="s">
        <v>65</v>
      </c>
      <c r="C523" s="2">
        <v>46203</v>
      </c>
      <c r="D523">
        <v>2026</v>
      </c>
      <c r="E523" t="s">
        <v>10</v>
      </c>
      <c r="F523" t="s">
        <v>85</v>
      </c>
      <c r="G523">
        <v>3856.8292328969201</v>
      </c>
      <c r="H523">
        <v>3631.822949016906</v>
      </c>
      <c r="I523">
        <v>4101.0893146589506</v>
      </c>
    </row>
    <row r="524" spans="1:9" x14ac:dyDescent="0.3">
      <c r="A524" t="s">
        <v>80</v>
      </c>
      <c r="B524" t="s">
        <v>65</v>
      </c>
      <c r="C524" s="2">
        <v>46387</v>
      </c>
      <c r="D524">
        <v>2026</v>
      </c>
      <c r="E524" t="s">
        <v>12</v>
      </c>
      <c r="F524" t="s">
        <v>85</v>
      </c>
      <c r="G524">
        <v>4049.6706945417664</v>
      </c>
      <c r="H524">
        <v>3813.4140964677513</v>
      </c>
      <c r="I524">
        <v>4306.143780391898</v>
      </c>
    </row>
    <row r="525" spans="1:9" x14ac:dyDescent="0.3">
      <c r="A525" t="s">
        <v>80</v>
      </c>
      <c r="B525" t="s">
        <v>65</v>
      </c>
      <c r="C525" s="2">
        <v>46568</v>
      </c>
      <c r="D525">
        <v>2027</v>
      </c>
      <c r="E525" t="s">
        <v>13</v>
      </c>
      <c r="F525" t="s">
        <v>85</v>
      </c>
      <c r="G525">
        <v>4252.1542292688546</v>
      </c>
      <c r="H525">
        <v>4004.0848012911392</v>
      </c>
      <c r="I525">
        <v>4521.4509694114931</v>
      </c>
    </row>
    <row r="526" spans="1:9" x14ac:dyDescent="0.3">
      <c r="A526" t="s">
        <v>80</v>
      </c>
      <c r="B526" t="s">
        <v>65</v>
      </c>
      <c r="C526" s="2">
        <v>46752</v>
      </c>
      <c r="D526">
        <v>2027</v>
      </c>
      <c r="E526" t="s">
        <v>14</v>
      </c>
      <c r="F526" t="s">
        <v>85</v>
      </c>
      <c r="G526">
        <v>4464.7619407322973</v>
      </c>
      <c r="H526">
        <v>4204.2890413556961</v>
      </c>
      <c r="I526">
        <v>4747.5235178820676</v>
      </c>
    </row>
    <row r="527" spans="1:9" x14ac:dyDescent="0.3">
      <c r="A527" t="s">
        <v>80</v>
      </c>
      <c r="B527" t="s">
        <v>65</v>
      </c>
      <c r="C527" s="2">
        <v>46934</v>
      </c>
      <c r="D527">
        <v>2028</v>
      </c>
      <c r="E527" t="s">
        <v>15</v>
      </c>
      <c r="F527" t="s">
        <v>85</v>
      </c>
      <c r="G527">
        <v>4688.0000377689121</v>
      </c>
      <c r="H527">
        <v>4414.5034934234809</v>
      </c>
      <c r="I527">
        <v>4984.8996937761713</v>
      </c>
    </row>
    <row r="528" spans="1:9" x14ac:dyDescent="0.3">
      <c r="A528" t="s">
        <v>80</v>
      </c>
      <c r="B528" t="s">
        <v>65</v>
      </c>
      <c r="C528" s="2">
        <v>47118</v>
      </c>
      <c r="D528">
        <v>2028</v>
      </c>
      <c r="E528" t="s">
        <v>16</v>
      </c>
      <c r="F528" t="s">
        <v>85</v>
      </c>
      <c r="G528">
        <v>4922.4000396573583</v>
      </c>
      <c r="H528">
        <v>4635.2286680946554</v>
      </c>
      <c r="I528">
        <v>5234.1446784649797</v>
      </c>
    </row>
    <row r="529" spans="1:9" x14ac:dyDescent="0.3">
      <c r="A529" t="s">
        <v>80</v>
      </c>
      <c r="B529" t="s">
        <v>65</v>
      </c>
      <c r="C529" s="2">
        <v>47299</v>
      </c>
      <c r="D529">
        <v>2029</v>
      </c>
      <c r="E529" t="s">
        <v>17</v>
      </c>
      <c r="F529" t="s">
        <v>85</v>
      </c>
      <c r="G529">
        <v>5168.5200416402267</v>
      </c>
      <c r="H529">
        <v>4866.9901014993884</v>
      </c>
      <c r="I529">
        <v>5495.8519123882288</v>
      </c>
    </row>
    <row r="530" spans="1:9" x14ac:dyDescent="0.3">
      <c r="A530" t="s">
        <v>80</v>
      </c>
      <c r="B530" t="s">
        <v>65</v>
      </c>
      <c r="C530" s="2">
        <v>47483</v>
      </c>
      <c r="D530">
        <v>2029</v>
      </c>
      <c r="E530" t="s">
        <v>18</v>
      </c>
      <c r="F530" t="s">
        <v>85</v>
      </c>
      <c r="G530">
        <v>5426.9460437222388</v>
      </c>
      <c r="H530">
        <v>5110.3396065743582</v>
      </c>
      <c r="I530">
        <v>5770.6445080076401</v>
      </c>
    </row>
    <row r="531" spans="1:9" x14ac:dyDescent="0.3">
      <c r="A531" t="s">
        <v>80</v>
      </c>
      <c r="B531" t="s">
        <v>65</v>
      </c>
      <c r="C531" s="2">
        <v>47664</v>
      </c>
      <c r="D531">
        <v>2030</v>
      </c>
      <c r="E531" t="s">
        <v>19</v>
      </c>
      <c r="F531" t="s">
        <v>85</v>
      </c>
      <c r="G531">
        <v>5698.2933459083506</v>
      </c>
      <c r="H531">
        <v>5365.8565869030763</v>
      </c>
      <c r="I531">
        <v>6059.1767334080223</v>
      </c>
    </row>
    <row r="532" spans="1:9" x14ac:dyDescent="0.3">
      <c r="A532" t="s">
        <v>80</v>
      </c>
      <c r="B532" t="s">
        <v>65</v>
      </c>
      <c r="C532" s="2">
        <v>47848</v>
      </c>
      <c r="D532">
        <v>2030</v>
      </c>
      <c r="E532" t="s">
        <v>20</v>
      </c>
      <c r="F532" t="s">
        <v>85</v>
      </c>
      <c r="G532">
        <v>5983.2080132037681</v>
      </c>
      <c r="H532">
        <v>5634.1494162482304</v>
      </c>
      <c r="I532">
        <v>6362.1355700784234</v>
      </c>
    </row>
    <row r="533" spans="1:9" x14ac:dyDescent="0.3">
      <c r="A533">
        <v>200</v>
      </c>
      <c r="B533" t="s">
        <v>31</v>
      </c>
      <c r="C533" s="2">
        <v>46387</v>
      </c>
      <c r="D533">
        <v>2026</v>
      </c>
      <c r="E533" t="s">
        <v>12</v>
      </c>
      <c r="F533" t="s">
        <v>86</v>
      </c>
      <c r="G533">
        <v>91.3</v>
      </c>
      <c r="H533">
        <v>86.74</v>
      </c>
      <c r="I533">
        <v>95.87</v>
      </c>
    </row>
    <row r="534" spans="1:9" x14ac:dyDescent="0.3">
      <c r="A534">
        <v>200</v>
      </c>
      <c r="B534" t="s">
        <v>31</v>
      </c>
      <c r="C534" s="2">
        <v>46752</v>
      </c>
      <c r="D534">
        <v>2027</v>
      </c>
      <c r="E534" t="s">
        <v>14</v>
      </c>
      <c r="F534" t="s">
        <v>86</v>
      </c>
      <c r="G534">
        <v>91.76</v>
      </c>
      <c r="H534">
        <v>87.17</v>
      </c>
      <c r="I534">
        <v>96.35</v>
      </c>
    </row>
    <row r="535" spans="1:9" x14ac:dyDescent="0.3">
      <c r="A535">
        <v>200</v>
      </c>
      <c r="B535" t="s">
        <v>31</v>
      </c>
      <c r="C535" s="2">
        <v>47118</v>
      </c>
      <c r="D535">
        <v>2028</v>
      </c>
      <c r="E535" t="s">
        <v>16</v>
      </c>
      <c r="F535" t="s">
        <v>86</v>
      </c>
      <c r="G535">
        <v>92.22</v>
      </c>
      <c r="H535">
        <v>87.61</v>
      </c>
      <c r="I535">
        <v>96.83</v>
      </c>
    </row>
    <row r="536" spans="1:9" x14ac:dyDescent="0.3">
      <c r="A536">
        <v>200</v>
      </c>
      <c r="B536" t="s">
        <v>31</v>
      </c>
      <c r="C536" s="2">
        <v>47483</v>
      </c>
      <c r="D536">
        <v>2029</v>
      </c>
      <c r="E536" t="s">
        <v>18</v>
      </c>
      <c r="F536" t="s">
        <v>86</v>
      </c>
      <c r="G536">
        <v>92.68</v>
      </c>
      <c r="H536">
        <v>88.04</v>
      </c>
      <c r="I536">
        <v>97.31</v>
      </c>
    </row>
    <row r="537" spans="1:9" x14ac:dyDescent="0.3">
      <c r="A537">
        <v>200</v>
      </c>
      <c r="B537" t="s">
        <v>31</v>
      </c>
      <c r="C537" s="2">
        <v>47848</v>
      </c>
      <c r="D537">
        <v>2030</v>
      </c>
      <c r="E537" t="s">
        <v>20</v>
      </c>
      <c r="F537" t="s">
        <v>86</v>
      </c>
      <c r="G537">
        <v>93.14</v>
      </c>
      <c r="H537">
        <v>88.48</v>
      </c>
      <c r="I537">
        <v>97.8</v>
      </c>
    </row>
    <row r="538" spans="1:9" x14ac:dyDescent="0.3">
      <c r="A538">
        <v>203</v>
      </c>
      <c r="B538" t="s">
        <v>32</v>
      </c>
      <c r="C538" s="2">
        <v>46387</v>
      </c>
      <c r="D538">
        <v>2026</v>
      </c>
      <c r="E538" t="s">
        <v>12</v>
      </c>
      <c r="F538" t="s">
        <v>86</v>
      </c>
      <c r="G538">
        <v>346582.22</v>
      </c>
      <c r="H538">
        <v>318855.64</v>
      </c>
      <c r="I538">
        <v>374308.8</v>
      </c>
    </row>
    <row r="539" spans="1:9" x14ac:dyDescent="0.3">
      <c r="A539">
        <v>203</v>
      </c>
      <c r="B539" t="s">
        <v>32</v>
      </c>
      <c r="C539" s="2">
        <v>46752</v>
      </c>
      <c r="D539">
        <v>2027</v>
      </c>
      <c r="E539" t="s">
        <v>14</v>
      </c>
      <c r="F539" t="s">
        <v>86</v>
      </c>
      <c r="G539">
        <v>382599.16</v>
      </c>
      <c r="H539">
        <v>351991.22</v>
      </c>
      <c r="I539">
        <v>413207.09</v>
      </c>
    </row>
    <row r="540" spans="1:9" x14ac:dyDescent="0.3">
      <c r="A540">
        <v>203</v>
      </c>
      <c r="B540" t="s">
        <v>32</v>
      </c>
      <c r="C540" s="2">
        <v>47118</v>
      </c>
      <c r="D540">
        <v>2028</v>
      </c>
      <c r="E540" t="s">
        <v>16</v>
      </c>
      <c r="F540" t="s">
        <v>86</v>
      </c>
      <c r="G540">
        <v>418916.4</v>
      </c>
      <c r="H540">
        <v>385403.08</v>
      </c>
      <c r="I540">
        <v>452429.71</v>
      </c>
    </row>
    <row r="541" spans="1:9" x14ac:dyDescent="0.3">
      <c r="A541">
        <v>203</v>
      </c>
      <c r="B541" t="s">
        <v>32</v>
      </c>
      <c r="C541" s="2">
        <v>47483</v>
      </c>
      <c r="D541">
        <v>2029</v>
      </c>
      <c r="E541" t="s">
        <v>18</v>
      </c>
      <c r="F541" t="s">
        <v>86</v>
      </c>
      <c r="G541">
        <v>455386.82</v>
      </c>
      <c r="H541">
        <v>418955.87</v>
      </c>
      <c r="I541">
        <v>491817.77</v>
      </c>
    </row>
    <row r="542" spans="1:9" x14ac:dyDescent="0.3">
      <c r="A542">
        <v>203</v>
      </c>
      <c r="B542" t="s">
        <v>32</v>
      </c>
      <c r="C542" s="2">
        <v>47848</v>
      </c>
      <c r="D542">
        <v>2030</v>
      </c>
      <c r="E542" t="s">
        <v>20</v>
      </c>
      <c r="F542" t="s">
        <v>86</v>
      </c>
      <c r="G542">
        <v>491883.76</v>
      </c>
      <c r="H542">
        <v>452533.06</v>
      </c>
      <c r="I542">
        <v>531234.46</v>
      </c>
    </row>
    <row r="543" spans="1:9" x14ac:dyDescent="0.3">
      <c r="A543">
        <v>204</v>
      </c>
      <c r="B543" t="s">
        <v>34</v>
      </c>
      <c r="C543" s="2">
        <v>46387</v>
      </c>
      <c r="D543">
        <v>2026</v>
      </c>
      <c r="E543" t="s">
        <v>12</v>
      </c>
      <c r="F543" t="s">
        <v>87</v>
      </c>
      <c r="G543">
        <v>208714.84</v>
      </c>
      <c r="H543">
        <v>197444.24</v>
      </c>
      <c r="I543">
        <v>219985.44</v>
      </c>
    </row>
    <row r="544" spans="1:9" x14ac:dyDescent="0.3">
      <c r="A544">
        <v>204</v>
      </c>
      <c r="B544" t="s">
        <v>34</v>
      </c>
      <c r="C544" s="2">
        <v>46752</v>
      </c>
      <c r="D544">
        <v>2027</v>
      </c>
      <c r="E544" t="s">
        <v>14</v>
      </c>
      <c r="F544" t="s">
        <v>87</v>
      </c>
      <c r="G544">
        <v>220680.92</v>
      </c>
      <c r="H544">
        <v>207881.43</v>
      </c>
      <c r="I544">
        <v>233480.42</v>
      </c>
    </row>
    <row r="545" spans="1:9" x14ac:dyDescent="0.3">
      <c r="A545">
        <v>204</v>
      </c>
      <c r="B545" t="s">
        <v>34</v>
      </c>
      <c r="C545" s="2">
        <v>47118</v>
      </c>
      <c r="D545">
        <v>2028</v>
      </c>
      <c r="E545" t="s">
        <v>16</v>
      </c>
      <c r="F545" t="s">
        <v>87</v>
      </c>
      <c r="G545">
        <v>231997.19</v>
      </c>
      <c r="H545">
        <v>217613.36</v>
      </c>
      <c r="I545">
        <v>246381.01</v>
      </c>
    </row>
    <row r="546" spans="1:9" x14ac:dyDescent="0.3">
      <c r="A546">
        <v>204</v>
      </c>
      <c r="B546" t="s">
        <v>34</v>
      </c>
      <c r="C546" s="2">
        <v>47483</v>
      </c>
      <c r="D546">
        <v>2029</v>
      </c>
      <c r="E546" t="s">
        <v>18</v>
      </c>
      <c r="F546" t="s">
        <v>87</v>
      </c>
      <c r="G546">
        <v>242749</v>
      </c>
      <c r="H546">
        <v>226727.56</v>
      </c>
      <c r="I546">
        <v>258770.43</v>
      </c>
    </row>
    <row r="547" spans="1:9" x14ac:dyDescent="0.3">
      <c r="A547">
        <v>204</v>
      </c>
      <c r="B547" t="s">
        <v>34</v>
      </c>
      <c r="C547" s="2">
        <v>47848</v>
      </c>
      <c r="D547">
        <v>2030</v>
      </c>
      <c r="E547" t="s">
        <v>20</v>
      </c>
      <c r="F547" t="s">
        <v>87</v>
      </c>
      <c r="G547">
        <v>252982.45</v>
      </c>
      <c r="H547">
        <v>235273.68</v>
      </c>
      <c r="I547">
        <v>270691.21999999997</v>
      </c>
    </row>
    <row r="548" spans="1:9" x14ac:dyDescent="0.3">
      <c r="A548">
        <v>205</v>
      </c>
      <c r="B548" t="s">
        <v>35</v>
      </c>
      <c r="C548" s="2">
        <v>46387</v>
      </c>
      <c r="D548">
        <v>2026</v>
      </c>
      <c r="E548" t="s">
        <v>12</v>
      </c>
      <c r="F548" t="s">
        <v>86</v>
      </c>
      <c r="G548">
        <v>6438.01</v>
      </c>
      <c r="H548">
        <v>6090.36</v>
      </c>
      <c r="I548">
        <v>6785.66</v>
      </c>
    </row>
    <row r="549" spans="1:9" x14ac:dyDescent="0.3">
      <c r="A549">
        <v>205</v>
      </c>
      <c r="B549" t="s">
        <v>35</v>
      </c>
      <c r="C549" s="2">
        <v>46752</v>
      </c>
      <c r="D549">
        <v>2027</v>
      </c>
      <c r="E549" t="s">
        <v>14</v>
      </c>
      <c r="F549" t="s">
        <v>86</v>
      </c>
      <c r="G549">
        <v>7190.91</v>
      </c>
      <c r="H549">
        <v>6773.84</v>
      </c>
      <c r="I549">
        <v>7607.99</v>
      </c>
    </row>
    <row r="550" spans="1:9" x14ac:dyDescent="0.3">
      <c r="A550">
        <v>205</v>
      </c>
      <c r="B550" t="s">
        <v>35</v>
      </c>
      <c r="C550" s="2">
        <v>47118</v>
      </c>
      <c r="D550">
        <v>2028</v>
      </c>
      <c r="E550" t="s">
        <v>16</v>
      </c>
      <c r="F550" t="s">
        <v>86</v>
      </c>
      <c r="G550">
        <v>8031.87</v>
      </c>
      <c r="H550">
        <v>7533.89</v>
      </c>
      <c r="I550">
        <v>8529.84</v>
      </c>
    </row>
    <row r="551" spans="1:9" x14ac:dyDescent="0.3">
      <c r="A551">
        <v>205</v>
      </c>
      <c r="B551" t="s">
        <v>35</v>
      </c>
      <c r="C551" s="2">
        <v>47483</v>
      </c>
      <c r="D551">
        <v>2029</v>
      </c>
      <c r="E551" t="s">
        <v>18</v>
      </c>
      <c r="F551" t="s">
        <v>86</v>
      </c>
      <c r="G551">
        <v>8971.17</v>
      </c>
      <c r="H551">
        <v>8379.07</v>
      </c>
      <c r="I551">
        <v>9563.27</v>
      </c>
    </row>
    <row r="552" spans="1:9" x14ac:dyDescent="0.3">
      <c r="A552">
        <v>205</v>
      </c>
      <c r="B552" t="s">
        <v>35</v>
      </c>
      <c r="C552" s="2">
        <v>47848</v>
      </c>
      <c r="D552">
        <v>2030</v>
      </c>
      <c r="E552" t="s">
        <v>20</v>
      </c>
      <c r="F552" t="s">
        <v>86</v>
      </c>
      <c r="G552">
        <v>10020.32</v>
      </c>
      <c r="H552">
        <v>9318.9</v>
      </c>
      <c r="I552">
        <v>10721.74</v>
      </c>
    </row>
    <row r="553" spans="1:9" x14ac:dyDescent="0.3">
      <c r="A553" s="3">
        <v>377</v>
      </c>
      <c r="B553" s="3" t="s">
        <v>49</v>
      </c>
      <c r="C553" s="4">
        <v>46387</v>
      </c>
      <c r="D553" s="3">
        <v>2026</v>
      </c>
      <c r="E553" t="s">
        <v>12</v>
      </c>
      <c r="F553" t="s">
        <v>88</v>
      </c>
      <c r="G553">
        <v>11678.75</v>
      </c>
      <c r="H553">
        <v>11048.1</v>
      </c>
      <c r="I553">
        <v>12309.4</v>
      </c>
    </row>
    <row r="554" spans="1:9" x14ac:dyDescent="0.3">
      <c r="A554" s="3">
        <v>377</v>
      </c>
      <c r="B554" s="3" t="s">
        <v>49</v>
      </c>
      <c r="C554" s="4">
        <v>46752</v>
      </c>
      <c r="D554" s="3">
        <v>2027</v>
      </c>
      <c r="E554" t="s">
        <v>14</v>
      </c>
      <c r="F554" t="s">
        <v>88</v>
      </c>
      <c r="G554">
        <v>12380.37</v>
      </c>
      <c r="H554">
        <v>11662.31</v>
      </c>
      <c r="I554">
        <v>13098.43</v>
      </c>
    </row>
    <row r="555" spans="1:9" x14ac:dyDescent="0.3">
      <c r="A555" s="3">
        <v>377</v>
      </c>
      <c r="B555" s="3" t="s">
        <v>49</v>
      </c>
      <c r="C555" s="4">
        <v>47118</v>
      </c>
      <c r="D555" s="3">
        <v>2028</v>
      </c>
      <c r="E555" t="s">
        <v>16</v>
      </c>
      <c r="F555" t="s">
        <v>88</v>
      </c>
      <c r="G555">
        <v>13124.13</v>
      </c>
      <c r="H555">
        <v>12310.44</v>
      </c>
      <c r="I555">
        <v>13937.83</v>
      </c>
    </row>
    <row r="556" spans="1:9" x14ac:dyDescent="0.3">
      <c r="A556" s="3">
        <v>377</v>
      </c>
      <c r="B556" s="3" t="s">
        <v>49</v>
      </c>
      <c r="C556" s="4">
        <v>47483</v>
      </c>
      <c r="D556" s="3">
        <v>2029</v>
      </c>
      <c r="E556" t="s">
        <v>18</v>
      </c>
      <c r="F556" t="s">
        <v>88</v>
      </c>
      <c r="G556">
        <v>13912.58</v>
      </c>
      <c r="H556">
        <v>12994.35</v>
      </c>
      <c r="I556">
        <v>14830.81</v>
      </c>
    </row>
    <row r="557" spans="1:9" x14ac:dyDescent="0.3">
      <c r="A557" s="3">
        <v>377</v>
      </c>
      <c r="B557" s="3" t="s">
        <v>49</v>
      </c>
      <c r="C557" s="4">
        <v>47848</v>
      </c>
      <c r="D557" s="3">
        <v>2030</v>
      </c>
      <c r="E557" t="s">
        <v>20</v>
      </c>
      <c r="F557" t="s">
        <v>88</v>
      </c>
      <c r="G557">
        <v>14748.39</v>
      </c>
      <c r="H557">
        <v>13716.01</v>
      </c>
      <c r="I557">
        <v>15780.8</v>
      </c>
    </row>
    <row r="558" spans="1:9" x14ac:dyDescent="0.3">
      <c r="A558">
        <v>376</v>
      </c>
      <c r="B558" t="s">
        <v>72</v>
      </c>
      <c r="C558" s="2">
        <v>46387</v>
      </c>
      <c r="D558">
        <v>2026</v>
      </c>
      <c r="E558" t="s">
        <v>12</v>
      </c>
      <c r="F558" t="s">
        <v>89</v>
      </c>
      <c r="G558">
        <v>45618.99</v>
      </c>
      <c r="H558">
        <v>43246.8</v>
      </c>
      <c r="I558">
        <v>47991.18</v>
      </c>
    </row>
    <row r="559" spans="1:9" x14ac:dyDescent="0.3">
      <c r="A559">
        <v>376</v>
      </c>
      <c r="B559" t="s">
        <v>72</v>
      </c>
      <c r="C559" s="2">
        <v>46752</v>
      </c>
      <c r="D559">
        <v>2027</v>
      </c>
      <c r="E559" t="s">
        <v>14</v>
      </c>
      <c r="F559" t="s">
        <v>89</v>
      </c>
      <c r="G559">
        <v>47010.37</v>
      </c>
      <c r="H559">
        <v>44471.81</v>
      </c>
      <c r="I559">
        <v>49548.93</v>
      </c>
    </row>
    <row r="560" spans="1:9" x14ac:dyDescent="0.3">
      <c r="A560">
        <v>376</v>
      </c>
      <c r="B560" t="s">
        <v>72</v>
      </c>
      <c r="C560" s="2">
        <v>47118</v>
      </c>
      <c r="D560">
        <v>2028</v>
      </c>
      <c r="E560" t="s">
        <v>16</v>
      </c>
      <c r="F560" t="s">
        <v>89</v>
      </c>
      <c r="G560">
        <v>50052.08</v>
      </c>
      <c r="H560">
        <v>47249.17</v>
      </c>
      <c r="I560">
        <v>52855</v>
      </c>
    </row>
    <row r="561" spans="1:9" x14ac:dyDescent="0.3">
      <c r="A561">
        <v>376</v>
      </c>
      <c r="B561" t="s">
        <v>72</v>
      </c>
      <c r="C561" s="2">
        <v>47483</v>
      </c>
      <c r="D561">
        <v>2029</v>
      </c>
      <c r="E561" t="s">
        <v>18</v>
      </c>
      <c r="F561" t="s">
        <v>89</v>
      </c>
      <c r="G561">
        <v>53243.94</v>
      </c>
      <c r="H561">
        <v>50155.79</v>
      </c>
      <c r="I561">
        <v>56332.08</v>
      </c>
    </row>
    <row r="562" spans="1:9" x14ac:dyDescent="0.3">
      <c r="A562">
        <v>376</v>
      </c>
      <c r="B562" t="s">
        <v>72</v>
      </c>
      <c r="C562" s="2">
        <v>47848</v>
      </c>
      <c r="D562">
        <v>2030</v>
      </c>
      <c r="E562" t="s">
        <v>20</v>
      </c>
      <c r="F562" t="s">
        <v>89</v>
      </c>
      <c r="G562">
        <v>56401.09</v>
      </c>
      <c r="H562">
        <v>53017.03</v>
      </c>
      <c r="I562">
        <v>59785.16</v>
      </c>
    </row>
    <row r="563" spans="1:9" x14ac:dyDescent="0.3">
      <c r="A563">
        <v>207</v>
      </c>
      <c r="B563" t="s">
        <v>36</v>
      </c>
      <c r="C563" s="2">
        <v>46387</v>
      </c>
      <c r="D563">
        <v>2026</v>
      </c>
      <c r="E563" t="s">
        <v>12</v>
      </c>
      <c r="F563" t="s">
        <v>89</v>
      </c>
      <c r="G563">
        <v>186914.73</v>
      </c>
      <c r="H563">
        <v>177195.16</v>
      </c>
      <c r="I563">
        <v>196634.29</v>
      </c>
    </row>
    <row r="564" spans="1:9" x14ac:dyDescent="0.3">
      <c r="A564">
        <v>207</v>
      </c>
      <c r="B564" t="s">
        <v>36</v>
      </c>
      <c r="C564" s="2">
        <v>46752</v>
      </c>
      <c r="D564">
        <v>2027</v>
      </c>
      <c r="E564" t="s">
        <v>14</v>
      </c>
      <c r="F564" t="s">
        <v>89</v>
      </c>
      <c r="G564">
        <v>196895.97</v>
      </c>
      <c r="H564">
        <v>186263.59</v>
      </c>
      <c r="I564">
        <v>207528.36</v>
      </c>
    </row>
    <row r="565" spans="1:9" x14ac:dyDescent="0.3">
      <c r="A565">
        <v>207</v>
      </c>
      <c r="B565" t="s">
        <v>36</v>
      </c>
      <c r="C565" s="2">
        <v>47118</v>
      </c>
      <c r="D565">
        <v>2028</v>
      </c>
      <c r="E565" t="s">
        <v>16</v>
      </c>
      <c r="F565" t="s">
        <v>89</v>
      </c>
      <c r="G565">
        <v>207410.22</v>
      </c>
      <c r="H565">
        <v>195795.25</v>
      </c>
      <c r="I565">
        <v>219025.19</v>
      </c>
    </row>
    <row r="566" spans="1:9" x14ac:dyDescent="0.3">
      <c r="A566">
        <v>207</v>
      </c>
      <c r="B566" t="s">
        <v>36</v>
      </c>
      <c r="C566" s="2">
        <v>47483</v>
      </c>
      <c r="D566">
        <v>2029</v>
      </c>
      <c r="E566" t="s">
        <v>18</v>
      </c>
      <c r="F566" t="s">
        <v>89</v>
      </c>
      <c r="G566">
        <v>218485.92</v>
      </c>
      <c r="H566">
        <v>205813.74</v>
      </c>
      <c r="I566">
        <v>231158.11</v>
      </c>
    </row>
    <row r="567" spans="1:9" x14ac:dyDescent="0.3">
      <c r="A567">
        <v>207</v>
      </c>
      <c r="B567" t="s">
        <v>36</v>
      </c>
      <c r="C567" s="2">
        <v>47848</v>
      </c>
      <c r="D567">
        <v>2030</v>
      </c>
      <c r="E567" t="s">
        <v>20</v>
      </c>
      <c r="F567" t="s">
        <v>89</v>
      </c>
      <c r="G567">
        <v>230153.07</v>
      </c>
      <c r="H567">
        <v>216343.89</v>
      </c>
      <c r="I567">
        <v>243962.26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Licec Ximena Silva Goyeneche</cp:lastModifiedBy>
  <dcterms:created xsi:type="dcterms:W3CDTF">2025-11-09T21:13:00Z</dcterms:created>
  <dcterms:modified xsi:type="dcterms:W3CDTF">2026-02-02T14:00:47Z</dcterms:modified>
</cp:coreProperties>
</file>