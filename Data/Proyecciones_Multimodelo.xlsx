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806" documentId="8_{44BC8EE8-0004-4F82-B9F9-910542D6C047}" xr6:coauthVersionLast="47" xr6:coauthVersionMax="47" xr10:uidLastSave="{CE06279F-7464-4E9C-B64C-E3089C350EEC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Proyecciones!$A$1:$K$462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36" i="1"/>
  <c r="K137" i="1"/>
  <c r="K138" i="1"/>
  <c r="K139" i="1"/>
  <c r="K140" i="1"/>
  <c r="K141" i="1"/>
  <c r="K142" i="1"/>
  <c r="K143" i="1"/>
  <c r="K144" i="1"/>
  <c r="K135" i="1"/>
  <c r="J144" i="1"/>
  <c r="J143" i="1"/>
  <c r="J142" i="1"/>
  <c r="J141" i="1"/>
  <c r="J140" i="1"/>
  <c r="J139" i="1"/>
  <c r="J138" i="1"/>
  <c r="J137" i="1"/>
  <c r="J136" i="1"/>
  <c r="J135" i="1"/>
</calcChain>
</file>

<file path=xl/sharedStrings.xml><?xml version="1.0" encoding="utf-8"?>
<sst xmlns="http://schemas.openxmlformats.org/spreadsheetml/2006/main" count="1407" uniqueCount="75">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</sst>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K462"/>
  <sheetViews>
    <sheetView tabSelected="1" workbookViewId="0">
      <selection activeCell="F1" sqref="F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30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30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30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30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30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30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30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30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30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30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29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29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29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29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29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29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29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29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29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29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28</v>
      </c>
      <c r="C37" s="2">
        <v>46752</v>
      </c>
      <c r="D37">
        <f t="shared" ref="D37:D39" si="0">YEAR(C37)</f>
        <v>2027</v>
      </c>
      <c r="E37" t="s">
        <v>14</v>
      </c>
      <c r="F37" t="s">
        <v>29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28</v>
      </c>
      <c r="C38" s="2">
        <v>47483</v>
      </c>
      <c r="D38">
        <f t="shared" si="0"/>
        <v>2029</v>
      </c>
      <c r="E38" t="s">
        <v>18</v>
      </c>
      <c r="F38" t="s">
        <v>29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28</v>
      </c>
      <c r="C39" s="2">
        <v>48213</v>
      </c>
      <c r="D39">
        <f t="shared" si="0"/>
        <v>2031</v>
      </c>
      <c r="E39" t="s">
        <v>74</v>
      </c>
      <c r="F39" t="s">
        <v>29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32</v>
      </c>
      <c r="C50" s="2">
        <v>46387</v>
      </c>
      <c r="D50">
        <v>2026</v>
      </c>
      <c r="E50" t="s">
        <v>12</v>
      </c>
      <c r="F50" t="s">
        <v>70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32</v>
      </c>
      <c r="C51" s="2">
        <v>46752</v>
      </c>
      <c r="D51">
        <v>2027</v>
      </c>
      <c r="E51" t="s">
        <v>14</v>
      </c>
      <c r="F51" t="s">
        <v>70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32</v>
      </c>
      <c r="C52" s="2">
        <v>47118</v>
      </c>
      <c r="D52">
        <v>2028</v>
      </c>
      <c r="E52" t="s">
        <v>16</v>
      </c>
      <c r="F52" t="s">
        <v>70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32</v>
      </c>
      <c r="C53" s="2">
        <v>47483</v>
      </c>
      <c r="D53">
        <v>2029</v>
      </c>
      <c r="E53" t="s">
        <v>18</v>
      </c>
      <c r="F53" t="s">
        <v>70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32</v>
      </c>
      <c r="C54" s="2">
        <v>47848</v>
      </c>
      <c r="D54">
        <v>2030</v>
      </c>
      <c r="E54" t="s">
        <v>20</v>
      </c>
      <c r="F54" t="s">
        <v>70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33</v>
      </c>
      <c r="C55" s="2">
        <v>46387</v>
      </c>
      <c r="D55">
        <v>2026</v>
      </c>
      <c r="E55" t="s">
        <v>12</v>
      </c>
      <c r="F55" t="s">
        <v>31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33</v>
      </c>
      <c r="C56" s="2">
        <v>46752</v>
      </c>
      <c r="D56">
        <v>2027</v>
      </c>
      <c r="E56" t="s">
        <v>14</v>
      </c>
      <c r="F56" t="s">
        <v>31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33</v>
      </c>
      <c r="C57" s="2">
        <v>47118</v>
      </c>
      <c r="D57">
        <v>2028</v>
      </c>
      <c r="E57" t="s">
        <v>16</v>
      </c>
      <c r="F57" t="s">
        <v>31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33</v>
      </c>
      <c r="C58" s="2">
        <v>47483</v>
      </c>
      <c r="D58">
        <v>2029</v>
      </c>
      <c r="E58" t="s">
        <v>18</v>
      </c>
      <c r="F58" t="s">
        <v>31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33</v>
      </c>
      <c r="C59" s="2">
        <v>47848</v>
      </c>
      <c r="D59">
        <v>2030</v>
      </c>
      <c r="E59" t="s">
        <v>20</v>
      </c>
      <c r="F59" t="s">
        <v>31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33</v>
      </c>
      <c r="C60" s="2">
        <v>46387</v>
      </c>
      <c r="D60">
        <v>2026</v>
      </c>
      <c r="E60" t="s">
        <v>12</v>
      </c>
      <c r="F60" t="s">
        <v>34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33</v>
      </c>
      <c r="C61" s="2">
        <v>46752</v>
      </c>
      <c r="D61">
        <v>2027</v>
      </c>
      <c r="E61" t="s">
        <v>14</v>
      </c>
      <c r="F61" t="s">
        <v>34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33</v>
      </c>
      <c r="C62" s="2">
        <v>47118</v>
      </c>
      <c r="D62">
        <v>2028</v>
      </c>
      <c r="E62" t="s">
        <v>16</v>
      </c>
      <c r="F62" t="s">
        <v>34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33</v>
      </c>
      <c r="C63" s="2">
        <v>47483</v>
      </c>
      <c r="D63">
        <v>2029</v>
      </c>
      <c r="E63" t="s">
        <v>18</v>
      </c>
      <c r="F63" t="s">
        <v>34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33</v>
      </c>
      <c r="C64" s="2">
        <v>47848</v>
      </c>
      <c r="D64">
        <v>2030</v>
      </c>
      <c r="E64" t="s">
        <v>20</v>
      </c>
      <c r="F64" t="s">
        <v>34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35</v>
      </c>
      <c r="C65" s="2">
        <v>46387</v>
      </c>
      <c r="D65">
        <v>2026</v>
      </c>
      <c r="E65" t="s">
        <v>12</v>
      </c>
      <c r="F65" t="s">
        <v>70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35</v>
      </c>
      <c r="C66" s="2">
        <v>46752</v>
      </c>
      <c r="D66">
        <v>2027</v>
      </c>
      <c r="E66" t="s">
        <v>14</v>
      </c>
      <c r="F66" t="s">
        <v>70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35</v>
      </c>
      <c r="C67" s="2">
        <v>47118</v>
      </c>
      <c r="D67">
        <v>2028</v>
      </c>
      <c r="E67" t="s">
        <v>16</v>
      </c>
      <c r="F67" t="s">
        <v>70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35</v>
      </c>
      <c r="C68" s="2">
        <v>47483</v>
      </c>
      <c r="D68">
        <v>2029</v>
      </c>
      <c r="E68" t="s">
        <v>18</v>
      </c>
      <c r="F68" t="s">
        <v>70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35</v>
      </c>
      <c r="C69" s="2">
        <v>47848</v>
      </c>
      <c r="D69">
        <v>2030</v>
      </c>
      <c r="E69" t="s">
        <v>20</v>
      </c>
      <c r="F69" t="s">
        <v>70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36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36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36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36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36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37</v>
      </c>
      <c r="C75" s="2">
        <v>46387</v>
      </c>
      <c r="D75">
        <v>2026</v>
      </c>
      <c r="E75" t="s">
        <v>12</v>
      </c>
      <c r="F75" t="s">
        <v>70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37</v>
      </c>
      <c r="C76" s="2">
        <v>46752</v>
      </c>
      <c r="D76">
        <v>2027</v>
      </c>
      <c r="E76" t="s">
        <v>14</v>
      </c>
      <c r="F76" t="s">
        <v>70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37</v>
      </c>
      <c r="C77" s="2">
        <v>47118</v>
      </c>
      <c r="D77">
        <v>2028</v>
      </c>
      <c r="E77" t="s">
        <v>16</v>
      </c>
      <c r="F77" t="s">
        <v>70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37</v>
      </c>
      <c r="C78" s="2">
        <v>47483</v>
      </c>
      <c r="D78">
        <v>2029</v>
      </c>
      <c r="E78" t="s">
        <v>18</v>
      </c>
      <c r="F78" t="s">
        <v>70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37</v>
      </c>
      <c r="C79" s="2">
        <v>47848</v>
      </c>
      <c r="D79">
        <v>2030</v>
      </c>
      <c r="E79" t="s">
        <v>20</v>
      </c>
      <c r="F79" t="s">
        <v>70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38</v>
      </c>
      <c r="C80" s="2">
        <v>46387</v>
      </c>
      <c r="D80">
        <v>2026</v>
      </c>
      <c r="E80" t="s">
        <v>12</v>
      </c>
      <c r="F80" t="s">
        <v>31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38</v>
      </c>
      <c r="C81" s="2">
        <v>46752</v>
      </c>
      <c r="D81">
        <v>2027</v>
      </c>
      <c r="E81" t="s">
        <v>14</v>
      </c>
      <c r="F81" t="s">
        <v>31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38</v>
      </c>
      <c r="C82" s="2">
        <v>47118</v>
      </c>
      <c r="D82">
        <v>2028</v>
      </c>
      <c r="E82" t="s">
        <v>16</v>
      </c>
      <c r="F82" t="s">
        <v>31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38</v>
      </c>
      <c r="C83" s="2">
        <v>47483</v>
      </c>
      <c r="D83">
        <v>2029</v>
      </c>
      <c r="E83" t="s">
        <v>18</v>
      </c>
      <c r="F83" t="s">
        <v>31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38</v>
      </c>
      <c r="C84" s="2">
        <v>47848</v>
      </c>
      <c r="D84">
        <v>2030</v>
      </c>
      <c r="E84" t="s">
        <v>20</v>
      </c>
      <c r="F84" t="s">
        <v>31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38</v>
      </c>
      <c r="C85" s="2">
        <v>46387</v>
      </c>
      <c r="D85">
        <v>2026</v>
      </c>
      <c r="E85" t="s">
        <v>12</v>
      </c>
      <c r="F85" t="s">
        <v>30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38</v>
      </c>
      <c r="C86" s="2">
        <v>46752</v>
      </c>
      <c r="D86">
        <v>2027</v>
      </c>
      <c r="E86" t="s">
        <v>14</v>
      </c>
      <c r="F86" t="s">
        <v>30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38</v>
      </c>
      <c r="C87" s="2">
        <v>47118</v>
      </c>
      <c r="D87">
        <v>2028</v>
      </c>
      <c r="E87" t="s">
        <v>16</v>
      </c>
      <c r="F87" t="s">
        <v>30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38</v>
      </c>
      <c r="C88" s="2">
        <v>47483</v>
      </c>
      <c r="D88">
        <v>2029</v>
      </c>
      <c r="E88" t="s">
        <v>18</v>
      </c>
      <c r="F88" t="s">
        <v>30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38</v>
      </c>
      <c r="C89" s="2">
        <v>47848</v>
      </c>
      <c r="D89">
        <v>2030</v>
      </c>
      <c r="E89" t="s">
        <v>20</v>
      </c>
      <c r="F89" t="s">
        <v>30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39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39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39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39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39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40</v>
      </c>
      <c r="C95" s="2">
        <v>46203</v>
      </c>
      <c r="D95">
        <v>2026</v>
      </c>
      <c r="E95" t="s">
        <v>10</v>
      </c>
      <c r="F95" t="s">
        <v>29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40</v>
      </c>
      <c r="C96" s="2">
        <v>46387</v>
      </c>
      <c r="D96">
        <v>2026</v>
      </c>
      <c r="E96" t="s">
        <v>12</v>
      </c>
      <c r="F96" t="s">
        <v>29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40</v>
      </c>
      <c r="C97" s="2">
        <v>46568</v>
      </c>
      <c r="D97">
        <v>2027</v>
      </c>
      <c r="E97" t="s">
        <v>13</v>
      </c>
      <c r="F97" t="s">
        <v>29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40</v>
      </c>
      <c r="C98" s="2">
        <v>46752</v>
      </c>
      <c r="D98">
        <v>2027</v>
      </c>
      <c r="E98" t="s">
        <v>14</v>
      </c>
      <c r="F98" t="s">
        <v>29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40</v>
      </c>
      <c r="C99" s="2">
        <v>46934</v>
      </c>
      <c r="D99">
        <v>2028</v>
      </c>
      <c r="E99" t="s">
        <v>15</v>
      </c>
      <c r="F99" t="s">
        <v>29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40</v>
      </c>
      <c r="C100" s="2">
        <v>47118</v>
      </c>
      <c r="D100">
        <v>2028</v>
      </c>
      <c r="E100" t="s">
        <v>16</v>
      </c>
      <c r="F100" t="s">
        <v>29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40</v>
      </c>
      <c r="C101" s="2">
        <v>47299</v>
      </c>
      <c r="D101">
        <v>2029</v>
      </c>
      <c r="E101" t="s">
        <v>17</v>
      </c>
      <c r="F101" t="s">
        <v>29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40</v>
      </c>
      <c r="C102" s="2">
        <v>47483</v>
      </c>
      <c r="D102">
        <v>2029</v>
      </c>
      <c r="E102" t="s">
        <v>18</v>
      </c>
      <c r="F102" t="s">
        <v>29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40</v>
      </c>
      <c r="C103" s="2">
        <v>47664</v>
      </c>
      <c r="D103">
        <v>2030</v>
      </c>
      <c r="E103" t="s">
        <v>19</v>
      </c>
      <c r="F103" t="s">
        <v>29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40</v>
      </c>
      <c r="C104" s="2">
        <v>47848</v>
      </c>
      <c r="D104">
        <v>2030</v>
      </c>
      <c r="E104" t="s">
        <v>20</v>
      </c>
      <c r="F104" t="s">
        <v>29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40</v>
      </c>
      <c r="C105" s="2">
        <v>46203</v>
      </c>
      <c r="D105">
        <v>2026</v>
      </c>
      <c r="E105" t="s">
        <v>10</v>
      </c>
      <c r="F105" t="s">
        <v>34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40</v>
      </c>
      <c r="C106" s="2">
        <v>46387</v>
      </c>
      <c r="D106">
        <v>2026</v>
      </c>
      <c r="E106" t="s">
        <v>12</v>
      </c>
      <c r="F106" t="s">
        <v>34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40</v>
      </c>
      <c r="C107" s="2">
        <v>46568</v>
      </c>
      <c r="D107">
        <v>2027</v>
      </c>
      <c r="E107" t="s">
        <v>13</v>
      </c>
      <c r="F107" t="s">
        <v>34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40</v>
      </c>
      <c r="C108" s="2">
        <v>46752</v>
      </c>
      <c r="D108">
        <v>2027</v>
      </c>
      <c r="E108" t="s">
        <v>14</v>
      </c>
      <c r="F108" t="s">
        <v>34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40</v>
      </c>
      <c r="C109" s="2">
        <v>46934</v>
      </c>
      <c r="D109">
        <v>2028</v>
      </c>
      <c r="E109" t="s">
        <v>15</v>
      </c>
      <c r="F109" t="s">
        <v>34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40</v>
      </c>
      <c r="C110" s="2">
        <v>47118</v>
      </c>
      <c r="D110">
        <v>2028</v>
      </c>
      <c r="E110" t="s">
        <v>16</v>
      </c>
      <c r="F110" t="s">
        <v>34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40</v>
      </c>
      <c r="C111" s="2">
        <v>47299</v>
      </c>
      <c r="D111">
        <v>2029</v>
      </c>
      <c r="E111" t="s">
        <v>17</v>
      </c>
      <c r="F111" t="s">
        <v>34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40</v>
      </c>
      <c r="C112" s="2">
        <v>47483</v>
      </c>
      <c r="D112">
        <v>2029</v>
      </c>
      <c r="E112" t="s">
        <v>18</v>
      </c>
      <c r="F112" t="s">
        <v>34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40</v>
      </c>
      <c r="C113" s="2">
        <v>47664</v>
      </c>
      <c r="D113">
        <v>2030</v>
      </c>
      <c r="E113" t="s">
        <v>19</v>
      </c>
      <c r="F113" t="s">
        <v>34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40</v>
      </c>
      <c r="C114" s="2">
        <v>47848</v>
      </c>
      <c r="D114">
        <v>2030</v>
      </c>
      <c r="E114" t="s">
        <v>20</v>
      </c>
      <c r="F114" t="s">
        <v>34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41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x14ac:dyDescent="0.3">
      <c r="A116">
        <v>276</v>
      </c>
      <c r="B116" t="s">
        <v>41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x14ac:dyDescent="0.3">
      <c r="A117">
        <v>276</v>
      </c>
      <c r="B117" t="s">
        <v>41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x14ac:dyDescent="0.3">
      <c r="A118">
        <v>276</v>
      </c>
      <c r="B118" t="s">
        <v>41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x14ac:dyDescent="0.3">
      <c r="A119">
        <v>276</v>
      </c>
      <c r="B119" t="s">
        <v>41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x14ac:dyDescent="0.3">
      <c r="A120">
        <v>276</v>
      </c>
      <c r="B120" t="s">
        <v>41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x14ac:dyDescent="0.3">
      <c r="A121">
        <v>276</v>
      </c>
      <c r="B121" t="s">
        <v>41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x14ac:dyDescent="0.3">
      <c r="A122">
        <v>276</v>
      </c>
      <c r="B122" t="s">
        <v>41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x14ac:dyDescent="0.3">
      <c r="A123">
        <v>276</v>
      </c>
      <c r="B123" t="s">
        <v>41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x14ac:dyDescent="0.3">
      <c r="A124">
        <v>276</v>
      </c>
      <c r="B124" t="s">
        <v>41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x14ac:dyDescent="0.3">
      <c r="A125">
        <v>276</v>
      </c>
      <c r="B125" t="s">
        <v>41</v>
      </c>
      <c r="C125" s="2">
        <v>46203</v>
      </c>
      <c r="D125">
        <v>2026</v>
      </c>
      <c r="E125" t="s">
        <v>10</v>
      </c>
      <c r="F125" t="s">
        <v>29</v>
      </c>
      <c r="G125">
        <v>82.234038282271925</v>
      </c>
      <c r="H125">
        <v>86.083268380521034</v>
      </c>
      <c r="I125">
        <v>69.3338001487799</v>
      </c>
    </row>
    <row r="126" spans="1:9" x14ac:dyDescent="0.3">
      <c r="A126">
        <v>276</v>
      </c>
      <c r="B126" t="s">
        <v>41</v>
      </c>
      <c r="C126" s="2">
        <v>46387</v>
      </c>
      <c r="D126">
        <v>2026</v>
      </c>
      <c r="E126" t="s">
        <v>12</v>
      </c>
      <c r="F126" t="s">
        <v>29</v>
      </c>
      <c r="G126">
        <v>80.333060729510137</v>
      </c>
      <c r="H126">
        <v>84.206116886725511</v>
      </c>
      <c r="I126">
        <v>67.352972385300021</v>
      </c>
    </row>
    <row r="127" spans="1:9" x14ac:dyDescent="0.3">
      <c r="A127">
        <v>276</v>
      </c>
      <c r="B127" t="s">
        <v>41</v>
      </c>
      <c r="C127" s="2">
        <v>46568</v>
      </c>
      <c r="D127">
        <v>2027</v>
      </c>
      <c r="E127" t="s">
        <v>13</v>
      </c>
      <c r="F127" t="s">
        <v>29</v>
      </c>
      <c r="G127">
        <v>78.476027457384305</v>
      </c>
      <c r="H127">
        <v>82.369751160866997</v>
      </c>
      <c r="I127">
        <v>65.426674283148913</v>
      </c>
    </row>
    <row r="128" spans="1:9" x14ac:dyDescent="0.3">
      <c r="A128">
        <v>276</v>
      </c>
      <c r="B128" t="s">
        <v>41</v>
      </c>
      <c r="C128" s="2">
        <v>46752</v>
      </c>
      <c r="D128">
        <v>2027</v>
      </c>
      <c r="E128" t="s">
        <v>14</v>
      </c>
      <c r="F128" t="s">
        <v>29</v>
      </c>
      <c r="G128">
        <v>76.661922620232403</v>
      </c>
      <c r="H128">
        <v>80.573288653722372</v>
      </c>
      <c r="I128">
        <v>63.553443269459287</v>
      </c>
    </row>
    <row r="129" spans="1:11" x14ac:dyDescent="0.3">
      <c r="A129">
        <v>276</v>
      </c>
      <c r="B129" t="s">
        <v>41</v>
      </c>
      <c r="C129" s="2">
        <v>46934</v>
      </c>
      <c r="D129">
        <v>2028</v>
      </c>
      <c r="E129" t="s">
        <v>15</v>
      </c>
      <c r="F129" t="s">
        <v>29</v>
      </c>
      <c r="G129">
        <v>74.889753855366578</v>
      </c>
      <c r="H129">
        <v>78.815865824149853</v>
      </c>
      <c r="I129">
        <v>61.731855251410558</v>
      </c>
    </row>
    <row r="130" spans="1:11" x14ac:dyDescent="0.3">
      <c r="A130">
        <v>276</v>
      </c>
      <c r="B130" t="s">
        <v>41</v>
      </c>
      <c r="C130" s="2">
        <v>47118</v>
      </c>
      <c r="D130">
        <v>2028</v>
      </c>
      <c r="E130" t="s">
        <v>16</v>
      </c>
      <c r="F130" t="s">
        <v>29</v>
      </c>
      <c r="G130">
        <v>73.158551740224951</v>
      </c>
      <c r="H130">
        <v>77.096637731899037</v>
      </c>
      <c r="I130">
        <v>59.960523618738179</v>
      </c>
    </row>
    <row r="131" spans="1:11" x14ac:dyDescent="0.3">
      <c r="A131">
        <v>276</v>
      </c>
      <c r="B131" t="s">
        <v>41</v>
      </c>
      <c r="C131" s="2">
        <v>47299</v>
      </c>
      <c r="D131">
        <v>2029</v>
      </c>
      <c r="E131" t="s">
        <v>17</v>
      </c>
      <c r="F131" t="s">
        <v>29</v>
      </c>
      <c r="G131">
        <v>71.467369262072097</v>
      </c>
      <c r="H131">
        <v>75.414777639089081</v>
      </c>
      <c r="I131">
        <v>58.238098271797057</v>
      </c>
    </row>
    <row r="132" spans="1:11" x14ac:dyDescent="0.3">
      <c r="A132">
        <v>276</v>
      </c>
      <c r="B132" t="s">
        <v>41</v>
      </c>
      <c r="C132" s="2">
        <v>47483</v>
      </c>
      <c r="D132">
        <v>2029</v>
      </c>
      <c r="E132" t="s">
        <v>18</v>
      </c>
      <c r="F132" t="s">
        <v>29</v>
      </c>
      <c r="G132">
        <v>69.815281299958414</v>
      </c>
      <c r="H132">
        <v>73.769476620171801</v>
      </c>
      <c r="I132">
        <v>56.563264674531062</v>
      </c>
    </row>
    <row r="133" spans="1:11" x14ac:dyDescent="0.3">
      <c r="A133">
        <v>276</v>
      </c>
      <c r="B133" t="s">
        <v>41</v>
      </c>
      <c r="C133" s="2">
        <v>47664</v>
      </c>
      <c r="D133">
        <v>2030</v>
      </c>
      <c r="E133" t="s">
        <v>19</v>
      </c>
      <c r="F133" t="s">
        <v>29</v>
      </c>
      <c r="G133">
        <v>68.201384118654829</v>
      </c>
      <c r="H133">
        <v>72.159943180200727</v>
      </c>
      <c r="I133">
        <v>54.934742931716322</v>
      </c>
    </row>
    <row r="134" spans="1:11" x14ac:dyDescent="0.3">
      <c r="A134">
        <v>276</v>
      </c>
      <c r="B134" t="s">
        <v>41</v>
      </c>
      <c r="C134" s="2">
        <v>47848</v>
      </c>
      <c r="D134">
        <v>2030</v>
      </c>
      <c r="E134" t="s">
        <v>20</v>
      </c>
      <c r="F134" t="s">
        <v>29</v>
      </c>
      <c r="G134">
        <v>66.624794874285968</v>
      </c>
      <c r="H134">
        <v>70.585402881230067</v>
      </c>
      <c r="I134">
        <v>53.351286889862124</v>
      </c>
    </row>
    <row r="135" spans="1:11" x14ac:dyDescent="0.3">
      <c r="A135">
        <v>277</v>
      </c>
      <c r="B135" t="s">
        <v>42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  <c r="J135">
        <f>+G135*0.95</f>
        <v>64.074650000000005</v>
      </c>
      <c r="K135">
        <f>+G135*1.05</f>
        <v>70.81935</v>
      </c>
    </row>
    <row r="136" spans="1:11" x14ac:dyDescent="0.3">
      <c r="A136">
        <v>277</v>
      </c>
      <c r="B136" t="s">
        <v>42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  <c r="J136">
        <f t="shared" ref="J136:J144" si="1">+G136*0.95</f>
        <v>62.532799999999995</v>
      </c>
      <c r="K136">
        <f t="shared" ref="K136:K144" si="2">+G136*1.05</f>
        <v>69.115200000000002</v>
      </c>
    </row>
    <row r="137" spans="1:11" x14ac:dyDescent="0.3">
      <c r="A137">
        <v>277</v>
      </c>
      <c r="B137" t="s">
        <v>42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  <c r="J137">
        <f t="shared" si="1"/>
        <v>60.990949999999991</v>
      </c>
      <c r="K137">
        <f t="shared" si="2"/>
        <v>67.411050000000003</v>
      </c>
    </row>
    <row r="138" spans="1:11" x14ac:dyDescent="0.3">
      <c r="A138">
        <v>277</v>
      </c>
      <c r="B138" t="s">
        <v>42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  <c r="J138">
        <f t="shared" si="1"/>
        <v>59.449100000000001</v>
      </c>
      <c r="K138">
        <f t="shared" si="2"/>
        <v>65.706900000000005</v>
      </c>
    </row>
    <row r="139" spans="1:11" x14ac:dyDescent="0.3">
      <c r="A139">
        <v>277</v>
      </c>
      <c r="B139" t="s">
        <v>42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  <c r="J139">
        <f t="shared" si="1"/>
        <v>57.907249999999998</v>
      </c>
      <c r="K139">
        <f t="shared" si="2"/>
        <v>64.002750000000006</v>
      </c>
    </row>
    <row r="140" spans="1:11" x14ac:dyDescent="0.3">
      <c r="A140">
        <v>277</v>
      </c>
      <c r="B140" t="s">
        <v>42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  <c r="J140">
        <f t="shared" si="1"/>
        <v>56.365399999999987</v>
      </c>
      <c r="K140">
        <f t="shared" si="2"/>
        <v>62.298599999999986</v>
      </c>
    </row>
    <row r="141" spans="1:11" x14ac:dyDescent="0.3">
      <c r="A141">
        <v>277</v>
      </c>
      <c r="B141" t="s">
        <v>42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  <c r="J141">
        <f t="shared" si="1"/>
        <v>54.823549999999997</v>
      </c>
      <c r="K141">
        <f t="shared" si="2"/>
        <v>60.594450000000009</v>
      </c>
    </row>
    <row r="142" spans="1:11" x14ac:dyDescent="0.3">
      <c r="A142">
        <v>277</v>
      </c>
      <c r="B142" t="s">
        <v>42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  <c r="J142">
        <f t="shared" si="1"/>
        <v>53.281699999999987</v>
      </c>
      <c r="K142">
        <f t="shared" si="2"/>
        <v>58.890299999999996</v>
      </c>
    </row>
    <row r="143" spans="1:11" x14ac:dyDescent="0.3">
      <c r="A143">
        <v>277</v>
      </c>
      <c r="B143" t="s">
        <v>42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  <c r="J143">
        <f t="shared" si="1"/>
        <v>51.739849999999983</v>
      </c>
      <c r="K143">
        <f t="shared" si="2"/>
        <v>57.186149999999991</v>
      </c>
    </row>
    <row r="144" spans="1:11" x14ac:dyDescent="0.3">
      <c r="A144">
        <v>277</v>
      </c>
      <c r="B144" t="s">
        <v>42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  <c r="J144">
        <f t="shared" si="1"/>
        <v>50.197999999999986</v>
      </c>
      <c r="K144">
        <f t="shared" si="2"/>
        <v>55.481999999999992</v>
      </c>
    </row>
    <row r="145" spans="1:11" x14ac:dyDescent="0.3">
      <c r="A145">
        <v>277</v>
      </c>
      <c r="B145" t="s">
        <v>42</v>
      </c>
      <c r="C145" s="2">
        <v>46203</v>
      </c>
      <c r="D145">
        <v>2026</v>
      </c>
      <c r="E145" t="s">
        <v>10</v>
      </c>
      <c r="F145" t="s">
        <v>29</v>
      </c>
      <c r="G145">
        <v>67.888278699901591</v>
      </c>
      <c r="H145">
        <v>70.628064222570998</v>
      </c>
      <c r="I145">
        <v>65.851630338904542</v>
      </c>
      <c r="J145">
        <f>+G145*0.95</f>
        <v>64.493864764906505</v>
      </c>
      <c r="K145">
        <f>+G145*1.05</f>
        <v>71.282692634896677</v>
      </c>
    </row>
    <row r="146" spans="1:11" x14ac:dyDescent="0.3">
      <c r="A146">
        <v>277</v>
      </c>
      <c r="B146" t="s">
        <v>42</v>
      </c>
      <c r="C146" s="2">
        <v>46387</v>
      </c>
      <c r="D146">
        <v>2026</v>
      </c>
      <c r="E146" t="s">
        <v>12</v>
      </c>
      <c r="F146" t="s">
        <v>29</v>
      </c>
      <c r="G146">
        <v>66.419057282540876</v>
      </c>
      <c r="H146">
        <v>69.179963794072279</v>
      </c>
      <c r="I146">
        <v>64.366708412510363</v>
      </c>
      <c r="J146">
        <f t="shared" ref="J146:J154" si="3">+G146*0.95</f>
        <v>63.098104418413833</v>
      </c>
      <c r="K146">
        <f t="shared" ref="K146:K154" si="4">+G146*1.05</f>
        <v>69.740010146667927</v>
      </c>
    </row>
    <row r="147" spans="1:11" x14ac:dyDescent="0.3">
      <c r="A147">
        <v>277</v>
      </c>
      <c r="B147" t="s">
        <v>42</v>
      </c>
      <c r="C147" s="2">
        <v>46568</v>
      </c>
      <c r="D147">
        <v>2027</v>
      </c>
      <c r="E147" t="s">
        <v>13</v>
      </c>
      <c r="F147" t="s">
        <v>29</v>
      </c>
      <c r="G147">
        <v>64.9816323934553</v>
      </c>
      <c r="H147">
        <v>67.761462482320823</v>
      </c>
      <c r="I147">
        <v>62.915216483343421</v>
      </c>
      <c r="J147">
        <f t="shared" si="3"/>
        <v>61.732550773782535</v>
      </c>
      <c r="K147">
        <f t="shared" si="4"/>
        <v>68.230714013128065</v>
      </c>
    </row>
    <row r="148" spans="1:11" x14ac:dyDescent="0.3">
      <c r="A148">
        <v>277</v>
      </c>
      <c r="B148" t="s">
        <v>42</v>
      </c>
      <c r="C148" s="2">
        <v>46752</v>
      </c>
      <c r="D148">
        <v>2027</v>
      </c>
      <c r="E148" t="s">
        <v>14</v>
      </c>
      <c r="F148" t="s">
        <v>29</v>
      </c>
      <c r="G148">
        <v>63.57531590000643</v>
      </c>
      <c r="H148">
        <v>66.371957374014286</v>
      </c>
      <c r="I148">
        <v>61.496403070076219</v>
      </c>
      <c r="J148">
        <f t="shared" si="3"/>
        <v>60.396550105006106</v>
      </c>
      <c r="K148">
        <f t="shared" si="4"/>
        <v>66.754081695006761</v>
      </c>
    </row>
    <row r="149" spans="1:11" x14ac:dyDescent="0.3">
      <c r="A149">
        <v>277</v>
      </c>
      <c r="B149" t="s">
        <v>42</v>
      </c>
      <c r="C149" s="2">
        <v>46934</v>
      </c>
      <c r="D149">
        <v>2028</v>
      </c>
      <c r="E149" t="s">
        <v>15</v>
      </c>
      <c r="F149" t="s">
        <v>29</v>
      </c>
      <c r="G149">
        <v>62.199434561953034</v>
      </c>
      <c r="H149">
        <v>65.010857788847503</v>
      </c>
      <c r="I149">
        <v>60.109533560671402</v>
      </c>
      <c r="J149">
        <f t="shared" si="3"/>
        <v>59.089462833855379</v>
      </c>
      <c r="K149">
        <f t="shared" si="4"/>
        <v>65.309406290050688</v>
      </c>
    </row>
    <row r="150" spans="1:11" x14ac:dyDescent="0.3">
      <c r="A150">
        <v>277</v>
      </c>
      <c r="B150" t="s">
        <v>42</v>
      </c>
      <c r="C150" s="2">
        <v>47118</v>
      </c>
      <c r="D150">
        <v>2028</v>
      </c>
      <c r="E150" t="s">
        <v>16</v>
      </c>
      <c r="F150" t="s">
        <v>29</v>
      </c>
      <c r="G150">
        <v>60.853329709153464</v>
      </c>
      <c r="H150">
        <v>63.677585032409269</v>
      </c>
      <c r="I150">
        <v>58.75388983418766</v>
      </c>
      <c r="J150">
        <f t="shared" si="3"/>
        <v>57.810663223695791</v>
      </c>
      <c r="K150">
        <f t="shared" si="4"/>
        <v>63.895996194611136</v>
      </c>
    </row>
    <row r="151" spans="1:11" x14ac:dyDescent="0.3">
      <c r="A151">
        <v>277</v>
      </c>
      <c r="B151" t="s">
        <v>42</v>
      </c>
      <c r="C151" s="2">
        <v>47299</v>
      </c>
      <c r="D151">
        <v>2029</v>
      </c>
      <c r="E151" t="s">
        <v>17</v>
      </c>
      <c r="F151" t="s">
        <v>29</v>
      </c>
      <c r="G151">
        <v>59.536356926243137</v>
      </c>
      <c r="H151">
        <v>62.371572154045019</v>
      </c>
      <c r="I151">
        <v>57.428769891054131</v>
      </c>
      <c r="J151">
        <f t="shared" si="3"/>
        <v>56.559539079930978</v>
      </c>
      <c r="K151">
        <f t="shared" si="4"/>
        <v>62.513174772555296</v>
      </c>
    </row>
    <row r="152" spans="1:11" x14ac:dyDescent="0.3">
      <c r="A152">
        <v>277</v>
      </c>
      <c r="B152" t="s">
        <v>42</v>
      </c>
      <c r="C152" s="2">
        <v>47483</v>
      </c>
      <c r="D152">
        <v>2029</v>
      </c>
      <c r="E152" t="s">
        <v>18</v>
      </c>
      <c r="F152" t="s">
        <v>29</v>
      </c>
      <c r="G152">
        <v>58.247885744136177</v>
      </c>
      <c r="H152">
        <v>61.092263709586383</v>
      </c>
      <c r="I152">
        <v>56.133487491624052</v>
      </c>
      <c r="J152">
        <f t="shared" si="3"/>
        <v>55.335491456929368</v>
      </c>
      <c r="K152">
        <f t="shared" si="4"/>
        <v>61.160280031342985</v>
      </c>
    </row>
    <row r="153" spans="1:11" x14ac:dyDescent="0.3">
      <c r="A153">
        <v>277</v>
      </c>
      <c r="B153" t="s">
        <v>42</v>
      </c>
      <c r="C153" s="2">
        <v>47664</v>
      </c>
      <c r="D153">
        <v>2030</v>
      </c>
      <c r="E153" t="s">
        <v>19</v>
      </c>
      <c r="F153" t="s">
        <v>29</v>
      </c>
      <c r="G153">
        <v>56.987299338203513</v>
      </c>
      <c r="H153">
        <v>59.839115528850272</v>
      </c>
      <c r="I153">
        <v>54.867371802822348</v>
      </c>
      <c r="J153">
        <f t="shared" si="3"/>
        <v>54.137934371293333</v>
      </c>
      <c r="K153">
        <f t="shared" si="4"/>
        <v>59.836664305113693</v>
      </c>
    </row>
    <row r="154" spans="1:11" x14ac:dyDescent="0.3">
      <c r="A154">
        <v>277</v>
      </c>
      <c r="B154" t="s">
        <v>42</v>
      </c>
      <c r="C154" s="2">
        <v>47848</v>
      </c>
      <c r="D154">
        <v>2030</v>
      </c>
      <c r="E154" t="s">
        <v>20</v>
      </c>
      <c r="F154" t="s">
        <v>29</v>
      </c>
      <c r="G154">
        <v>55.753994232982812</v>
      </c>
      <c r="H154">
        <v>58.611594487812098</v>
      </c>
      <c r="I154">
        <v>53.629767052706171</v>
      </c>
      <c r="J154">
        <f t="shared" si="3"/>
        <v>52.966294521333673</v>
      </c>
      <c r="K154">
        <f t="shared" si="4"/>
        <v>58.541693944631952</v>
      </c>
    </row>
    <row r="155" spans="1:11" x14ac:dyDescent="0.3">
      <c r="A155">
        <v>325</v>
      </c>
      <c r="B155" t="s">
        <v>44</v>
      </c>
      <c r="C155" s="2">
        <v>46387</v>
      </c>
      <c r="D155">
        <v>2026</v>
      </c>
      <c r="E155" t="s">
        <v>12</v>
      </c>
      <c r="F155" t="s">
        <v>25</v>
      </c>
      <c r="G155">
        <v>6</v>
      </c>
      <c r="H155">
        <v>4</v>
      </c>
      <c r="I155">
        <v>8</v>
      </c>
    </row>
    <row r="156" spans="1:11" x14ac:dyDescent="0.3">
      <c r="A156">
        <v>325</v>
      </c>
      <c r="B156" t="s">
        <v>44</v>
      </c>
      <c r="C156" s="2">
        <v>46752</v>
      </c>
      <c r="D156">
        <v>2027</v>
      </c>
      <c r="E156" t="s">
        <v>14</v>
      </c>
      <c r="F156" t="s">
        <v>25</v>
      </c>
      <c r="G156">
        <v>6</v>
      </c>
      <c r="H156">
        <v>4</v>
      </c>
      <c r="I156">
        <v>8</v>
      </c>
    </row>
    <row r="157" spans="1:11" x14ac:dyDescent="0.3">
      <c r="A157">
        <v>325</v>
      </c>
      <c r="B157" t="s">
        <v>44</v>
      </c>
      <c r="C157" s="2">
        <v>47118</v>
      </c>
      <c r="D157">
        <v>2028</v>
      </c>
      <c r="E157" t="s">
        <v>16</v>
      </c>
      <c r="F157" t="s">
        <v>25</v>
      </c>
      <c r="G157">
        <v>7</v>
      </c>
      <c r="H157">
        <v>5</v>
      </c>
      <c r="I157">
        <v>9</v>
      </c>
    </row>
    <row r="158" spans="1:11" x14ac:dyDescent="0.3">
      <c r="A158">
        <v>325</v>
      </c>
      <c r="B158" t="s">
        <v>44</v>
      </c>
      <c r="C158" s="2">
        <v>47483</v>
      </c>
      <c r="D158">
        <v>2029</v>
      </c>
      <c r="E158" t="s">
        <v>18</v>
      </c>
      <c r="F158" t="s">
        <v>25</v>
      </c>
      <c r="G158">
        <v>7</v>
      </c>
      <c r="H158">
        <v>5</v>
      </c>
      <c r="I158">
        <v>9</v>
      </c>
    </row>
    <row r="159" spans="1:11" x14ac:dyDescent="0.3">
      <c r="A159">
        <v>325</v>
      </c>
      <c r="B159" t="s">
        <v>44</v>
      </c>
      <c r="C159" s="2">
        <v>47848</v>
      </c>
      <c r="D159">
        <v>2030</v>
      </c>
      <c r="E159" t="s">
        <v>20</v>
      </c>
      <c r="F159" t="s">
        <v>25</v>
      </c>
      <c r="G159">
        <v>7</v>
      </c>
      <c r="H159">
        <v>5</v>
      </c>
      <c r="I159">
        <v>9</v>
      </c>
    </row>
    <row r="160" spans="1:11" x14ac:dyDescent="0.3">
      <c r="A160">
        <v>332</v>
      </c>
      <c r="B160" t="s">
        <v>45</v>
      </c>
      <c r="C160" s="2">
        <v>46387</v>
      </c>
      <c r="D160">
        <v>2026</v>
      </c>
      <c r="E160" t="s">
        <v>12</v>
      </c>
      <c r="F160" t="s">
        <v>30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45</v>
      </c>
      <c r="C161" s="2">
        <v>46752</v>
      </c>
      <c r="D161">
        <v>2027</v>
      </c>
      <c r="E161" t="s">
        <v>14</v>
      </c>
      <c r="F161" t="s">
        <v>30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45</v>
      </c>
      <c r="C162" s="2">
        <v>47118</v>
      </c>
      <c r="D162">
        <v>2028</v>
      </c>
      <c r="E162" t="s">
        <v>16</v>
      </c>
      <c r="F162" t="s">
        <v>30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45</v>
      </c>
      <c r="C163" s="2">
        <v>47483</v>
      </c>
      <c r="D163">
        <v>2029</v>
      </c>
      <c r="E163" t="s">
        <v>18</v>
      </c>
      <c r="F163" t="s">
        <v>30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45</v>
      </c>
      <c r="C164" s="2">
        <v>47848</v>
      </c>
      <c r="D164">
        <v>2030</v>
      </c>
      <c r="E164" t="s">
        <v>20</v>
      </c>
      <c r="F164" t="s">
        <v>30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45</v>
      </c>
      <c r="C165" s="2">
        <v>46387</v>
      </c>
      <c r="D165">
        <v>2026</v>
      </c>
      <c r="E165" t="s">
        <v>12</v>
      </c>
      <c r="F165" t="s">
        <v>34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45</v>
      </c>
      <c r="C166" s="2">
        <v>46752</v>
      </c>
      <c r="D166">
        <v>2027</v>
      </c>
      <c r="E166" t="s">
        <v>14</v>
      </c>
      <c r="F166" t="s">
        <v>34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45</v>
      </c>
      <c r="C167" s="2">
        <v>47118</v>
      </c>
      <c r="D167">
        <v>2028</v>
      </c>
      <c r="E167" t="s">
        <v>16</v>
      </c>
      <c r="F167" t="s">
        <v>34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45</v>
      </c>
      <c r="C168" s="2">
        <v>47483</v>
      </c>
      <c r="D168">
        <v>2029</v>
      </c>
      <c r="E168" t="s">
        <v>18</v>
      </c>
      <c r="F168" t="s">
        <v>34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45</v>
      </c>
      <c r="C169" s="2">
        <v>47848</v>
      </c>
      <c r="D169">
        <v>2030</v>
      </c>
      <c r="E169" t="s">
        <v>20</v>
      </c>
      <c r="F169" t="s">
        <v>34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46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46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46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46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46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46</v>
      </c>
      <c r="C175" s="2">
        <v>46387</v>
      </c>
      <c r="D175">
        <v>2026</v>
      </c>
      <c r="E175" t="s">
        <v>12</v>
      </c>
      <c r="F175" t="s">
        <v>30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46</v>
      </c>
      <c r="C176" s="2">
        <v>46752</v>
      </c>
      <c r="D176">
        <v>2027</v>
      </c>
      <c r="E176" t="s">
        <v>14</v>
      </c>
      <c r="F176" t="s">
        <v>30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46</v>
      </c>
      <c r="C177" s="2">
        <v>47118</v>
      </c>
      <c r="D177">
        <v>2028</v>
      </c>
      <c r="E177" t="s">
        <v>16</v>
      </c>
      <c r="F177" t="s">
        <v>30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46</v>
      </c>
      <c r="C178" s="2">
        <v>47483</v>
      </c>
      <c r="D178">
        <v>2029</v>
      </c>
      <c r="E178" t="s">
        <v>18</v>
      </c>
      <c r="F178" t="s">
        <v>30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46</v>
      </c>
      <c r="C179" s="2">
        <v>47848</v>
      </c>
      <c r="D179">
        <v>2030</v>
      </c>
      <c r="E179" t="s">
        <v>20</v>
      </c>
      <c r="F179" t="s">
        <v>30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47</v>
      </c>
      <c r="C180" s="2">
        <v>46752</v>
      </c>
      <c r="D180">
        <v>2027</v>
      </c>
      <c r="E180" t="s">
        <v>14</v>
      </c>
      <c r="F180" t="s">
        <v>70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47</v>
      </c>
      <c r="C181" s="2">
        <v>47483</v>
      </c>
      <c r="D181">
        <v>2029</v>
      </c>
      <c r="E181" t="s">
        <v>18</v>
      </c>
      <c r="F181" t="s">
        <v>70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47</v>
      </c>
      <c r="C182" s="2">
        <v>48213</v>
      </c>
      <c r="D182">
        <v>2031</v>
      </c>
      <c r="E182" t="s">
        <v>74</v>
      </c>
      <c r="F182" t="s">
        <v>70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48</v>
      </c>
      <c r="C183" s="4">
        <v>46387</v>
      </c>
      <c r="D183" s="3">
        <v>2026</v>
      </c>
      <c r="E183" s="3" t="s">
        <v>12</v>
      </c>
      <c r="F183" t="s">
        <v>70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48</v>
      </c>
      <c r="C184" s="4">
        <v>46752</v>
      </c>
      <c r="D184" s="3">
        <v>2027</v>
      </c>
      <c r="E184" t="s">
        <v>14</v>
      </c>
      <c r="F184" t="s">
        <v>70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48</v>
      </c>
      <c r="C185" s="4">
        <v>47118</v>
      </c>
      <c r="D185" s="3">
        <v>2028</v>
      </c>
      <c r="E185" t="s">
        <v>16</v>
      </c>
      <c r="F185" t="s">
        <v>70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48</v>
      </c>
      <c r="C186" s="4">
        <v>47483</v>
      </c>
      <c r="D186" s="3">
        <v>2029</v>
      </c>
      <c r="E186" t="s">
        <v>18</v>
      </c>
      <c r="F186" t="s">
        <v>70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48</v>
      </c>
      <c r="C187" s="4">
        <v>47848</v>
      </c>
      <c r="D187" s="3">
        <v>2030</v>
      </c>
      <c r="E187" t="s">
        <v>20</v>
      </c>
      <c r="F187" t="s">
        <v>70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71</v>
      </c>
      <c r="C188" s="4">
        <v>46387</v>
      </c>
      <c r="D188" s="3">
        <v>2026</v>
      </c>
      <c r="E188" s="3" t="s">
        <v>12</v>
      </c>
      <c r="F188" t="s">
        <v>29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71</v>
      </c>
      <c r="C189" s="4">
        <v>46752</v>
      </c>
      <c r="D189" s="3">
        <v>2027</v>
      </c>
      <c r="E189" t="s">
        <v>14</v>
      </c>
      <c r="F189" t="s">
        <v>29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71</v>
      </c>
      <c r="C190" s="4">
        <v>47118</v>
      </c>
      <c r="D190" s="3">
        <v>2028</v>
      </c>
      <c r="E190" t="s">
        <v>16</v>
      </c>
      <c r="F190" t="s">
        <v>29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71</v>
      </c>
      <c r="C191" s="4">
        <v>47483</v>
      </c>
      <c r="D191" s="3">
        <v>2029</v>
      </c>
      <c r="E191" t="s">
        <v>18</v>
      </c>
      <c r="F191" t="s">
        <v>29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71</v>
      </c>
      <c r="C192" s="4">
        <v>47848</v>
      </c>
      <c r="D192" s="3">
        <v>2030</v>
      </c>
      <c r="E192" t="s">
        <v>20</v>
      </c>
      <c r="F192" t="s">
        <v>29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49</v>
      </c>
      <c r="C193" s="4">
        <v>46387</v>
      </c>
      <c r="D193" s="3">
        <v>2026</v>
      </c>
      <c r="E193" s="3" t="s">
        <v>12</v>
      </c>
      <c r="F193" t="s">
        <v>70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49</v>
      </c>
      <c r="C194" s="4">
        <v>46752</v>
      </c>
      <c r="D194" s="3">
        <v>2027</v>
      </c>
      <c r="E194" t="s">
        <v>14</v>
      </c>
      <c r="F194" t="s">
        <v>70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49</v>
      </c>
      <c r="C195" s="4">
        <v>47118</v>
      </c>
      <c r="D195" s="3">
        <v>2028</v>
      </c>
      <c r="E195" t="s">
        <v>16</v>
      </c>
      <c r="F195" t="s">
        <v>70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49</v>
      </c>
      <c r="C196" s="4">
        <v>47483</v>
      </c>
      <c r="D196" s="3">
        <v>2029</v>
      </c>
      <c r="E196" t="s">
        <v>18</v>
      </c>
      <c r="F196" t="s">
        <v>70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49</v>
      </c>
      <c r="C197" s="4">
        <v>47848</v>
      </c>
      <c r="D197" s="3">
        <v>2030</v>
      </c>
      <c r="E197" t="s">
        <v>20</v>
      </c>
      <c r="F197" t="s">
        <v>70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50</v>
      </c>
      <c r="C198" s="4">
        <v>46387</v>
      </c>
      <c r="D198" s="3">
        <v>2026</v>
      </c>
      <c r="E198" s="3" t="s">
        <v>12</v>
      </c>
      <c r="F198" t="s">
        <v>70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50</v>
      </c>
      <c r="C199" s="4">
        <v>46752</v>
      </c>
      <c r="D199" s="3">
        <v>2027</v>
      </c>
      <c r="E199" t="s">
        <v>14</v>
      </c>
      <c r="F199" t="s">
        <v>70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50</v>
      </c>
      <c r="C200" s="4">
        <v>47118</v>
      </c>
      <c r="D200" s="3">
        <v>2028</v>
      </c>
      <c r="E200" t="s">
        <v>16</v>
      </c>
      <c r="F200" t="s">
        <v>70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50</v>
      </c>
      <c r="C201" s="4">
        <v>47483</v>
      </c>
      <c r="D201" s="3">
        <v>2029</v>
      </c>
      <c r="E201" t="s">
        <v>18</v>
      </c>
      <c r="F201" t="s">
        <v>70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50</v>
      </c>
      <c r="C202" s="4">
        <v>47848</v>
      </c>
      <c r="D202" s="3">
        <v>2030</v>
      </c>
      <c r="E202" t="s">
        <v>20</v>
      </c>
      <c r="F202" t="s">
        <v>70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52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52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52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52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52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53</v>
      </c>
      <c r="C208" s="2">
        <v>46387</v>
      </c>
      <c r="D208">
        <v>2026</v>
      </c>
      <c r="E208" t="s">
        <v>12</v>
      </c>
      <c r="F208" t="s">
        <v>70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53</v>
      </c>
      <c r="C209" s="2">
        <v>46752</v>
      </c>
      <c r="D209">
        <v>2027</v>
      </c>
      <c r="E209" t="s">
        <v>14</v>
      </c>
      <c r="F209" t="s">
        <v>70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53</v>
      </c>
      <c r="C210" s="2">
        <v>47118</v>
      </c>
      <c r="D210">
        <v>2028</v>
      </c>
      <c r="E210" t="s">
        <v>16</v>
      </c>
      <c r="F210" t="s">
        <v>70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53</v>
      </c>
      <c r="C211" s="2">
        <v>47483</v>
      </c>
      <c r="D211">
        <v>2029</v>
      </c>
      <c r="E211" t="s">
        <v>18</v>
      </c>
      <c r="F211" t="s">
        <v>70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53</v>
      </c>
      <c r="C212" s="2">
        <v>47848</v>
      </c>
      <c r="D212">
        <v>2030</v>
      </c>
      <c r="E212" t="s">
        <v>20</v>
      </c>
      <c r="F212" t="s">
        <v>70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55</v>
      </c>
      <c r="C213" s="2">
        <v>46387</v>
      </c>
      <c r="D213">
        <v>2026</v>
      </c>
      <c r="E213" t="s">
        <v>12</v>
      </c>
      <c r="F213" t="s">
        <v>29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55</v>
      </c>
      <c r="C214" s="2">
        <v>46752</v>
      </c>
      <c r="D214">
        <v>2027</v>
      </c>
      <c r="E214" t="s">
        <v>14</v>
      </c>
      <c r="F214" t="s">
        <v>29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55</v>
      </c>
      <c r="C215" s="2">
        <v>47118</v>
      </c>
      <c r="D215">
        <v>2028</v>
      </c>
      <c r="E215" t="s">
        <v>16</v>
      </c>
      <c r="F215" t="s">
        <v>29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55</v>
      </c>
      <c r="C216" s="2">
        <v>47483</v>
      </c>
      <c r="D216">
        <v>2029</v>
      </c>
      <c r="E216" t="s">
        <v>18</v>
      </c>
      <c r="F216" t="s">
        <v>29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55</v>
      </c>
      <c r="C217" s="2">
        <v>47848</v>
      </c>
      <c r="D217">
        <v>2030</v>
      </c>
      <c r="E217" t="s">
        <v>20</v>
      </c>
      <c r="F217" t="s">
        <v>29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57</v>
      </c>
      <c r="C218" s="2">
        <v>46387</v>
      </c>
      <c r="D218">
        <v>2026</v>
      </c>
      <c r="E218" t="s">
        <v>12</v>
      </c>
      <c r="F218" t="s">
        <v>30</v>
      </c>
      <c r="G218">
        <v>8</v>
      </c>
      <c r="H218">
        <v>6</v>
      </c>
      <c r="I218">
        <v>10</v>
      </c>
    </row>
    <row r="219" spans="1:9" x14ac:dyDescent="0.3">
      <c r="A219">
        <v>98</v>
      </c>
      <c r="B219" t="s">
        <v>57</v>
      </c>
      <c r="C219" s="2">
        <v>46752</v>
      </c>
      <c r="D219">
        <v>2027</v>
      </c>
      <c r="E219" t="s">
        <v>14</v>
      </c>
      <c r="F219" t="s">
        <v>30</v>
      </c>
      <c r="G219">
        <v>7</v>
      </c>
      <c r="H219">
        <v>5</v>
      </c>
      <c r="I219">
        <v>10</v>
      </c>
    </row>
    <row r="220" spans="1:9" x14ac:dyDescent="0.3">
      <c r="A220">
        <v>98</v>
      </c>
      <c r="B220" t="s">
        <v>57</v>
      </c>
      <c r="C220" s="2">
        <v>47118</v>
      </c>
      <c r="D220">
        <v>2028</v>
      </c>
      <c r="E220" t="s">
        <v>16</v>
      </c>
      <c r="F220" t="s">
        <v>30</v>
      </c>
      <c r="G220">
        <v>7</v>
      </c>
      <c r="H220">
        <v>5</v>
      </c>
      <c r="I220">
        <v>10</v>
      </c>
    </row>
    <row r="221" spans="1:9" x14ac:dyDescent="0.3">
      <c r="A221">
        <v>98</v>
      </c>
      <c r="B221" t="s">
        <v>57</v>
      </c>
      <c r="C221" s="2">
        <v>47483</v>
      </c>
      <c r="D221">
        <v>2029</v>
      </c>
      <c r="E221" t="s">
        <v>18</v>
      </c>
      <c r="F221" t="s">
        <v>30</v>
      </c>
      <c r="G221">
        <v>9</v>
      </c>
      <c r="H221">
        <v>7</v>
      </c>
      <c r="I221">
        <v>12</v>
      </c>
    </row>
    <row r="222" spans="1:9" x14ac:dyDescent="0.3">
      <c r="A222">
        <v>98</v>
      </c>
      <c r="B222" t="s">
        <v>57</v>
      </c>
      <c r="C222" s="2">
        <v>47848</v>
      </c>
      <c r="D222">
        <v>2030</v>
      </c>
      <c r="E222" t="s">
        <v>20</v>
      </c>
      <c r="F222" t="s">
        <v>30</v>
      </c>
      <c r="G222">
        <v>9</v>
      </c>
      <c r="H222">
        <v>7</v>
      </c>
      <c r="I222">
        <v>12</v>
      </c>
    </row>
    <row r="223" spans="1:9" x14ac:dyDescent="0.3">
      <c r="A223" s="3">
        <v>386.1</v>
      </c>
      <c r="B223" s="3" t="s">
        <v>58</v>
      </c>
      <c r="C223" s="4">
        <v>46387</v>
      </c>
      <c r="D223" s="3">
        <v>2026</v>
      </c>
      <c r="E223" s="3" t="s">
        <v>12</v>
      </c>
      <c r="F223" t="s">
        <v>30</v>
      </c>
      <c r="G223">
        <v>5021.3256906738234</v>
      </c>
      <c r="H223">
        <v>4017.0605525390588</v>
      </c>
      <c r="I223">
        <v>6025.5908288085884</v>
      </c>
    </row>
    <row r="224" spans="1:9" x14ac:dyDescent="0.3">
      <c r="A224" s="3">
        <v>386.1</v>
      </c>
      <c r="B224" s="3" t="s">
        <v>58</v>
      </c>
      <c r="C224" s="4">
        <v>46752</v>
      </c>
      <c r="D224" s="3">
        <v>2027</v>
      </c>
      <c r="E224" t="s">
        <v>14</v>
      </c>
      <c r="F224" t="s">
        <v>30</v>
      </c>
      <c r="G224">
        <v>5914.5712658767779</v>
      </c>
      <c r="H224">
        <v>4696.1695851061622</v>
      </c>
      <c r="I224">
        <v>7132.9729466473937</v>
      </c>
    </row>
    <row r="225" spans="1:9" x14ac:dyDescent="0.3">
      <c r="A225" s="3">
        <v>386.1</v>
      </c>
      <c r="B225" s="3" t="s">
        <v>58</v>
      </c>
      <c r="C225" s="4">
        <v>47118</v>
      </c>
      <c r="D225" s="3">
        <v>2028</v>
      </c>
      <c r="E225" t="s">
        <v>16</v>
      </c>
      <c r="F225" t="s">
        <v>30</v>
      </c>
      <c r="G225">
        <v>6920.7335283964458</v>
      </c>
      <c r="H225">
        <v>5453.5380203763998</v>
      </c>
      <c r="I225">
        <v>8387.9290364164917</v>
      </c>
    </row>
    <row r="226" spans="1:9" x14ac:dyDescent="0.3">
      <c r="A226" s="3">
        <v>386.1</v>
      </c>
      <c r="B226" s="3" t="s">
        <v>58</v>
      </c>
      <c r="C226" s="4">
        <v>47483</v>
      </c>
      <c r="D226" s="3">
        <v>2029</v>
      </c>
      <c r="E226" t="s">
        <v>18</v>
      </c>
      <c r="F226" t="s">
        <v>30</v>
      </c>
      <c r="G226">
        <v>8039.8124782328259</v>
      </c>
      <c r="H226">
        <v>6287.1333579780694</v>
      </c>
      <c r="I226">
        <v>9792.4915984875806</v>
      </c>
    </row>
    <row r="227" spans="1:9" x14ac:dyDescent="0.3">
      <c r="A227" s="3">
        <v>386.1</v>
      </c>
      <c r="B227" s="3" t="s">
        <v>58</v>
      </c>
      <c r="C227" s="4">
        <v>47848</v>
      </c>
      <c r="D227" s="3">
        <v>2030</v>
      </c>
      <c r="E227" t="s">
        <v>20</v>
      </c>
      <c r="F227" t="s">
        <v>30</v>
      </c>
      <c r="G227">
        <v>9271.8081153859184</v>
      </c>
      <c r="H227">
        <v>7194.923097539473</v>
      </c>
      <c r="I227">
        <v>11348.693133232369</v>
      </c>
    </row>
    <row r="228" spans="1:9" x14ac:dyDescent="0.3">
      <c r="A228" s="3">
        <v>386.2</v>
      </c>
      <c r="B228" s="3" t="s">
        <v>59</v>
      </c>
      <c r="C228" s="4">
        <v>46387</v>
      </c>
      <c r="D228" s="3">
        <v>2026</v>
      </c>
      <c r="E228" s="3" t="s">
        <v>12</v>
      </c>
      <c r="F228" t="s">
        <v>29</v>
      </c>
      <c r="G228">
        <v>8322.3104068060129</v>
      </c>
      <c r="H228">
        <v>6657.8483254448111</v>
      </c>
      <c r="I228">
        <v>9176.5019107995558</v>
      </c>
    </row>
    <row r="229" spans="1:9" x14ac:dyDescent="0.3">
      <c r="A229" s="3">
        <v>386.2</v>
      </c>
      <c r="B229" s="3" t="s">
        <v>59</v>
      </c>
      <c r="C229" s="4">
        <v>46752</v>
      </c>
      <c r="D229" s="3">
        <v>2027</v>
      </c>
      <c r="E229" t="s">
        <v>14</v>
      </c>
      <c r="F229" t="s">
        <v>29</v>
      </c>
      <c r="G229">
        <v>9300.7150739219178</v>
      </c>
      <c r="H229">
        <v>7384.7677686940033</v>
      </c>
      <c r="I229">
        <v>10283.967217993961</v>
      </c>
    </row>
    <row r="230" spans="1:9" x14ac:dyDescent="0.3">
      <c r="A230" s="3">
        <v>386.2</v>
      </c>
      <c r="B230" s="3" t="s">
        <v>59</v>
      </c>
      <c r="C230" s="4">
        <v>47118</v>
      </c>
      <c r="D230" s="3">
        <v>2028</v>
      </c>
      <c r="E230" t="s">
        <v>16</v>
      </c>
      <c r="F230" t="s">
        <v>29</v>
      </c>
      <c r="G230">
        <v>10394.14497391682</v>
      </c>
      <c r="H230">
        <v>8190.5862394464584</v>
      </c>
      <c r="I230">
        <v>11524.99750015523</v>
      </c>
    </row>
    <row r="231" spans="1:9" x14ac:dyDescent="0.3">
      <c r="A231" s="3">
        <v>386.2</v>
      </c>
      <c r="B231" s="3" t="s">
        <v>59</v>
      </c>
      <c r="C231" s="4">
        <v>47483</v>
      </c>
      <c r="D231" s="3">
        <v>2029</v>
      </c>
      <c r="E231" t="s">
        <v>18</v>
      </c>
      <c r="F231" t="s">
        <v>29</v>
      </c>
      <c r="G231">
        <v>11616.122941098</v>
      </c>
      <c r="H231">
        <v>9083.8081399386374</v>
      </c>
      <c r="I231">
        <v>12915.691019463869</v>
      </c>
    </row>
    <row r="232" spans="1:9" x14ac:dyDescent="0.3">
      <c r="A232" s="3">
        <v>386.2</v>
      </c>
      <c r="B232" s="3" t="s">
        <v>59</v>
      </c>
      <c r="C232" s="4">
        <v>47848</v>
      </c>
      <c r="D232" s="3">
        <v>2030</v>
      </c>
      <c r="E232" t="s">
        <v>20</v>
      </c>
      <c r="F232" t="s">
        <v>29</v>
      </c>
      <c r="G232">
        <v>12981.76160918564</v>
      </c>
      <c r="H232">
        <v>10073.847008728049</v>
      </c>
      <c r="I232">
        <v>14474.085149544269</v>
      </c>
    </row>
    <row r="233" spans="1:9" x14ac:dyDescent="0.3">
      <c r="A233" s="3">
        <v>386.3</v>
      </c>
      <c r="B233" s="3" t="s">
        <v>60</v>
      </c>
      <c r="C233" s="4">
        <v>46387</v>
      </c>
      <c r="D233" s="3">
        <v>2026</v>
      </c>
      <c r="E233" s="3" t="s">
        <v>12</v>
      </c>
      <c r="F233" t="s">
        <v>30</v>
      </c>
      <c r="G233">
        <v>5646.493414116343</v>
      </c>
      <c r="H233">
        <v>5477.0986116928534</v>
      </c>
      <c r="I233">
        <v>6775.7920969396118</v>
      </c>
    </row>
    <row r="234" spans="1:9" x14ac:dyDescent="0.3">
      <c r="A234" s="3">
        <v>386.3</v>
      </c>
      <c r="B234" s="3" t="s">
        <v>60</v>
      </c>
      <c r="C234" s="4">
        <v>46752</v>
      </c>
      <c r="D234" s="3">
        <v>2027</v>
      </c>
      <c r="E234" t="s">
        <v>14</v>
      </c>
      <c r="F234" t="s">
        <v>30</v>
      </c>
      <c r="G234">
        <v>6374.4716673772846</v>
      </c>
      <c r="H234">
        <v>6177.5004928553271</v>
      </c>
      <c r="I234">
        <v>7687.612830857006</v>
      </c>
    </row>
    <row r="235" spans="1:9" x14ac:dyDescent="0.3">
      <c r="A235" s="3">
        <v>386.3</v>
      </c>
      <c r="B235" s="3" t="s">
        <v>60</v>
      </c>
      <c r="C235" s="4">
        <v>47118</v>
      </c>
      <c r="D235" s="3">
        <v>2028</v>
      </c>
      <c r="E235" t="s">
        <v>16</v>
      </c>
      <c r="F235" t="s">
        <v>30</v>
      </c>
      <c r="G235">
        <v>7227.2111180454294</v>
      </c>
      <c r="H235">
        <v>6997.3858044915851</v>
      </c>
      <c r="I235">
        <v>8759.3798750710612</v>
      </c>
    </row>
    <row r="236" spans="1:9" x14ac:dyDescent="0.3">
      <c r="A236" s="3">
        <v>386.3</v>
      </c>
      <c r="B236" s="3" t="s">
        <v>60</v>
      </c>
      <c r="C236" s="4">
        <v>47483</v>
      </c>
      <c r="D236" s="3">
        <v>2029</v>
      </c>
      <c r="E236" t="s">
        <v>18</v>
      </c>
      <c r="F236" t="s">
        <v>30</v>
      </c>
      <c r="G236">
        <v>8204.7117661207758</v>
      </c>
      <c r="H236">
        <v>7936.417691368626</v>
      </c>
      <c r="I236">
        <v>9993.3389311351038</v>
      </c>
    </row>
    <row r="237" spans="1:9" x14ac:dyDescent="0.3">
      <c r="A237" s="3">
        <v>386.3</v>
      </c>
      <c r="B237" s="3" t="s">
        <v>60</v>
      </c>
      <c r="C237" s="4">
        <v>47848</v>
      </c>
      <c r="D237" s="3">
        <v>2030</v>
      </c>
      <c r="E237" t="s">
        <v>20</v>
      </c>
      <c r="F237" t="s">
        <v>30</v>
      </c>
      <c r="G237">
        <v>9306.9736116033237</v>
      </c>
      <c r="H237">
        <v>8994.2592982534516</v>
      </c>
      <c r="I237">
        <v>11391.73570060247</v>
      </c>
    </row>
    <row r="238" spans="1:9" x14ac:dyDescent="0.3">
      <c r="A238">
        <v>379</v>
      </c>
      <c r="B238" t="s">
        <v>61</v>
      </c>
      <c r="C238" s="2">
        <v>46203</v>
      </c>
      <c r="D238">
        <v>2026</v>
      </c>
      <c r="E238" t="s">
        <v>10</v>
      </c>
      <c r="F238" t="s">
        <v>11</v>
      </c>
      <c r="G238">
        <v>12524.007412694569</v>
      </c>
      <c r="H238">
        <v>11793.36050119014</v>
      </c>
      <c r="I238">
        <v>13317.175813442071</v>
      </c>
    </row>
    <row r="239" spans="1:9" x14ac:dyDescent="0.3">
      <c r="A239">
        <v>274</v>
      </c>
      <c r="B239" t="s">
        <v>62</v>
      </c>
      <c r="C239" s="2">
        <v>46203</v>
      </c>
      <c r="D239">
        <v>2026</v>
      </c>
      <c r="E239" t="s">
        <v>10</v>
      </c>
      <c r="F239" t="s">
        <v>11</v>
      </c>
      <c r="G239">
        <v>43311.880111304308</v>
      </c>
      <c r="H239">
        <v>40785.077755478633</v>
      </c>
      <c r="I239">
        <v>46054.901058930787</v>
      </c>
    </row>
    <row r="240" spans="1:9" x14ac:dyDescent="0.3">
      <c r="A240">
        <v>379</v>
      </c>
      <c r="B240" t="s">
        <v>61</v>
      </c>
      <c r="C240" s="2">
        <v>46387</v>
      </c>
      <c r="D240">
        <v>2026</v>
      </c>
      <c r="E240" t="s">
        <v>12</v>
      </c>
      <c r="F240" t="s">
        <v>11</v>
      </c>
      <c r="G240">
        <v>12596.339833898201</v>
      </c>
      <c r="H240">
        <v>11839.42706728914</v>
      </c>
      <c r="I240">
        <v>13418.021660158851</v>
      </c>
    </row>
    <row r="241" spans="1:9" x14ac:dyDescent="0.3">
      <c r="A241">
        <v>274</v>
      </c>
      <c r="B241" t="s">
        <v>62</v>
      </c>
      <c r="C241" s="2">
        <v>46387</v>
      </c>
      <c r="D241">
        <v>2026</v>
      </c>
      <c r="E241" t="s">
        <v>12</v>
      </c>
      <c r="F241" t="s">
        <v>11</v>
      </c>
      <c r="G241">
        <v>43562.027931574383</v>
      </c>
      <c r="H241">
        <v>40944.390148251347</v>
      </c>
      <c r="I241">
        <v>46403.657098334967</v>
      </c>
    </row>
    <row r="242" spans="1:9" x14ac:dyDescent="0.3">
      <c r="A242">
        <v>379</v>
      </c>
      <c r="B242" t="s">
        <v>61</v>
      </c>
      <c r="C242" s="2">
        <v>46568</v>
      </c>
      <c r="D242">
        <v>2027</v>
      </c>
      <c r="E242" t="s">
        <v>13</v>
      </c>
      <c r="F242" t="s">
        <v>11</v>
      </c>
      <c r="G242">
        <v>12684.76580268722</v>
      </c>
      <c r="H242">
        <v>11900.33876343572</v>
      </c>
      <c r="I242">
        <v>13536.316299144</v>
      </c>
    </row>
    <row r="243" spans="1:9" x14ac:dyDescent="0.3">
      <c r="A243">
        <v>274</v>
      </c>
      <c r="B243" t="s">
        <v>62</v>
      </c>
      <c r="C243" s="2">
        <v>46568</v>
      </c>
      <c r="D243">
        <v>2027</v>
      </c>
      <c r="E243" t="s">
        <v>13</v>
      </c>
      <c r="F243" t="s">
        <v>11</v>
      </c>
      <c r="G243">
        <v>43867.832202740341</v>
      </c>
      <c r="H243">
        <v>41155.041579054749</v>
      </c>
      <c r="I243">
        <v>46812.756442714293</v>
      </c>
    </row>
    <row r="244" spans="1:9" x14ac:dyDescent="0.3">
      <c r="A244">
        <v>379</v>
      </c>
      <c r="B244" t="s">
        <v>61</v>
      </c>
      <c r="C244" s="2">
        <v>46752</v>
      </c>
      <c r="D244">
        <v>2027</v>
      </c>
      <c r="E244" t="s">
        <v>14</v>
      </c>
      <c r="F244" t="s">
        <v>11</v>
      </c>
      <c r="G244">
        <v>12782.81992485196</v>
      </c>
      <c r="H244">
        <v>11969.956831290679</v>
      </c>
      <c r="I244">
        <v>13665.23975007113</v>
      </c>
    </row>
    <row r="245" spans="1:9" x14ac:dyDescent="0.3">
      <c r="A245">
        <v>274</v>
      </c>
      <c r="B245" t="s">
        <v>62</v>
      </c>
      <c r="C245" s="2">
        <v>46752</v>
      </c>
      <c r="D245">
        <v>2027</v>
      </c>
      <c r="E245" t="s">
        <v>14</v>
      </c>
      <c r="F245" t="s">
        <v>11</v>
      </c>
      <c r="G245">
        <v>44206.933597659161</v>
      </c>
      <c r="H245">
        <v>41395.802328322461</v>
      </c>
      <c r="I245">
        <v>47258.613496777638</v>
      </c>
    </row>
    <row r="246" spans="1:9" x14ac:dyDescent="0.3">
      <c r="A246">
        <v>379</v>
      </c>
      <c r="B246" t="s">
        <v>61</v>
      </c>
      <c r="C246" s="2">
        <v>46934</v>
      </c>
      <c r="D246">
        <v>2028</v>
      </c>
      <c r="E246" t="s">
        <v>15</v>
      </c>
      <c r="F246" t="s">
        <v>11</v>
      </c>
      <c r="G246">
        <v>12887.205199203119</v>
      </c>
      <c r="H246">
        <v>12045.149143947299</v>
      </c>
      <c r="I246">
        <v>13801.316029168571</v>
      </c>
    </row>
    <row r="247" spans="1:9" x14ac:dyDescent="0.3">
      <c r="A247">
        <v>274</v>
      </c>
      <c r="B247" t="s">
        <v>62</v>
      </c>
      <c r="C247" s="2">
        <v>46934</v>
      </c>
      <c r="D247">
        <v>2028</v>
      </c>
      <c r="E247" t="s">
        <v>15</v>
      </c>
      <c r="F247" t="s">
        <v>11</v>
      </c>
      <c r="G247">
        <v>44567.930069403526</v>
      </c>
      <c r="H247">
        <v>41655.840535244497</v>
      </c>
      <c r="I247">
        <v>47729.20723662855</v>
      </c>
    </row>
    <row r="248" spans="1:9" x14ac:dyDescent="0.3">
      <c r="A248">
        <v>379</v>
      </c>
      <c r="B248" t="s">
        <v>61</v>
      </c>
      <c r="C248" s="2">
        <v>47118</v>
      </c>
      <c r="D248">
        <v>2028</v>
      </c>
      <c r="E248" t="s">
        <v>16</v>
      </c>
      <c r="F248" t="s">
        <v>11</v>
      </c>
      <c r="G248">
        <v>12996.26184424147</v>
      </c>
      <c r="H248">
        <v>12124.33403356571</v>
      </c>
      <c r="I248">
        <v>13942.80055708834</v>
      </c>
    </row>
    <row r="249" spans="1:9" x14ac:dyDescent="0.3">
      <c r="A249">
        <v>274</v>
      </c>
      <c r="B249" t="s">
        <v>62</v>
      </c>
      <c r="C249" s="2">
        <v>47118</v>
      </c>
      <c r="D249">
        <v>2028</v>
      </c>
      <c r="E249" t="s">
        <v>16</v>
      </c>
      <c r="F249" t="s">
        <v>11</v>
      </c>
      <c r="G249">
        <v>44945.081581662613</v>
      </c>
      <c r="H249">
        <v>41929.68630463483</v>
      </c>
      <c r="I249">
        <v>48218.50436884314</v>
      </c>
    </row>
    <row r="250" spans="1:9" x14ac:dyDescent="0.3">
      <c r="A250">
        <v>379</v>
      </c>
      <c r="B250" t="s">
        <v>61</v>
      </c>
      <c r="C250" s="2">
        <v>47299</v>
      </c>
      <c r="D250">
        <v>2029</v>
      </c>
      <c r="E250" t="s">
        <v>17</v>
      </c>
      <c r="F250" t="s">
        <v>11</v>
      </c>
      <c r="G250">
        <v>13109.17611451162</v>
      </c>
      <c r="H250">
        <v>12206.729246246599</v>
      </c>
      <c r="I250">
        <v>14088.84540208515</v>
      </c>
    </row>
    <row r="251" spans="1:9" x14ac:dyDescent="0.3">
      <c r="A251">
        <v>274</v>
      </c>
      <c r="B251" t="s">
        <v>62</v>
      </c>
      <c r="C251" s="2">
        <v>47299</v>
      </c>
      <c r="D251">
        <v>2029</v>
      </c>
      <c r="E251" t="s">
        <v>17</v>
      </c>
      <c r="F251" t="s">
        <v>11</v>
      </c>
      <c r="G251">
        <v>45335.573951687817</v>
      </c>
      <c r="H251">
        <v>42214.634361257893</v>
      </c>
      <c r="I251">
        <v>48723.572483938951</v>
      </c>
    </row>
    <row r="252" spans="1:9" x14ac:dyDescent="0.3">
      <c r="A252">
        <v>379</v>
      </c>
      <c r="B252" t="s">
        <v>61</v>
      </c>
      <c r="C252" s="2">
        <v>47483</v>
      </c>
      <c r="D252">
        <v>2029</v>
      </c>
      <c r="E252" t="s">
        <v>18</v>
      </c>
      <c r="F252" t="s">
        <v>11</v>
      </c>
      <c r="G252">
        <v>13225.571482829941</v>
      </c>
      <c r="H252">
        <v>12291.96457950846</v>
      </c>
      <c r="I252">
        <v>14239.06717106818</v>
      </c>
    </row>
    <row r="253" spans="1:9" x14ac:dyDescent="0.3">
      <c r="A253">
        <v>274</v>
      </c>
      <c r="B253" t="s">
        <v>62</v>
      </c>
      <c r="C253" s="2">
        <v>47483</v>
      </c>
      <c r="D253">
        <v>2029</v>
      </c>
      <c r="E253" t="s">
        <v>18</v>
      </c>
      <c r="F253" t="s">
        <v>11</v>
      </c>
      <c r="G253">
        <v>45738.105032354877</v>
      </c>
      <c r="H253">
        <v>42509.404430759962</v>
      </c>
      <c r="I253">
        <v>49243.085690367268</v>
      </c>
    </row>
    <row r="254" spans="1:9" x14ac:dyDescent="0.3">
      <c r="A254">
        <v>379</v>
      </c>
      <c r="B254" t="s">
        <v>61</v>
      </c>
      <c r="C254" s="2">
        <v>47664</v>
      </c>
      <c r="D254">
        <v>2030</v>
      </c>
      <c r="E254" t="s">
        <v>19</v>
      </c>
      <c r="F254" t="s">
        <v>11</v>
      </c>
      <c r="G254">
        <v>13345.297397789929</v>
      </c>
      <c r="H254">
        <v>12379.882095258199</v>
      </c>
      <c r="I254">
        <v>14393.32333139659</v>
      </c>
    </row>
    <row r="255" spans="1:9" x14ac:dyDescent="0.3">
      <c r="A255">
        <v>274</v>
      </c>
      <c r="B255" t="s">
        <v>62</v>
      </c>
      <c r="C255" s="2">
        <v>47664</v>
      </c>
      <c r="D255">
        <v>2030</v>
      </c>
      <c r="E255" t="s">
        <v>19</v>
      </c>
      <c r="F255" t="s">
        <v>11</v>
      </c>
      <c r="G255">
        <v>46152.154170469177</v>
      </c>
      <c r="H255">
        <v>42813.450314506154</v>
      </c>
      <c r="I255">
        <v>49776.551066298169</v>
      </c>
    </row>
    <row r="256" spans="1:9" x14ac:dyDescent="0.3">
      <c r="A256">
        <v>379</v>
      </c>
      <c r="B256" t="s">
        <v>61</v>
      </c>
      <c r="C256" s="2">
        <v>47848</v>
      </c>
      <c r="D256">
        <v>2030</v>
      </c>
      <c r="E256" t="s">
        <v>20</v>
      </c>
      <c r="F256" t="s">
        <v>11</v>
      </c>
      <c r="G256">
        <v>13468.320131950481</v>
      </c>
      <c r="H256">
        <v>12470.433077688849</v>
      </c>
      <c r="I256">
        <v>14551.59642655029</v>
      </c>
    </row>
    <row r="257" spans="1:9" x14ac:dyDescent="0.3">
      <c r="A257">
        <v>274</v>
      </c>
      <c r="B257" t="s">
        <v>62</v>
      </c>
      <c r="C257" s="2">
        <v>47848</v>
      </c>
      <c r="D257">
        <v>2030</v>
      </c>
      <c r="E257" t="s">
        <v>20</v>
      </c>
      <c r="F257" t="s">
        <v>11</v>
      </c>
      <c r="G257">
        <v>46577.604726137601</v>
      </c>
      <c r="H257">
        <v>43126.603538211682</v>
      </c>
      <c r="I257">
        <v>50323.908241701443</v>
      </c>
    </row>
    <row r="258" spans="1:9" x14ac:dyDescent="0.3">
      <c r="A258">
        <v>14</v>
      </c>
      <c r="B258" t="s">
        <v>9</v>
      </c>
      <c r="C258" s="2">
        <v>46203</v>
      </c>
      <c r="D258">
        <v>2026</v>
      </c>
      <c r="E258" t="s">
        <v>10</v>
      </c>
      <c r="F258" t="s">
        <v>11</v>
      </c>
      <c r="G258">
        <v>55835.706386265258</v>
      </c>
      <c r="H258">
        <v>52578.2676864573</v>
      </c>
      <c r="I258">
        <v>59371.884262853768</v>
      </c>
    </row>
    <row r="259" spans="1:9" x14ac:dyDescent="0.3">
      <c r="A259">
        <v>14</v>
      </c>
      <c r="B259" t="s">
        <v>9</v>
      </c>
      <c r="C259" s="2">
        <v>46387</v>
      </c>
      <c r="D259">
        <v>2026</v>
      </c>
      <c r="E259" t="s">
        <v>12</v>
      </c>
      <c r="F259" t="s">
        <v>11</v>
      </c>
      <c r="G259">
        <v>56158.185581577738</v>
      </c>
      <c r="H259">
        <v>52783.645979057183</v>
      </c>
      <c r="I259">
        <v>59821.484690416968</v>
      </c>
    </row>
    <row r="260" spans="1:9" x14ac:dyDescent="0.3">
      <c r="A260">
        <v>14</v>
      </c>
      <c r="B260" t="s">
        <v>9</v>
      </c>
      <c r="C260" s="2">
        <v>46568</v>
      </c>
      <c r="D260">
        <v>2027</v>
      </c>
      <c r="E260" t="s">
        <v>13</v>
      </c>
      <c r="F260" t="s">
        <v>11</v>
      </c>
      <c r="G260">
        <v>56552.414542606661</v>
      </c>
      <c r="H260">
        <v>53055.208225026639</v>
      </c>
      <c r="I260">
        <v>60348.876962857597</v>
      </c>
    </row>
    <row r="261" spans="1:9" x14ac:dyDescent="0.3">
      <c r="A261">
        <v>14</v>
      </c>
      <c r="B261" t="s">
        <v>9</v>
      </c>
      <c r="C261" s="2">
        <v>46752</v>
      </c>
      <c r="D261">
        <v>2027</v>
      </c>
      <c r="E261" t="s">
        <v>14</v>
      </c>
      <c r="F261" t="s">
        <v>11</v>
      </c>
      <c r="G261">
        <v>56989.568641509853</v>
      </c>
      <c r="H261">
        <v>53365.586035246437</v>
      </c>
      <c r="I261">
        <v>60923.655603197178</v>
      </c>
    </row>
    <row r="262" spans="1:9" x14ac:dyDescent="0.3">
      <c r="A262">
        <v>14</v>
      </c>
      <c r="B262" t="s">
        <v>9</v>
      </c>
      <c r="C262" s="2">
        <v>46934</v>
      </c>
      <c r="D262">
        <v>2028</v>
      </c>
      <c r="E262" t="s">
        <v>15</v>
      </c>
      <c r="F262" t="s">
        <v>11</v>
      </c>
      <c r="G262">
        <v>57454.948877856034</v>
      </c>
      <c r="H262">
        <v>53700.815467300577</v>
      </c>
      <c r="I262">
        <v>61530.323654041553</v>
      </c>
    </row>
    <row r="263" spans="1:9" x14ac:dyDescent="0.3">
      <c r="A263">
        <v>14</v>
      </c>
      <c r="B263" t="s">
        <v>9</v>
      </c>
      <c r="C263" s="2">
        <v>47118</v>
      </c>
      <c r="D263">
        <v>2028</v>
      </c>
      <c r="E263" t="s">
        <v>16</v>
      </c>
      <c r="F263" t="s">
        <v>11</v>
      </c>
      <c r="G263">
        <v>57941.155457840963</v>
      </c>
      <c r="H263">
        <v>54053.844981039212</v>
      </c>
      <c r="I263">
        <v>62161.103267851133</v>
      </c>
    </row>
    <row r="264" spans="1:9" x14ac:dyDescent="0.3">
      <c r="A264">
        <v>14</v>
      </c>
      <c r="B264" t="s">
        <v>9</v>
      </c>
      <c r="C264" s="2">
        <v>47299</v>
      </c>
      <c r="D264">
        <v>2029</v>
      </c>
      <c r="E264" t="s">
        <v>17</v>
      </c>
      <c r="F264" t="s">
        <v>11</v>
      </c>
      <c r="G264">
        <v>58444.560465030037</v>
      </c>
      <c r="H264">
        <v>54421.187058641372</v>
      </c>
      <c r="I264">
        <v>62812.214115662013</v>
      </c>
    </row>
    <row r="265" spans="1:9" x14ac:dyDescent="0.3">
      <c r="A265">
        <v>14</v>
      </c>
      <c r="B265" t="s">
        <v>9</v>
      </c>
      <c r="C265" s="2">
        <v>47483</v>
      </c>
      <c r="D265">
        <v>2029</v>
      </c>
      <c r="E265" t="s">
        <v>18</v>
      </c>
      <c r="F265" t="s">
        <v>11</v>
      </c>
      <c r="G265">
        <v>58963.4852305612</v>
      </c>
      <c r="H265">
        <v>54801.19122862615</v>
      </c>
      <c r="I265">
        <v>63481.946918379748</v>
      </c>
    </row>
    <row r="266" spans="1:9" x14ac:dyDescent="0.3">
      <c r="A266">
        <v>14</v>
      </c>
      <c r="B266" t="s">
        <v>9</v>
      </c>
      <c r="C266" s="2">
        <v>47664</v>
      </c>
      <c r="D266">
        <v>2030</v>
      </c>
      <c r="E266" t="s">
        <v>19</v>
      </c>
      <c r="F266" t="s">
        <v>11</v>
      </c>
      <c r="G266">
        <v>59497.258552010768</v>
      </c>
      <c r="H266">
        <v>55193.15335654989</v>
      </c>
      <c r="I266">
        <v>64169.666223595093</v>
      </c>
    </row>
    <row r="267" spans="1:9" x14ac:dyDescent="0.3">
      <c r="A267">
        <v>14</v>
      </c>
      <c r="B267" t="s">
        <v>9</v>
      </c>
      <c r="C267" s="2">
        <v>47848</v>
      </c>
      <c r="D267">
        <v>2030</v>
      </c>
      <c r="E267" t="s">
        <v>20</v>
      </c>
      <c r="F267" t="s">
        <v>11</v>
      </c>
      <c r="G267">
        <v>60045.730062532319</v>
      </c>
      <c r="H267">
        <v>55596.85625302542</v>
      </c>
      <c r="I267">
        <v>64875.294205010192</v>
      </c>
    </row>
    <row r="268" spans="1:9" x14ac:dyDescent="0.3">
      <c r="A268">
        <v>14</v>
      </c>
      <c r="B268" t="s">
        <v>9</v>
      </c>
      <c r="C268" s="2">
        <v>46203</v>
      </c>
      <c r="D268">
        <v>2026</v>
      </c>
      <c r="E268" t="s">
        <v>10</v>
      </c>
      <c r="F268" t="s">
        <v>31</v>
      </c>
      <c r="G268">
        <v>57181.535034514192</v>
      </c>
      <c r="H268">
        <v>53845.581086922153</v>
      </c>
      <c r="I268">
        <v>60802.946712188583</v>
      </c>
    </row>
    <row r="269" spans="1:9" x14ac:dyDescent="0.3">
      <c r="A269">
        <v>14</v>
      </c>
      <c r="B269" t="s">
        <v>9</v>
      </c>
      <c r="C269" s="2">
        <v>46387</v>
      </c>
      <c r="D269">
        <v>2026</v>
      </c>
      <c r="E269" t="s">
        <v>12</v>
      </c>
      <c r="F269" t="s">
        <v>31</v>
      </c>
      <c r="G269">
        <v>57651.823600328113</v>
      </c>
      <c r="H269">
        <v>54187.531442700827</v>
      </c>
      <c r="I269">
        <v>61412.55539447139</v>
      </c>
    </row>
    <row r="270" spans="1:9" x14ac:dyDescent="0.3">
      <c r="A270">
        <v>14</v>
      </c>
      <c r="B270" t="s">
        <v>9</v>
      </c>
      <c r="C270" s="2">
        <v>46568</v>
      </c>
      <c r="D270">
        <v>2027</v>
      </c>
      <c r="E270" t="s">
        <v>13</v>
      </c>
      <c r="F270" t="s">
        <v>31</v>
      </c>
      <c r="G270">
        <v>58122.112166142033</v>
      </c>
      <c r="H270">
        <v>54527.835608677153</v>
      </c>
      <c r="I270">
        <v>62023.951131092377</v>
      </c>
    </row>
    <row r="271" spans="1:9" x14ac:dyDescent="0.3">
      <c r="A271">
        <v>14</v>
      </c>
      <c r="B271" t="s">
        <v>9</v>
      </c>
      <c r="C271" s="2">
        <v>46752</v>
      </c>
      <c r="D271">
        <v>2027</v>
      </c>
      <c r="E271" t="s">
        <v>14</v>
      </c>
      <c r="F271" t="s">
        <v>31</v>
      </c>
      <c r="G271">
        <v>58592.400731955953</v>
      </c>
      <c r="H271">
        <v>54866.493584851087</v>
      </c>
      <c r="I271">
        <v>62637.133922051551</v>
      </c>
    </row>
    <row r="272" spans="1:9" x14ac:dyDescent="0.3">
      <c r="A272">
        <v>14</v>
      </c>
      <c r="B272" t="s">
        <v>9</v>
      </c>
      <c r="C272" s="2">
        <v>46934</v>
      </c>
      <c r="D272">
        <v>2028</v>
      </c>
      <c r="E272" t="s">
        <v>15</v>
      </c>
      <c r="F272" t="s">
        <v>31</v>
      </c>
      <c r="G272">
        <v>59062.689297769859</v>
      </c>
      <c r="H272">
        <v>55203.505371222651</v>
      </c>
      <c r="I272">
        <v>63252.103767348883</v>
      </c>
    </row>
    <row r="273" spans="1:9" x14ac:dyDescent="0.3">
      <c r="A273">
        <v>14</v>
      </c>
      <c r="B273" t="s">
        <v>9</v>
      </c>
      <c r="C273" s="2">
        <v>47118</v>
      </c>
      <c r="D273">
        <v>2028</v>
      </c>
      <c r="E273" t="s">
        <v>16</v>
      </c>
      <c r="F273" t="s">
        <v>31</v>
      </c>
      <c r="G273">
        <v>59532.977863583779</v>
      </c>
      <c r="H273">
        <v>55538.870967791838</v>
      </c>
      <c r="I273">
        <v>63868.860666984387</v>
      </c>
    </row>
    <row r="274" spans="1:9" x14ac:dyDescent="0.3">
      <c r="A274">
        <v>14</v>
      </c>
      <c r="B274" t="s">
        <v>9</v>
      </c>
      <c r="C274" s="2">
        <v>47299</v>
      </c>
      <c r="D274">
        <v>2029</v>
      </c>
      <c r="E274" t="s">
        <v>17</v>
      </c>
      <c r="F274" t="s">
        <v>31</v>
      </c>
      <c r="G274">
        <v>60003.2664293977</v>
      </c>
      <c r="H274">
        <v>55872.590374558647</v>
      </c>
      <c r="I274">
        <v>64487.404620958077</v>
      </c>
    </row>
    <row r="275" spans="1:9" x14ac:dyDescent="0.3">
      <c r="A275">
        <v>14</v>
      </c>
      <c r="B275" t="s">
        <v>9</v>
      </c>
      <c r="C275" s="2">
        <v>47483</v>
      </c>
      <c r="D275">
        <v>2029</v>
      </c>
      <c r="E275" t="s">
        <v>18</v>
      </c>
      <c r="F275" t="s">
        <v>31</v>
      </c>
      <c r="G275">
        <v>60473.55499521162</v>
      </c>
      <c r="H275">
        <v>56204.663591523087</v>
      </c>
      <c r="I275">
        <v>65107.735629269962</v>
      </c>
    </row>
    <row r="276" spans="1:9" x14ac:dyDescent="0.3">
      <c r="A276">
        <v>14</v>
      </c>
      <c r="B276" t="s">
        <v>9</v>
      </c>
      <c r="C276" s="2">
        <v>47664</v>
      </c>
      <c r="D276">
        <v>2030</v>
      </c>
      <c r="E276" t="s">
        <v>19</v>
      </c>
      <c r="F276" t="s">
        <v>31</v>
      </c>
      <c r="G276">
        <v>60943.84356102554</v>
      </c>
      <c r="H276">
        <v>56535.090618685143</v>
      </c>
      <c r="I276">
        <v>65729.853691919998</v>
      </c>
    </row>
    <row r="277" spans="1:9" x14ac:dyDescent="0.3">
      <c r="A277">
        <v>14</v>
      </c>
      <c r="B277" t="s">
        <v>9</v>
      </c>
      <c r="C277" s="2">
        <v>47848</v>
      </c>
      <c r="D277">
        <v>2030</v>
      </c>
      <c r="E277" t="s">
        <v>20</v>
      </c>
      <c r="F277" t="s">
        <v>31</v>
      </c>
      <c r="G277">
        <v>61414.13212683946</v>
      </c>
      <c r="H277">
        <v>56863.871456044813</v>
      </c>
      <c r="I277">
        <v>66353.758808908198</v>
      </c>
    </row>
    <row r="278" spans="1:9" x14ac:dyDescent="0.3">
      <c r="A278">
        <v>379</v>
      </c>
      <c r="B278" t="s">
        <v>61</v>
      </c>
      <c r="C278" s="2">
        <v>46203</v>
      </c>
      <c r="D278">
        <v>2026</v>
      </c>
      <c r="E278" t="s">
        <v>10</v>
      </c>
      <c r="F278" t="s">
        <v>31</v>
      </c>
      <c r="G278">
        <v>12825.87818782696</v>
      </c>
      <c r="H278">
        <v>12077.620224024649</v>
      </c>
      <c r="I278">
        <v>13638.16461941349</v>
      </c>
    </row>
    <row r="279" spans="1:9" x14ac:dyDescent="0.3">
      <c r="A279">
        <v>274</v>
      </c>
      <c r="B279" t="s">
        <v>62</v>
      </c>
      <c r="C279" s="2">
        <v>46203</v>
      </c>
      <c r="D279">
        <v>2026</v>
      </c>
      <c r="E279" t="s">
        <v>10</v>
      </c>
      <c r="F279" t="s">
        <v>31</v>
      </c>
      <c r="G279">
        <v>44355.842350450519</v>
      </c>
      <c r="H279">
        <v>41768.135544425757</v>
      </c>
      <c r="I279">
        <v>47164.979344832544</v>
      </c>
    </row>
    <row r="280" spans="1:9" x14ac:dyDescent="0.3">
      <c r="A280">
        <v>379</v>
      </c>
      <c r="B280" t="s">
        <v>61</v>
      </c>
      <c r="C280" s="2">
        <v>46387</v>
      </c>
      <c r="D280">
        <v>2026</v>
      </c>
      <c r="E280" t="s">
        <v>12</v>
      </c>
      <c r="F280" t="s">
        <v>31</v>
      </c>
      <c r="G280">
        <v>12931.36440561766</v>
      </c>
      <c r="H280">
        <v>12154.320046910731</v>
      </c>
      <c r="I280">
        <v>13774.90048522195</v>
      </c>
    </row>
    <row r="281" spans="1:9" x14ac:dyDescent="0.3">
      <c r="A281">
        <v>274</v>
      </c>
      <c r="B281" t="s">
        <v>62</v>
      </c>
      <c r="C281" s="2">
        <v>46387</v>
      </c>
      <c r="D281">
        <v>2026</v>
      </c>
      <c r="E281" t="s">
        <v>12</v>
      </c>
      <c r="F281" t="s">
        <v>31</v>
      </c>
      <c r="G281">
        <v>44720.646224146301</v>
      </c>
      <c r="H281">
        <v>42033.387186646367</v>
      </c>
      <c r="I281">
        <v>47637.854138950643</v>
      </c>
    </row>
    <row r="282" spans="1:9" x14ac:dyDescent="0.3">
      <c r="A282">
        <v>379</v>
      </c>
      <c r="B282" t="s">
        <v>61</v>
      </c>
      <c r="C282" s="2">
        <v>46568</v>
      </c>
      <c r="D282">
        <v>2027</v>
      </c>
      <c r="E282" t="s">
        <v>13</v>
      </c>
      <c r="F282" t="s">
        <v>31</v>
      </c>
      <c r="G282">
        <v>13036.850623408351</v>
      </c>
      <c r="H282">
        <v>12230.650627700281</v>
      </c>
      <c r="I282">
        <v>13912.037189189839</v>
      </c>
    </row>
    <row r="283" spans="1:9" x14ac:dyDescent="0.3">
      <c r="A283">
        <v>274</v>
      </c>
      <c r="B283" t="s">
        <v>62</v>
      </c>
      <c r="C283" s="2">
        <v>46568</v>
      </c>
      <c r="D283">
        <v>2027</v>
      </c>
      <c r="E283" t="s">
        <v>13</v>
      </c>
      <c r="F283" t="s">
        <v>31</v>
      </c>
      <c r="G283">
        <v>45085.450097842077</v>
      </c>
      <c r="H283">
        <v>42297.361875820701</v>
      </c>
      <c r="I283">
        <v>48112.115155044899</v>
      </c>
    </row>
    <row r="284" spans="1:9" x14ac:dyDescent="0.3">
      <c r="A284">
        <v>379</v>
      </c>
      <c r="B284" t="s">
        <v>61</v>
      </c>
      <c r="C284" s="2">
        <v>46752</v>
      </c>
      <c r="D284">
        <v>2027</v>
      </c>
      <c r="E284" t="s">
        <v>14</v>
      </c>
      <c r="F284" t="s">
        <v>31</v>
      </c>
      <c r="G284">
        <v>13142.33684119905</v>
      </c>
      <c r="H284">
        <v>12306.61196639329</v>
      </c>
      <c r="I284">
        <v>14049.574731317151</v>
      </c>
    </row>
    <row r="285" spans="1:9" x14ac:dyDescent="0.3">
      <c r="A285">
        <v>274</v>
      </c>
      <c r="B285" t="s">
        <v>62</v>
      </c>
      <c r="C285" s="2">
        <v>46752</v>
      </c>
      <c r="D285">
        <v>2027</v>
      </c>
      <c r="E285" t="s">
        <v>14</v>
      </c>
      <c r="F285" t="s">
        <v>31</v>
      </c>
      <c r="G285">
        <v>45450.253971537859</v>
      </c>
      <c r="H285">
        <v>42560.059611948753</v>
      </c>
      <c r="I285">
        <v>48587.762393115328</v>
      </c>
    </row>
    <row r="286" spans="1:9" x14ac:dyDescent="0.3">
      <c r="A286">
        <v>379</v>
      </c>
      <c r="B286" t="s">
        <v>61</v>
      </c>
      <c r="C286" s="2">
        <v>46934</v>
      </c>
      <c r="D286">
        <v>2028</v>
      </c>
      <c r="E286" t="s">
        <v>15</v>
      </c>
      <c r="F286" t="s">
        <v>31</v>
      </c>
      <c r="G286">
        <v>13247.82305898975</v>
      </c>
      <c r="H286">
        <v>12382.20406298976</v>
      </c>
      <c r="I286">
        <v>14187.513111603899</v>
      </c>
    </row>
    <row r="287" spans="1:9" x14ac:dyDescent="0.3">
      <c r="A287">
        <v>274</v>
      </c>
      <c r="B287" t="s">
        <v>62</v>
      </c>
      <c r="C287" s="2">
        <v>46934</v>
      </c>
      <c r="D287">
        <v>2028</v>
      </c>
      <c r="E287" t="s">
        <v>15</v>
      </c>
      <c r="F287" t="s">
        <v>31</v>
      </c>
      <c r="G287">
        <v>45815.057845233627</v>
      </c>
      <c r="H287">
        <v>42821.480395030529</v>
      </c>
      <c r="I287">
        <v>49064.795853161922</v>
      </c>
    </row>
    <row r="288" spans="1:9" x14ac:dyDescent="0.3">
      <c r="A288">
        <v>379</v>
      </c>
      <c r="B288" t="s">
        <v>61</v>
      </c>
      <c r="C288" s="2">
        <v>47118</v>
      </c>
      <c r="D288">
        <v>2028</v>
      </c>
      <c r="E288" t="s">
        <v>16</v>
      </c>
      <c r="F288" t="s">
        <v>31</v>
      </c>
      <c r="G288">
        <v>13353.30927678045</v>
      </c>
      <c r="H288">
        <v>12457.4269174897</v>
      </c>
      <c r="I288">
        <v>14325.85233005006</v>
      </c>
    </row>
    <row r="289" spans="1:9" x14ac:dyDescent="0.3">
      <c r="A289">
        <v>274</v>
      </c>
      <c r="B289" t="s">
        <v>62</v>
      </c>
      <c r="C289" s="2">
        <v>47118</v>
      </c>
      <c r="D289">
        <v>2028</v>
      </c>
      <c r="E289" t="s">
        <v>16</v>
      </c>
      <c r="F289" t="s">
        <v>31</v>
      </c>
      <c r="G289">
        <v>46179.861718929409</v>
      </c>
      <c r="H289">
        <v>43081.624225066029</v>
      </c>
      <c r="I289">
        <v>49543.215535184667</v>
      </c>
    </row>
    <row r="290" spans="1:9" x14ac:dyDescent="0.3">
      <c r="A290">
        <v>379</v>
      </c>
      <c r="B290" t="s">
        <v>61</v>
      </c>
      <c r="C290" s="2">
        <v>47299</v>
      </c>
      <c r="D290">
        <v>2029</v>
      </c>
      <c r="E290" t="s">
        <v>17</v>
      </c>
      <c r="F290" t="s">
        <v>31</v>
      </c>
      <c r="G290">
        <v>13458.795494571141</v>
      </c>
      <c r="H290">
        <v>12532.2805298931</v>
      </c>
      <c r="I290">
        <v>14464.59238665566</v>
      </c>
    </row>
    <row r="291" spans="1:9" x14ac:dyDescent="0.3">
      <c r="A291">
        <v>274</v>
      </c>
      <c r="B291" t="s">
        <v>62</v>
      </c>
      <c r="C291" s="2">
        <v>47299</v>
      </c>
      <c r="D291">
        <v>2029</v>
      </c>
      <c r="E291" t="s">
        <v>17</v>
      </c>
      <c r="F291" t="s">
        <v>31</v>
      </c>
      <c r="G291">
        <v>46544.665592625191</v>
      </c>
      <c r="H291">
        <v>43340.491102055254</v>
      </c>
      <c r="I291">
        <v>50023.021439183598</v>
      </c>
    </row>
    <row r="292" spans="1:9" x14ac:dyDescent="0.3">
      <c r="A292">
        <v>379</v>
      </c>
      <c r="B292" t="s">
        <v>61</v>
      </c>
      <c r="C292" s="2">
        <v>47483</v>
      </c>
      <c r="D292">
        <v>2029</v>
      </c>
      <c r="E292" t="s">
        <v>18</v>
      </c>
      <c r="F292" t="s">
        <v>31</v>
      </c>
      <c r="G292">
        <v>13564.281712361841</v>
      </c>
      <c r="H292">
        <v>12606.764900199971</v>
      </c>
      <c r="I292">
        <v>14603.73328142068</v>
      </c>
    </row>
    <row r="293" spans="1:9" x14ac:dyDescent="0.3">
      <c r="A293">
        <v>274</v>
      </c>
      <c r="B293" t="s">
        <v>62</v>
      </c>
      <c r="C293" s="2">
        <v>47483</v>
      </c>
      <c r="D293">
        <v>2029</v>
      </c>
      <c r="E293" t="s">
        <v>18</v>
      </c>
      <c r="F293" t="s">
        <v>31</v>
      </c>
      <c r="G293">
        <v>46909.469466320967</v>
      </c>
      <c r="H293">
        <v>43598.081025998203</v>
      </c>
      <c r="I293">
        <v>50504.213565158687</v>
      </c>
    </row>
    <row r="294" spans="1:9" x14ac:dyDescent="0.3">
      <c r="A294">
        <v>379</v>
      </c>
      <c r="B294" t="s">
        <v>61</v>
      </c>
      <c r="C294" s="2">
        <v>47664</v>
      </c>
      <c r="D294">
        <v>2030</v>
      </c>
      <c r="E294" t="s">
        <v>19</v>
      </c>
      <c r="F294" t="s">
        <v>31</v>
      </c>
      <c r="G294">
        <v>13669.76793015254</v>
      </c>
      <c r="H294">
        <v>12680.880028410291</v>
      </c>
      <c r="I294">
        <v>14743.275014345139</v>
      </c>
    </row>
    <row r="295" spans="1:9" x14ac:dyDescent="0.3">
      <c r="A295">
        <v>274</v>
      </c>
      <c r="B295" t="s">
        <v>62</v>
      </c>
      <c r="C295" s="2">
        <v>47664</v>
      </c>
      <c r="D295">
        <v>2030</v>
      </c>
      <c r="E295" t="s">
        <v>19</v>
      </c>
      <c r="F295" t="s">
        <v>31</v>
      </c>
      <c r="G295">
        <v>47274.273340016749</v>
      </c>
      <c r="H295">
        <v>43854.393996894862</v>
      </c>
      <c r="I295">
        <v>50986.791913109962</v>
      </c>
    </row>
    <row r="296" spans="1:9" x14ac:dyDescent="0.3">
      <c r="A296">
        <v>379</v>
      </c>
      <c r="B296" t="s">
        <v>61</v>
      </c>
      <c r="C296" s="2">
        <v>47848</v>
      </c>
      <c r="D296">
        <v>2030</v>
      </c>
      <c r="E296" t="s">
        <v>20</v>
      </c>
      <c r="F296" t="s">
        <v>31</v>
      </c>
      <c r="G296">
        <v>13775.25414794324</v>
      </c>
      <c r="H296">
        <v>12754.62591452408</v>
      </c>
      <c r="I296">
        <v>14883.217585429011</v>
      </c>
    </row>
    <row r="297" spans="1:9" x14ac:dyDescent="0.3">
      <c r="A297">
        <v>274</v>
      </c>
      <c r="B297" t="s">
        <v>62</v>
      </c>
      <c r="C297" s="2">
        <v>47848</v>
      </c>
      <c r="D297">
        <v>2030</v>
      </c>
      <c r="E297" t="s">
        <v>20</v>
      </c>
      <c r="F297" t="s">
        <v>31</v>
      </c>
      <c r="G297">
        <v>47639.077213712531</v>
      </c>
      <c r="H297">
        <v>44109.430014745238</v>
      </c>
      <c r="I297">
        <v>51470.756483037367</v>
      </c>
    </row>
    <row r="298" spans="1:9" x14ac:dyDescent="0.3">
      <c r="A298">
        <v>14.1</v>
      </c>
      <c r="B298" t="s">
        <v>63</v>
      </c>
      <c r="C298" s="2">
        <v>46203</v>
      </c>
      <c r="D298">
        <v>2026</v>
      </c>
      <c r="E298" t="s">
        <v>10</v>
      </c>
      <c r="F298" t="s">
        <v>31</v>
      </c>
      <c r="G298">
        <v>8922.1224131696708</v>
      </c>
      <c r="H298">
        <v>8401.6084139014165</v>
      </c>
      <c r="I298">
        <v>9487.176818882821</v>
      </c>
    </row>
    <row r="299" spans="1:9" x14ac:dyDescent="0.3">
      <c r="A299">
        <v>14.2</v>
      </c>
      <c r="B299" t="s">
        <v>64</v>
      </c>
      <c r="C299" s="2">
        <v>46203</v>
      </c>
      <c r="D299">
        <v>2026</v>
      </c>
      <c r="E299" t="s">
        <v>10</v>
      </c>
      <c r="F299" t="s">
        <v>31</v>
      </c>
      <c r="G299">
        <v>48259.41262134452</v>
      </c>
      <c r="H299">
        <v>45443.972673020733</v>
      </c>
      <c r="I299">
        <v>51315.769893305762</v>
      </c>
    </row>
    <row r="300" spans="1:9" x14ac:dyDescent="0.3">
      <c r="A300">
        <v>14.1</v>
      </c>
      <c r="B300" t="s">
        <v>63</v>
      </c>
      <c r="C300" s="2">
        <v>46387</v>
      </c>
      <c r="D300">
        <v>2026</v>
      </c>
      <c r="E300" t="s">
        <v>12</v>
      </c>
      <c r="F300" t="s">
        <v>31</v>
      </c>
      <c r="G300">
        <v>8995.5022577501495</v>
      </c>
      <c r="H300">
        <v>8454.9634511812455</v>
      </c>
      <c r="I300">
        <v>9582.2949944297943</v>
      </c>
    </row>
    <row r="301" spans="1:9" x14ac:dyDescent="0.3">
      <c r="A301">
        <v>14.2</v>
      </c>
      <c r="B301" t="s">
        <v>64</v>
      </c>
      <c r="C301" s="2">
        <v>46387</v>
      </c>
      <c r="D301">
        <v>2026</v>
      </c>
      <c r="E301" t="s">
        <v>12</v>
      </c>
      <c r="F301" t="s">
        <v>31</v>
      </c>
      <c r="G301">
        <v>48656.321342577961</v>
      </c>
      <c r="H301">
        <v>45732.567991519587</v>
      </c>
      <c r="I301">
        <v>51830.260400041603</v>
      </c>
    </row>
    <row r="302" spans="1:9" x14ac:dyDescent="0.3">
      <c r="A302">
        <v>14.1</v>
      </c>
      <c r="B302" t="s">
        <v>63</v>
      </c>
      <c r="C302" s="2">
        <v>46568</v>
      </c>
      <c r="D302">
        <v>2027</v>
      </c>
      <c r="E302" t="s">
        <v>13</v>
      </c>
      <c r="F302" t="s">
        <v>31</v>
      </c>
      <c r="G302">
        <v>9068.8821023306264</v>
      </c>
      <c r="H302">
        <v>8508.0616309471388</v>
      </c>
      <c r="I302">
        <v>9677.6920067997835</v>
      </c>
    </row>
    <row r="303" spans="1:9" x14ac:dyDescent="0.3">
      <c r="A303">
        <v>14.2</v>
      </c>
      <c r="B303" t="s">
        <v>64</v>
      </c>
      <c r="C303" s="2">
        <v>46568</v>
      </c>
      <c r="D303">
        <v>2027</v>
      </c>
      <c r="E303" t="s">
        <v>13</v>
      </c>
      <c r="F303" t="s">
        <v>31</v>
      </c>
      <c r="G303">
        <v>49053.23006381141</v>
      </c>
      <c r="H303">
        <v>46019.773977730023</v>
      </c>
      <c r="I303">
        <v>52346.259124292606</v>
      </c>
    </row>
    <row r="304" spans="1:9" x14ac:dyDescent="0.3">
      <c r="A304">
        <v>14.1</v>
      </c>
      <c r="B304" t="s">
        <v>63</v>
      </c>
      <c r="C304" s="2">
        <v>46752</v>
      </c>
      <c r="D304">
        <v>2027</v>
      </c>
      <c r="E304" t="s">
        <v>14</v>
      </c>
      <c r="F304" t="s">
        <v>31</v>
      </c>
      <c r="G304">
        <v>9142.261946911105</v>
      </c>
      <c r="H304">
        <v>8560.9029531990927</v>
      </c>
      <c r="I304">
        <v>9773.3678559927885</v>
      </c>
    </row>
    <row r="305" spans="1:9" x14ac:dyDescent="0.3">
      <c r="A305">
        <v>14.2</v>
      </c>
      <c r="B305" t="s">
        <v>64</v>
      </c>
      <c r="C305" s="2">
        <v>46752</v>
      </c>
      <c r="D305">
        <v>2027</v>
      </c>
      <c r="E305" t="s">
        <v>14</v>
      </c>
      <c r="F305" t="s">
        <v>31</v>
      </c>
      <c r="G305">
        <v>49450.138785044852</v>
      </c>
      <c r="H305">
        <v>46305.590631651998</v>
      </c>
      <c r="I305">
        <v>52863.766066058772</v>
      </c>
    </row>
    <row r="306" spans="1:9" x14ac:dyDescent="0.3">
      <c r="A306">
        <v>14.1</v>
      </c>
      <c r="B306" t="s">
        <v>63</v>
      </c>
      <c r="C306" s="2">
        <v>46934</v>
      </c>
      <c r="D306">
        <v>2028</v>
      </c>
      <c r="E306" t="s">
        <v>15</v>
      </c>
      <c r="F306" t="s">
        <v>31</v>
      </c>
      <c r="G306">
        <v>9215.6417914915819</v>
      </c>
      <c r="H306">
        <v>8613.4874179371091</v>
      </c>
      <c r="I306">
        <v>9869.3225420088074</v>
      </c>
    </row>
    <row r="307" spans="1:9" x14ac:dyDescent="0.3">
      <c r="A307">
        <v>14.2</v>
      </c>
      <c r="B307" t="s">
        <v>64</v>
      </c>
      <c r="C307" s="2">
        <v>46934</v>
      </c>
      <c r="D307">
        <v>2028</v>
      </c>
      <c r="E307" t="s">
        <v>15</v>
      </c>
      <c r="F307" t="s">
        <v>31</v>
      </c>
      <c r="G307">
        <v>49847.047506278293</v>
      </c>
      <c r="H307">
        <v>46590.017953285547</v>
      </c>
      <c r="I307">
        <v>53382.781225340077</v>
      </c>
    </row>
    <row r="308" spans="1:9" x14ac:dyDescent="0.3">
      <c r="A308">
        <v>14.1</v>
      </c>
      <c r="B308" t="s">
        <v>63</v>
      </c>
      <c r="C308" s="2">
        <v>47118</v>
      </c>
      <c r="D308">
        <v>2028</v>
      </c>
      <c r="E308" t="s">
        <v>16</v>
      </c>
      <c r="F308" t="s">
        <v>31</v>
      </c>
      <c r="G308">
        <v>9289.0216360720588</v>
      </c>
      <c r="H308">
        <v>8665.8150251611878</v>
      </c>
      <c r="I308">
        <v>9965.556064847844</v>
      </c>
    </row>
    <row r="309" spans="1:9" x14ac:dyDescent="0.3">
      <c r="A309">
        <v>14.2</v>
      </c>
      <c r="B309" t="s">
        <v>64</v>
      </c>
      <c r="C309" s="2">
        <v>47118</v>
      </c>
      <c r="D309">
        <v>2028</v>
      </c>
      <c r="E309" t="s">
        <v>16</v>
      </c>
      <c r="F309" t="s">
        <v>31</v>
      </c>
      <c r="G309">
        <v>50243.956227511728</v>
      </c>
      <c r="H309">
        <v>46873.055942630657</v>
      </c>
      <c r="I309">
        <v>53903.304602136559</v>
      </c>
    </row>
    <row r="310" spans="1:9" x14ac:dyDescent="0.3">
      <c r="A310">
        <v>14.1</v>
      </c>
      <c r="B310" t="s">
        <v>63</v>
      </c>
      <c r="C310" s="2">
        <v>47299</v>
      </c>
      <c r="D310">
        <v>2029</v>
      </c>
      <c r="E310" t="s">
        <v>17</v>
      </c>
      <c r="F310" t="s">
        <v>31</v>
      </c>
      <c r="G310">
        <v>9362.4014806525374</v>
      </c>
      <c r="H310">
        <v>8717.885774871329</v>
      </c>
      <c r="I310">
        <v>10062.0684245099</v>
      </c>
    </row>
    <row r="311" spans="1:9" x14ac:dyDescent="0.3">
      <c r="A311">
        <v>14.2</v>
      </c>
      <c r="B311" t="s">
        <v>64</v>
      </c>
      <c r="C311" s="2">
        <v>47299</v>
      </c>
      <c r="D311">
        <v>2029</v>
      </c>
      <c r="E311" t="s">
        <v>17</v>
      </c>
      <c r="F311" t="s">
        <v>31</v>
      </c>
      <c r="G311">
        <v>50640.864948745169</v>
      </c>
      <c r="H311">
        <v>47154.704599687328</v>
      </c>
      <c r="I311">
        <v>54425.336196448203</v>
      </c>
    </row>
    <row r="312" spans="1:9" x14ac:dyDescent="0.3">
      <c r="A312">
        <v>14.1</v>
      </c>
      <c r="B312" t="s">
        <v>63</v>
      </c>
      <c r="C312" s="2">
        <v>47483</v>
      </c>
      <c r="D312">
        <v>2029</v>
      </c>
      <c r="E312" t="s">
        <v>18</v>
      </c>
      <c r="F312" t="s">
        <v>31</v>
      </c>
      <c r="G312">
        <v>9435.7813252330143</v>
      </c>
      <c r="H312">
        <v>8769.6996670675326</v>
      </c>
      <c r="I312">
        <v>10158.859620994959</v>
      </c>
    </row>
    <row r="313" spans="1:9" x14ac:dyDescent="0.3">
      <c r="A313">
        <v>14.2</v>
      </c>
      <c r="B313" t="s">
        <v>64</v>
      </c>
      <c r="C313" s="2">
        <v>47483</v>
      </c>
      <c r="D313">
        <v>2029</v>
      </c>
      <c r="E313" t="s">
        <v>18</v>
      </c>
      <c r="F313" t="s">
        <v>31</v>
      </c>
      <c r="G313">
        <v>51037.773669978611</v>
      </c>
      <c r="H313">
        <v>47434.963924455573</v>
      </c>
      <c r="I313">
        <v>54948.876008275001</v>
      </c>
    </row>
    <row r="314" spans="1:9" x14ac:dyDescent="0.3">
      <c r="A314">
        <v>14.1</v>
      </c>
      <c r="B314" t="s">
        <v>63</v>
      </c>
      <c r="C314" s="2">
        <v>47664</v>
      </c>
      <c r="D314">
        <v>2030</v>
      </c>
      <c r="E314" t="s">
        <v>19</v>
      </c>
      <c r="F314" t="s">
        <v>31</v>
      </c>
      <c r="G314">
        <v>9509.161169813493</v>
      </c>
      <c r="H314">
        <v>8821.2567017497968</v>
      </c>
      <c r="I314">
        <v>10255.92965430305</v>
      </c>
    </row>
    <row r="315" spans="1:9" x14ac:dyDescent="0.3">
      <c r="A315">
        <v>14.2</v>
      </c>
      <c r="B315" t="s">
        <v>64</v>
      </c>
      <c r="C315" s="2">
        <v>47664</v>
      </c>
      <c r="D315">
        <v>2030</v>
      </c>
      <c r="E315" t="s">
        <v>19</v>
      </c>
      <c r="F315" t="s">
        <v>31</v>
      </c>
      <c r="G315">
        <v>51434.682391212053</v>
      </c>
      <c r="H315">
        <v>47713.833916935349</v>
      </c>
      <c r="I315">
        <v>55473.924037616962</v>
      </c>
    </row>
    <row r="316" spans="1:9" x14ac:dyDescent="0.3">
      <c r="A316">
        <v>14.1</v>
      </c>
      <c r="B316" t="s">
        <v>63</v>
      </c>
      <c r="C316" s="2">
        <v>47848</v>
      </c>
      <c r="D316">
        <v>2030</v>
      </c>
      <c r="E316" t="s">
        <v>20</v>
      </c>
      <c r="F316" t="s">
        <v>31</v>
      </c>
      <c r="G316">
        <v>9582.5410143939698</v>
      </c>
      <c r="H316">
        <v>8872.5568789181234</v>
      </c>
      <c r="I316">
        <v>10353.278524434139</v>
      </c>
    </row>
    <row r="317" spans="1:9" x14ac:dyDescent="0.3">
      <c r="A317">
        <v>14.2</v>
      </c>
      <c r="B317" t="s">
        <v>64</v>
      </c>
      <c r="C317" s="2">
        <v>47848</v>
      </c>
      <c r="D317">
        <v>2030</v>
      </c>
      <c r="E317" t="s">
        <v>20</v>
      </c>
      <c r="F317" t="s">
        <v>31</v>
      </c>
      <c r="G317">
        <v>51831.591112445501</v>
      </c>
      <c r="H317">
        <v>47991.314577126701</v>
      </c>
      <c r="I317">
        <v>56000.480284474063</v>
      </c>
    </row>
    <row r="318" spans="1:9" x14ac:dyDescent="0.3">
      <c r="A318">
        <v>14.1</v>
      </c>
      <c r="B318" t="s">
        <v>63</v>
      </c>
      <c r="C318" s="2">
        <v>46203</v>
      </c>
      <c r="D318">
        <v>2026</v>
      </c>
      <c r="E318" t="s">
        <v>10</v>
      </c>
      <c r="F318" t="s">
        <v>11</v>
      </c>
      <c r="G318">
        <v>8712.1307097363897</v>
      </c>
      <c r="H318">
        <v>8203.8675647274158</v>
      </c>
      <c r="I318">
        <v>9263.8859550375455</v>
      </c>
    </row>
    <row r="319" spans="1:9" x14ac:dyDescent="0.3">
      <c r="A319">
        <v>14.2</v>
      </c>
      <c r="B319" t="s">
        <v>64</v>
      </c>
      <c r="C319" s="2">
        <v>46203</v>
      </c>
      <c r="D319">
        <v>2026</v>
      </c>
      <c r="E319" t="s">
        <v>10</v>
      </c>
      <c r="F319" t="s">
        <v>11</v>
      </c>
      <c r="G319">
        <v>47123.575676528882</v>
      </c>
      <c r="H319">
        <v>44374.400121729886</v>
      </c>
      <c r="I319">
        <v>50107.998307816233</v>
      </c>
    </row>
    <row r="320" spans="1:9" x14ac:dyDescent="0.3">
      <c r="A320">
        <v>14.1</v>
      </c>
      <c r="B320" t="s">
        <v>63</v>
      </c>
      <c r="C320" s="2">
        <v>46387</v>
      </c>
      <c r="D320">
        <v>2026</v>
      </c>
      <c r="E320" t="s">
        <v>12</v>
      </c>
      <c r="F320" t="s">
        <v>11</v>
      </c>
      <c r="G320">
        <v>8762.4476320530375</v>
      </c>
      <c r="H320">
        <v>8235.9130540007973</v>
      </c>
      <c r="I320">
        <v>9334.0377977488515</v>
      </c>
    </row>
    <row r="321" spans="1:9" x14ac:dyDescent="0.3">
      <c r="A321">
        <v>14.2</v>
      </c>
      <c r="B321" t="s">
        <v>64</v>
      </c>
      <c r="C321" s="2">
        <v>46387</v>
      </c>
      <c r="D321">
        <v>2026</v>
      </c>
      <c r="E321" t="s">
        <v>12</v>
      </c>
      <c r="F321" t="s">
        <v>11</v>
      </c>
      <c r="G321">
        <v>47395.737949524708</v>
      </c>
      <c r="H321">
        <v>44547.732925056393</v>
      </c>
      <c r="I321">
        <v>50487.446892668122</v>
      </c>
    </row>
    <row r="322" spans="1:9" x14ac:dyDescent="0.3">
      <c r="A322">
        <v>14.1</v>
      </c>
      <c r="B322" t="s">
        <v>63</v>
      </c>
      <c r="C322" s="2">
        <v>46568</v>
      </c>
      <c r="D322">
        <v>2027</v>
      </c>
      <c r="E322" t="s">
        <v>13</v>
      </c>
      <c r="F322" t="s">
        <v>11</v>
      </c>
      <c r="G322">
        <v>8823.9597801091131</v>
      </c>
      <c r="H322">
        <v>8278.2853267960672</v>
      </c>
      <c r="I322">
        <v>9416.3276210569329</v>
      </c>
    </row>
    <row r="323" spans="1:9" x14ac:dyDescent="0.3">
      <c r="A323">
        <v>14.2</v>
      </c>
      <c r="B323" t="s">
        <v>64</v>
      </c>
      <c r="C323" s="2">
        <v>46568</v>
      </c>
      <c r="D323">
        <v>2027</v>
      </c>
      <c r="E323" t="s">
        <v>13</v>
      </c>
      <c r="F323" t="s">
        <v>11</v>
      </c>
      <c r="G323">
        <v>47728.454762497553</v>
      </c>
      <c r="H323">
        <v>44776.922898230579</v>
      </c>
      <c r="I323">
        <v>50932.549341800674</v>
      </c>
    </row>
    <row r="324" spans="1:9" x14ac:dyDescent="0.3">
      <c r="A324">
        <v>14.1</v>
      </c>
      <c r="B324" t="s">
        <v>63</v>
      </c>
      <c r="C324" s="2">
        <v>46752</v>
      </c>
      <c r="D324">
        <v>2027</v>
      </c>
      <c r="E324" t="s">
        <v>14</v>
      </c>
      <c r="F324" t="s">
        <v>11</v>
      </c>
      <c r="G324">
        <v>8892.1696031136707</v>
      </c>
      <c r="H324">
        <v>8326.7140514786261</v>
      </c>
      <c r="I324">
        <v>9506.0112118610195</v>
      </c>
    </row>
    <row r="325" spans="1:9" x14ac:dyDescent="0.3">
      <c r="A325">
        <v>14.2</v>
      </c>
      <c r="B325" t="s">
        <v>64</v>
      </c>
      <c r="C325" s="2">
        <v>46752</v>
      </c>
      <c r="D325">
        <v>2027</v>
      </c>
      <c r="E325" t="s">
        <v>14</v>
      </c>
      <c r="F325" t="s">
        <v>11</v>
      </c>
      <c r="G325">
        <v>48097.399038396186</v>
      </c>
      <c r="H325">
        <v>45038.871983767807</v>
      </c>
      <c r="I325">
        <v>51417.644391336173</v>
      </c>
    </row>
    <row r="326" spans="1:9" x14ac:dyDescent="0.3">
      <c r="A326">
        <v>14.1</v>
      </c>
      <c r="B326" t="s">
        <v>63</v>
      </c>
      <c r="C326" s="2">
        <v>46934</v>
      </c>
      <c r="D326">
        <v>2028</v>
      </c>
      <c r="E326" t="s">
        <v>15</v>
      </c>
      <c r="F326" t="s">
        <v>11</v>
      </c>
      <c r="G326">
        <v>8964.7835935363528</v>
      </c>
      <c r="H326">
        <v>8379.0204127450579</v>
      </c>
      <c r="I326">
        <v>9600.6705561847666</v>
      </c>
    </row>
    <row r="327" spans="1:9" x14ac:dyDescent="0.3">
      <c r="A327">
        <v>14.2</v>
      </c>
      <c r="B327" t="s">
        <v>64</v>
      </c>
      <c r="C327" s="2">
        <v>46934</v>
      </c>
      <c r="D327">
        <v>2028</v>
      </c>
      <c r="E327" t="s">
        <v>15</v>
      </c>
      <c r="F327" t="s">
        <v>11</v>
      </c>
      <c r="G327">
        <v>48490.165284319693</v>
      </c>
      <c r="H327">
        <v>45321.795054555543</v>
      </c>
      <c r="I327">
        <v>51929.65309785679</v>
      </c>
    </row>
    <row r="328" spans="1:9" x14ac:dyDescent="0.3">
      <c r="A328">
        <v>14.1</v>
      </c>
      <c r="B328" t="s">
        <v>63</v>
      </c>
      <c r="C328" s="2">
        <v>47118</v>
      </c>
      <c r="D328">
        <v>2028</v>
      </c>
      <c r="E328" t="s">
        <v>16</v>
      </c>
      <c r="F328" t="s">
        <v>11</v>
      </c>
      <c r="G328">
        <v>9040.6471502263867</v>
      </c>
      <c r="H328">
        <v>8434.1041479951982</v>
      </c>
      <c r="I328">
        <v>9699.0920645745646</v>
      </c>
    </row>
    <row r="329" spans="1:9" x14ac:dyDescent="0.3">
      <c r="A329">
        <v>14.2</v>
      </c>
      <c r="B329" t="s">
        <v>64</v>
      </c>
      <c r="C329" s="2">
        <v>47118</v>
      </c>
      <c r="D329">
        <v>2028</v>
      </c>
      <c r="E329" t="s">
        <v>16</v>
      </c>
      <c r="F329" t="s">
        <v>11</v>
      </c>
      <c r="G329">
        <v>48900.508307614567</v>
      </c>
      <c r="H329">
        <v>45619.740833044023</v>
      </c>
      <c r="I329">
        <v>52462.011203276568</v>
      </c>
    </row>
    <row r="330" spans="1:9" x14ac:dyDescent="0.3">
      <c r="A330">
        <v>14.1</v>
      </c>
      <c r="B330" t="s">
        <v>63</v>
      </c>
      <c r="C330" s="2">
        <v>47299</v>
      </c>
      <c r="D330">
        <v>2029</v>
      </c>
      <c r="E330" t="s">
        <v>17</v>
      </c>
      <c r="F330" t="s">
        <v>11</v>
      </c>
      <c r="G330">
        <v>9119.1942038308862</v>
      </c>
      <c r="H330">
        <v>8491.42109448669</v>
      </c>
      <c r="I330">
        <v>9800.6858865173472</v>
      </c>
    </row>
    <row r="331" spans="1:9" x14ac:dyDescent="0.3">
      <c r="A331">
        <v>14.2</v>
      </c>
      <c r="B331" t="s">
        <v>64</v>
      </c>
      <c r="C331" s="2">
        <v>47299</v>
      </c>
      <c r="D331">
        <v>2029</v>
      </c>
      <c r="E331" t="s">
        <v>17</v>
      </c>
      <c r="F331" t="s">
        <v>11</v>
      </c>
      <c r="G331">
        <v>49325.36626119916</v>
      </c>
      <c r="H331">
        <v>45929.765964154692</v>
      </c>
      <c r="I331">
        <v>53011.528229144671</v>
      </c>
    </row>
    <row r="332" spans="1:9" x14ac:dyDescent="0.3">
      <c r="A332">
        <v>14.1</v>
      </c>
      <c r="B332" t="s">
        <v>63</v>
      </c>
      <c r="C332" s="2">
        <v>47483</v>
      </c>
      <c r="D332">
        <v>2029</v>
      </c>
      <c r="E332" t="s">
        <v>18</v>
      </c>
      <c r="F332" t="s">
        <v>11</v>
      </c>
      <c r="G332">
        <v>9200.1628290785266</v>
      </c>
      <c r="H332">
        <v>8550.7137266287391</v>
      </c>
      <c r="I332">
        <v>9905.1853205803909</v>
      </c>
    </row>
    <row r="333" spans="1:9" x14ac:dyDescent="0.3">
      <c r="A333">
        <v>14.2</v>
      </c>
      <c r="B333" t="s">
        <v>64</v>
      </c>
      <c r="C333" s="2">
        <v>47483</v>
      </c>
      <c r="D333">
        <v>2029</v>
      </c>
      <c r="E333" t="s">
        <v>18</v>
      </c>
      <c r="F333" t="s">
        <v>11</v>
      </c>
      <c r="G333">
        <v>49763.322401482677</v>
      </c>
      <c r="H333">
        <v>46250.477501997419</v>
      </c>
      <c r="I333">
        <v>53576.761597799363</v>
      </c>
    </row>
    <row r="334" spans="1:9" x14ac:dyDescent="0.3">
      <c r="A334">
        <v>14.1</v>
      </c>
      <c r="B334" t="s">
        <v>63</v>
      </c>
      <c r="C334" s="2">
        <v>47664</v>
      </c>
      <c r="D334">
        <v>2030</v>
      </c>
      <c r="E334" t="s">
        <v>19</v>
      </c>
      <c r="F334" t="s">
        <v>11</v>
      </c>
      <c r="G334">
        <v>9283.4482972280384</v>
      </c>
      <c r="H334">
        <v>8611.8721772466033</v>
      </c>
      <c r="I334">
        <v>10012.491216151881</v>
      </c>
    </row>
    <row r="335" spans="1:9" x14ac:dyDescent="0.3">
      <c r="A335">
        <v>14.2</v>
      </c>
      <c r="B335" t="s">
        <v>64</v>
      </c>
      <c r="C335" s="2">
        <v>47664</v>
      </c>
      <c r="D335">
        <v>2030</v>
      </c>
      <c r="E335" t="s">
        <v>19</v>
      </c>
      <c r="F335" t="s">
        <v>11</v>
      </c>
      <c r="G335">
        <v>50213.810254782737</v>
      </c>
      <c r="H335">
        <v>46581.281179303303</v>
      </c>
      <c r="I335">
        <v>54157.175007443213</v>
      </c>
    </row>
    <row r="336" spans="1:9" x14ac:dyDescent="0.3">
      <c r="A336">
        <v>14.1</v>
      </c>
      <c r="B336" t="s">
        <v>63</v>
      </c>
      <c r="C336" s="2">
        <v>47848</v>
      </c>
      <c r="D336">
        <v>2030</v>
      </c>
      <c r="E336" t="s">
        <v>20</v>
      </c>
      <c r="F336" t="s">
        <v>11</v>
      </c>
      <c r="G336">
        <v>9369.0271463102763</v>
      </c>
      <c r="H336">
        <v>8674.8625579478521</v>
      </c>
      <c r="I336">
        <v>10122.59142987548</v>
      </c>
    </row>
    <row r="337" spans="1:9" x14ac:dyDescent="0.3">
      <c r="A337">
        <v>14.2</v>
      </c>
      <c r="B337" t="s">
        <v>64</v>
      </c>
      <c r="C337" s="2">
        <v>47848</v>
      </c>
      <c r="D337">
        <v>2030</v>
      </c>
      <c r="E337" t="s">
        <v>20</v>
      </c>
      <c r="F337" t="s">
        <v>11</v>
      </c>
      <c r="G337">
        <v>50676.70291622205</v>
      </c>
      <c r="H337">
        <v>46921.993695077566</v>
      </c>
      <c r="I337">
        <v>54752.70277513472</v>
      </c>
    </row>
    <row r="338" spans="1:9" x14ac:dyDescent="0.3">
      <c r="A338">
        <v>14.3</v>
      </c>
      <c r="B338" t="s">
        <v>65</v>
      </c>
      <c r="C338" s="2">
        <v>46203</v>
      </c>
      <c r="D338">
        <v>2026</v>
      </c>
      <c r="E338" t="s">
        <v>10</v>
      </c>
      <c r="F338" t="s">
        <v>31</v>
      </c>
      <c r="G338">
        <v>53184.163304725829</v>
      </c>
      <c r="H338">
        <v>50081.414848975357</v>
      </c>
      <c r="I338">
        <v>56552.414086080753</v>
      </c>
    </row>
    <row r="339" spans="1:9" x14ac:dyDescent="0.3">
      <c r="A339">
        <v>14.4</v>
      </c>
      <c r="B339" t="s">
        <v>66</v>
      </c>
      <c r="C339" s="2">
        <v>46203</v>
      </c>
      <c r="D339">
        <v>2026</v>
      </c>
      <c r="E339" t="s">
        <v>10</v>
      </c>
      <c r="F339" t="s">
        <v>31</v>
      </c>
      <c r="G339">
        <v>3997.37172978836</v>
      </c>
      <c r="H339">
        <v>3764.1662379467821</v>
      </c>
      <c r="I339">
        <v>4250.5326261078344</v>
      </c>
    </row>
    <row r="340" spans="1:9" x14ac:dyDescent="0.3">
      <c r="A340">
        <v>14.3</v>
      </c>
      <c r="B340" t="s">
        <v>65</v>
      </c>
      <c r="C340" s="2">
        <v>46387</v>
      </c>
      <c r="D340">
        <v>2026</v>
      </c>
      <c r="E340" t="s">
        <v>12</v>
      </c>
      <c r="F340" t="s">
        <v>31</v>
      </c>
      <c r="G340">
        <v>53621.575554493087</v>
      </c>
      <c r="H340">
        <v>50399.460587916547</v>
      </c>
      <c r="I340">
        <v>57119.407044400919</v>
      </c>
    </row>
    <row r="341" spans="1:9" x14ac:dyDescent="0.3">
      <c r="A341">
        <v>14.4</v>
      </c>
      <c r="B341" t="s">
        <v>66</v>
      </c>
      <c r="C341" s="2">
        <v>46387</v>
      </c>
      <c r="D341">
        <v>2026</v>
      </c>
      <c r="E341" t="s">
        <v>12</v>
      </c>
      <c r="F341" t="s">
        <v>31</v>
      </c>
      <c r="G341">
        <v>4030.2480458350101</v>
      </c>
      <c r="H341">
        <v>3788.0708547842928</v>
      </c>
      <c r="I341">
        <v>4293.1483500704726</v>
      </c>
    </row>
    <row r="342" spans="1:9" x14ac:dyDescent="0.3">
      <c r="A342">
        <v>14.3</v>
      </c>
      <c r="B342" t="s">
        <v>65</v>
      </c>
      <c r="C342" s="2">
        <v>46568</v>
      </c>
      <c r="D342">
        <v>2027</v>
      </c>
      <c r="E342" t="s">
        <v>13</v>
      </c>
      <c r="F342" t="s">
        <v>31</v>
      </c>
      <c r="G342">
        <v>54058.987804260367</v>
      </c>
      <c r="H342">
        <v>50715.975216732273</v>
      </c>
      <c r="I342">
        <v>57688.062130009188</v>
      </c>
    </row>
    <row r="343" spans="1:9" x14ac:dyDescent="0.3">
      <c r="A343">
        <v>14.4</v>
      </c>
      <c r="B343" t="s">
        <v>66</v>
      </c>
      <c r="C343" s="2">
        <v>46568</v>
      </c>
      <c r="D343">
        <v>2027</v>
      </c>
      <c r="E343" t="s">
        <v>13</v>
      </c>
      <c r="F343" t="s">
        <v>31</v>
      </c>
      <c r="G343">
        <v>4063.1243618816602</v>
      </c>
      <c r="H343">
        <v>3811.8603919448801</v>
      </c>
      <c r="I343">
        <v>4335.8890010831956</v>
      </c>
    </row>
    <row r="344" spans="1:9" x14ac:dyDescent="0.3">
      <c r="A344">
        <v>14.3</v>
      </c>
      <c r="B344" t="s">
        <v>65</v>
      </c>
      <c r="C344" s="2">
        <v>46752</v>
      </c>
      <c r="D344">
        <v>2027</v>
      </c>
      <c r="E344" t="s">
        <v>14</v>
      </c>
      <c r="F344" t="s">
        <v>31</v>
      </c>
      <c r="G344">
        <v>54496.400054027639</v>
      </c>
      <c r="H344">
        <v>51030.958735422559</v>
      </c>
      <c r="I344">
        <v>58258.379342905551</v>
      </c>
    </row>
    <row r="345" spans="1:9" x14ac:dyDescent="0.3">
      <c r="A345">
        <v>14.4</v>
      </c>
      <c r="B345" t="s">
        <v>66</v>
      </c>
      <c r="C345" s="2">
        <v>46752</v>
      </c>
      <c r="D345">
        <v>2027</v>
      </c>
      <c r="E345" t="s">
        <v>14</v>
      </c>
      <c r="F345" t="s">
        <v>31</v>
      </c>
      <c r="G345">
        <v>4096.0006779283094</v>
      </c>
      <c r="H345">
        <v>3835.5348494285399</v>
      </c>
      <c r="I345">
        <v>4378.7545791459988</v>
      </c>
    </row>
    <row r="346" spans="1:9" x14ac:dyDescent="0.3">
      <c r="A346">
        <v>14.3</v>
      </c>
      <c r="B346" t="s">
        <v>65</v>
      </c>
      <c r="C346" s="2">
        <v>46934</v>
      </c>
      <c r="D346">
        <v>2028</v>
      </c>
      <c r="E346" t="s">
        <v>15</v>
      </c>
      <c r="F346" t="s">
        <v>31</v>
      </c>
      <c r="G346">
        <v>54933.812303794897</v>
      </c>
      <c r="H346">
        <v>51344.411143987381</v>
      </c>
      <c r="I346">
        <v>58830.358683090002</v>
      </c>
    </row>
    <row r="347" spans="1:9" x14ac:dyDescent="0.3">
      <c r="A347">
        <v>14.4</v>
      </c>
      <c r="B347" t="s">
        <v>66</v>
      </c>
      <c r="C347" s="2">
        <v>46934</v>
      </c>
      <c r="D347">
        <v>2028</v>
      </c>
      <c r="E347" t="s">
        <v>15</v>
      </c>
      <c r="F347" t="s">
        <v>31</v>
      </c>
      <c r="G347">
        <v>4128.8769939749591</v>
      </c>
      <c r="H347">
        <v>3859.094227235275</v>
      </c>
      <c r="I347">
        <v>4421.7450842588833</v>
      </c>
    </row>
    <row r="348" spans="1:9" x14ac:dyDescent="0.3">
      <c r="A348">
        <v>14.3</v>
      </c>
      <c r="B348" t="s">
        <v>65</v>
      </c>
      <c r="C348" s="2">
        <v>47118</v>
      </c>
      <c r="D348">
        <v>2028</v>
      </c>
      <c r="E348" t="s">
        <v>16</v>
      </c>
      <c r="F348" t="s">
        <v>31</v>
      </c>
      <c r="G348">
        <v>55371.22455356217</v>
      </c>
      <c r="H348">
        <v>51656.332442426763</v>
      </c>
      <c r="I348">
        <v>59404.000150562548</v>
      </c>
    </row>
    <row r="349" spans="1:9" x14ac:dyDescent="0.3">
      <c r="A349">
        <v>14.4</v>
      </c>
      <c r="B349" t="s">
        <v>66</v>
      </c>
      <c r="C349" s="2">
        <v>47118</v>
      </c>
      <c r="D349">
        <v>2028</v>
      </c>
      <c r="E349" t="s">
        <v>16</v>
      </c>
      <c r="F349" t="s">
        <v>31</v>
      </c>
      <c r="G349">
        <v>4161.7533100216096</v>
      </c>
      <c r="H349">
        <v>3882.5385253650838</v>
      </c>
      <c r="I349">
        <v>4464.8605164218507</v>
      </c>
    </row>
    <row r="350" spans="1:9" x14ac:dyDescent="0.3">
      <c r="A350">
        <v>14.3</v>
      </c>
      <c r="B350" t="s">
        <v>65</v>
      </c>
      <c r="C350" s="2">
        <v>47299</v>
      </c>
      <c r="D350">
        <v>2029</v>
      </c>
      <c r="E350" t="s">
        <v>17</v>
      </c>
      <c r="F350" t="s">
        <v>31</v>
      </c>
      <c r="G350">
        <v>55808.636803329442</v>
      </c>
      <c r="H350">
        <v>51966.722630740682</v>
      </c>
      <c r="I350">
        <v>59979.303745323188</v>
      </c>
    </row>
    <row r="351" spans="1:9" x14ac:dyDescent="0.3">
      <c r="A351">
        <v>14.4</v>
      </c>
      <c r="B351" t="s">
        <v>66</v>
      </c>
      <c r="C351" s="2">
        <v>47299</v>
      </c>
      <c r="D351">
        <v>2029</v>
      </c>
      <c r="E351" t="s">
        <v>17</v>
      </c>
      <c r="F351" t="s">
        <v>31</v>
      </c>
      <c r="G351">
        <v>4194.6296260682593</v>
      </c>
      <c r="H351">
        <v>3905.867743817967</v>
      </c>
      <c r="I351">
        <v>4508.1008756348992</v>
      </c>
    </row>
    <row r="352" spans="1:9" x14ac:dyDescent="0.3">
      <c r="A352">
        <v>14.3</v>
      </c>
      <c r="B352" t="s">
        <v>65</v>
      </c>
      <c r="C352" s="2">
        <v>47483</v>
      </c>
      <c r="D352">
        <v>2029</v>
      </c>
      <c r="E352" t="s">
        <v>18</v>
      </c>
      <c r="F352" t="s">
        <v>31</v>
      </c>
      <c r="G352">
        <v>56246.049053096707</v>
      </c>
      <c r="H352">
        <v>52275.581708929167</v>
      </c>
      <c r="I352">
        <v>60556.269467371923</v>
      </c>
    </row>
    <row r="353" spans="1:9" x14ac:dyDescent="0.3">
      <c r="A353">
        <v>14.4</v>
      </c>
      <c r="B353" t="s">
        <v>66</v>
      </c>
      <c r="C353" s="2">
        <v>47483</v>
      </c>
      <c r="D353">
        <v>2029</v>
      </c>
      <c r="E353" t="s">
        <v>18</v>
      </c>
      <c r="F353" t="s">
        <v>31</v>
      </c>
      <c r="G353">
        <v>4227.505942114909</v>
      </c>
      <c r="H353">
        <v>3929.081882593925</v>
      </c>
      <c r="I353">
        <v>4551.4661618980308</v>
      </c>
    </row>
    <row r="354" spans="1:9" x14ac:dyDescent="0.3">
      <c r="A354">
        <v>14.3</v>
      </c>
      <c r="B354" t="s">
        <v>65</v>
      </c>
      <c r="C354" s="2">
        <v>47664</v>
      </c>
      <c r="D354">
        <v>2030</v>
      </c>
      <c r="E354" t="s">
        <v>19</v>
      </c>
      <c r="F354" t="s">
        <v>31</v>
      </c>
      <c r="G354">
        <v>56683.461302863987</v>
      </c>
      <c r="H354">
        <v>52582.909676992182</v>
      </c>
      <c r="I354">
        <v>61134.897316708753</v>
      </c>
    </row>
    <row r="355" spans="1:9" x14ac:dyDescent="0.3">
      <c r="A355">
        <v>14.4</v>
      </c>
      <c r="B355" t="s">
        <v>66</v>
      </c>
      <c r="C355" s="2">
        <v>47664</v>
      </c>
      <c r="D355">
        <v>2030</v>
      </c>
      <c r="E355" t="s">
        <v>19</v>
      </c>
      <c r="F355" t="s">
        <v>31</v>
      </c>
      <c r="G355">
        <v>4260.3822581615595</v>
      </c>
      <c r="H355">
        <v>3952.1809416929568</v>
      </c>
      <c r="I355">
        <v>4594.9563752112444</v>
      </c>
    </row>
    <row r="356" spans="1:9" x14ac:dyDescent="0.3">
      <c r="A356">
        <v>14.3</v>
      </c>
      <c r="B356" t="s">
        <v>65</v>
      </c>
      <c r="C356" s="2">
        <v>47848</v>
      </c>
      <c r="D356">
        <v>2030</v>
      </c>
      <c r="E356" t="s">
        <v>20</v>
      </c>
      <c r="F356" t="s">
        <v>31</v>
      </c>
      <c r="G356">
        <v>57120.873552631252</v>
      </c>
      <c r="H356">
        <v>52888.706534929763</v>
      </c>
      <c r="I356">
        <v>61715.187293333664</v>
      </c>
    </row>
    <row r="357" spans="1:9" x14ac:dyDescent="0.3">
      <c r="A357">
        <v>14.4</v>
      </c>
      <c r="B357" t="s">
        <v>66</v>
      </c>
      <c r="C357" s="2">
        <v>47848</v>
      </c>
      <c r="D357">
        <v>2030</v>
      </c>
      <c r="E357" t="s">
        <v>20</v>
      </c>
      <c r="F357" t="s">
        <v>31</v>
      </c>
      <c r="G357">
        <v>4293.2585742082092</v>
      </c>
      <c r="H357">
        <v>3975.164921115063</v>
      </c>
      <c r="I357">
        <v>4638.5715155745374</v>
      </c>
    </row>
    <row r="358" spans="1:9" x14ac:dyDescent="0.3">
      <c r="A358">
        <v>14.3</v>
      </c>
      <c r="B358" t="s">
        <v>65</v>
      </c>
      <c r="C358" s="2">
        <v>46203</v>
      </c>
      <c r="D358">
        <v>2026</v>
      </c>
      <c r="E358" t="s">
        <v>10</v>
      </c>
      <c r="F358" t="s">
        <v>11</v>
      </c>
      <c r="G358">
        <v>51932.417079909617</v>
      </c>
      <c r="H358">
        <v>48902.695131012093</v>
      </c>
      <c r="I358">
        <v>55221.39247291936</v>
      </c>
    </row>
    <row r="359" spans="1:9" x14ac:dyDescent="0.3">
      <c r="A359">
        <v>14.4</v>
      </c>
      <c r="B359" t="s">
        <v>66</v>
      </c>
      <c r="C359" s="2">
        <v>46203</v>
      </c>
      <c r="D359">
        <v>2026</v>
      </c>
      <c r="E359" t="s">
        <v>10</v>
      </c>
      <c r="F359" t="s">
        <v>11</v>
      </c>
      <c r="G359">
        <v>3903.2893063556498</v>
      </c>
      <c r="H359">
        <v>3675.5725554452119</v>
      </c>
      <c r="I359">
        <v>4150.4917899344118</v>
      </c>
    </row>
    <row r="360" spans="1:9" x14ac:dyDescent="0.3">
      <c r="A360">
        <v>14.3</v>
      </c>
      <c r="B360" t="s">
        <v>65</v>
      </c>
      <c r="C360" s="2">
        <v>46387</v>
      </c>
      <c r="D360">
        <v>2026</v>
      </c>
      <c r="E360" t="s">
        <v>12</v>
      </c>
      <c r="F360" t="s">
        <v>11</v>
      </c>
      <c r="G360">
        <v>52232.352822724548</v>
      </c>
      <c r="H360">
        <v>49093.716107386463</v>
      </c>
      <c r="I360">
        <v>55639.562823662178</v>
      </c>
    </row>
    <row r="361" spans="1:9" x14ac:dyDescent="0.3">
      <c r="A361">
        <v>14.4</v>
      </c>
      <c r="B361" t="s">
        <v>66</v>
      </c>
      <c r="C361" s="2">
        <v>46387</v>
      </c>
      <c r="D361">
        <v>2026</v>
      </c>
      <c r="E361" t="s">
        <v>12</v>
      </c>
      <c r="F361" t="s">
        <v>11</v>
      </c>
      <c r="G361">
        <v>3925.8327588531888</v>
      </c>
      <c r="H361">
        <v>3689.929871670729</v>
      </c>
      <c r="I361">
        <v>4181.9218667547893</v>
      </c>
    </row>
    <row r="362" spans="1:9" x14ac:dyDescent="0.3">
      <c r="A362">
        <v>14.3</v>
      </c>
      <c r="B362" t="s">
        <v>65</v>
      </c>
      <c r="C362" s="2">
        <v>46568</v>
      </c>
      <c r="D362">
        <v>2027</v>
      </c>
      <c r="E362" t="s">
        <v>13</v>
      </c>
      <c r="F362" t="s">
        <v>11</v>
      </c>
      <c r="G362">
        <v>52599.022542768958</v>
      </c>
      <c r="H362">
        <v>49346.294336150691</v>
      </c>
      <c r="I362">
        <v>56130.086849052597</v>
      </c>
    </row>
    <row r="363" spans="1:9" x14ac:dyDescent="0.3">
      <c r="A363">
        <v>14.4</v>
      </c>
      <c r="B363" t="s">
        <v>66</v>
      </c>
      <c r="C363" s="2">
        <v>46568</v>
      </c>
      <c r="D363">
        <v>2027</v>
      </c>
      <c r="E363" t="s">
        <v>13</v>
      </c>
      <c r="F363" t="s">
        <v>11</v>
      </c>
      <c r="G363">
        <v>3953.3919998377082</v>
      </c>
      <c r="H363">
        <v>3708.9138888759489</v>
      </c>
      <c r="I363">
        <v>4218.7901138050047</v>
      </c>
    </row>
    <row r="364" spans="1:9" x14ac:dyDescent="0.3">
      <c r="A364">
        <v>14.3</v>
      </c>
      <c r="B364" t="s">
        <v>65</v>
      </c>
      <c r="C364" s="2">
        <v>46752</v>
      </c>
      <c r="D364">
        <v>2027</v>
      </c>
      <c r="E364" t="s">
        <v>14</v>
      </c>
      <c r="F364" t="s">
        <v>11</v>
      </c>
      <c r="G364">
        <v>53005.616646466318</v>
      </c>
      <c r="H364">
        <v>49634.974661625158</v>
      </c>
      <c r="I364">
        <v>56664.68461830516</v>
      </c>
    </row>
    <row r="365" spans="1:9" x14ac:dyDescent="0.3">
      <c r="A365">
        <v>14.4</v>
      </c>
      <c r="B365" t="s">
        <v>66</v>
      </c>
      <c r="C365" s="2">
        <v>46752</v>
      </c>
      <c r="D365">
        <v>2027</v>
      </c>
      <c r="E365" t="s">
        <v>14</v>
      </c>
      <c r="F365" t="s">
        <v>11</v>
      </c>
      <c r="G365">
        <v>3983.951995043537</v>
      </c>
      <c r="H365">
        <v>3730.6113736212851</v>
      </c>
      <c r="I365">
        <v>4258.9709848920229</v>
      </c>
    </row>
    <row r="366" spans="1:9" x14ac:dyDescent="0.3">
      <c r="A366">
        <v>14.3</v>
      </c>
      <c r="B366" t="s">
        <v>65</v>
      </c>
      <c r="C366" s="2">
        <v>46934</v>
      </c>
      <c r="D366">
        <v>2028</v>
      </c>
      <c r="E366" t="s">
        <v>15</v>
      </c>
      <c r="F366" t="s">
        <v>11</v>
      </c>
      <c r="G366">
        <v>53438.463691822617</v>
      </c>
      <c r="H366">
        <v>49946.769314359757</v>
      </c>
      <c r="I366">
        <v>57228.942514991417</v>
      </c>
    </row>
    <row r="367" spans="1:9" x14ac:dyDescent="0.3">
      <c r="A367">
        <v>14.4</v>
      </c>
      <c r="B367" t="s">
        <v>66</v>
      </c>
      <c r="C367" s="2">
        <v>46934</v>
      </c>
      <c r="D367">
        <v>2028</v>
      </c>
      <c r="E367" t="s">
        <v>15</v>
      </c>
      <c r="F367" t="s">
        <v>11</v>
      </c>
      <c r="G367">
        <v>4016.4851860334188</v>
      </c>
      <c r="H367">
        <v>3754.046152940823</v>
      </c>
      <c r="I367">
        <v>4301.3811390501323</v>
      </c>
    </row>
    <row r="368" spans="1:9" x14ac:dyDescent="0.3">
      <c r="A368">
        <v>14.3</v>
      </c>
      <c r="B368" t="s">
        <v>65</v>
      </c>
      <c r="C368" s="2">
        <v>47118</v>
      </c>
      <c r="D368">
        <v>2028</v>
      </c>
      <c r="E368" t="s">
        <v>16</v>
      </c>
      <c r="F368" t="s">
        <v>11</v>
      </c>
      <c r="G368">
        <v>53890.681180110441</v>
      </c>
      <c r="H368">
        <v>50275.119704021919</v>
      </c>
      <c r="I368">
        <v>57815.626415133163</v>
      </c>
    </row>
    <row r="369" spans="1:9" x14ac:dyDescent="0.3">
      <c r="A369">
        <v>14.4</v>
      </c>
      <c r="B369" t="s">
        <v>66</v>
      </c>
      <c r="C369" s="2">
        <v>47118</v>
      </c>
      <c r="D369">
        <v>2028</v>
      </c>
      <c r="E369" t="s">
        <v>16</v>
      </c>
      <c r="F369" t="s">
        <v>11</v>
      </c>
      <c r="G369">
        <v>4050.474277730515</v>
      </c>
      <c r="H369">
        <v>3778.7252770172909</v>
      </c>
      <c r="I369">
        <v>4345.4768527179676</v>
      </c>
    </row>
    <row r="370" spans="1:9" x14ac:dyDescent="0.3">
      <c r="A370">
        <v>14.3</v>
      </c>
      <c r="B370" t="s">
        <v>65</v>
      </c>
      <c r="C370" s="2">
        <v>47299</v>
      </c>
      <c r="D370">
        <v>2029</v>
      </c>
      <c r="E370" t="s">
        <v>17</v>
      </c>
      <c r="F370" t="s">
        <v>11</v>
      </c>
      <c r="G370">
        <v>54358.894810517537</v>
      </c>
      <c r="H370">
        <v>50616.782113610927</v>
      </c>
      <c r="I370">
        <v>58421.220260043949</v>
      </c>
    </row>
    <row r="371" spans="1:9" x14ac:dyDescent="0.3">
      <c r="A371">
        <v>14.4</v>
      </c>
      <c r="B371" t="s">
        <v>66</v>
      </c>
      <c r="C371" s="2">
        <v>47299</v>
      </c>
      <c r="D371">
        <v>2029</v>
      </c>
      <c r="E371" t="s">
        <v>17</v>
      </c>
      <c r="F371" t="s">
        <v>11</v>
      </c>
      <c r="G371">
        <v>4085.6656545124938</v>
      </c>
      <c r="H371">
        <v>3804.404945030441</v>
      </c>
      <c r="I371">
        <v>4390.9938556180596</v>
      </c>
    </row>
    <row r="372" spans="1:9" x14ac:dyDescent="0.3">
      <c r="A372">
        <v>14.3</v>
      </c>
      <c r="B372" t="s">
        <v>65</v>
      </c>
      <c r="C372" s="2">
        <v>47483</v>
      </c>
      <c r="D372">
        <v>2029</v>
      </c>
      <c r="E372" t="s">
        <v>18</v>
      </c>
      <c r="F372" t="s">
        <v>11</v>
      </c>
      <c r="G372">
        <v>54841.543264362263</v>
      </c>
      <c r="H372">
        <v>50970.221450640784</v>
      </c>
      <c r="I372">
        <v>59044.134260669722</v>
      </c>
    </row>
    <row r="373" spans="1:9" x14ac:dyDescent="0.3">
      <c r="A373">
        <v>14.4</v>
      </c>
      <c r="B373" t="s">
        <v>66</v>
      </c>
      <c r="C373" s="2">
        <v>47483</v>
      </c>
      <c r="D373">
        <v>2029</v>
      </c>
      <c r="E373" t="s">
        <v>18</v>
      </c>
      <c r="F373" t="s">
        <v>11</v>
      </c>
      <c r="G373">
        <v>4121.9419661989377</v>
      </c>
      <c r="H373">
        <v>3830.96977798538</v>
      </c>
      <c r="I373">
        <v>4437.8126577100284</v>
      </c>
    </row>
    <row r="374" spans="1:9" x14ac:dyDescent="0.3">
      <c r="A374">
        <v>14.3</v>
      </c>
      <c r="B374" t="s">
        <v>65</v>
      </c>
      <c r="C374" s="2">
        <v>47664</v>
      </c>
      <c r="D374">
        <v>2030</v>
      </c>
      <c r="E374" t="s">
        <v>19</v>
      </c>
      <c r="F374" t="s">
        <v>11</v>
      </c>
      <c r="G374">
        <v>55338.002260759349</v>
      </c>
      <c r="H374">
        <v>51334.782804374663</v>
      </c>
      <c r="I374">
        <v>59683.777386974543</v>
      </c>
    </row>
    <row r="375" spans="1:9" x14ac:dyDescent="0.3">
      <c r="A375">
        <v>14.4</v>
      </c>
      <c r="B375" t="s">
        <v>66</v>
      </c>
      <c r="C375" s="2">
        <v>47664</v>
      </c>
      <c r="D375">
        <v>2030</v>
      </c>
      <c r="E375" t="s">
        <v>19</v>
      </c>
      <c r="F375" t="s">
        <v>11</v>
      </c>
      <c r="G375">
        <v>4159.2562912514186</v>
      </c>
      <c r="H375">
        <v>3858.3705521752349</v>
      </c>
      <c r="I375">
        <v>4485.8888366205483</v>
      </c>
    </row>
    <row r="376" spans="1:9" x14ac:dyDescent="0.3">
      <c r="A376">
        <v>14.3</v>
      </c>
      <c r="B376" t="s">
        <v>65</v>
      </c>
      <c r="C376" s="2">
        <v>47848</v>
      </c>
      <c r="D376">
        <v>2030</v>
      </c>
      <c r="E376" t="s">
        <v>20</v>
      </c>
      <c r="F376" t="s">
        <v>11</v>
      </c>
      <c r="G376">
        <v>55848.131944510613</v>
      </c>
      <c r="H376">
        <v>51710.264168416143</v>
      </c>
      <c r="I376">
        <v>60340.077253239288</v>
      </c>
    </row>
    <row r="377" spans="1:9" x14ac:dyDescent="0.3">
      <c r="A377">
        <v>14.4</v>
      </c>
      <c r="B377" t="s">
        <v>66</v>
      </c>
      <c r="C377" s="2">
        <v>47848</v>
      </c>
      <c r="D377">
        <v>2030</v>
      </c>
      <c r="E377" t="s">
        <v>20</v>
      </c>
      <c r="F377" t="s">
        <v>11</v>
      </c>
      <c r="G377">
        <v>4197.5981180217186</v>
      </c>
      <c r="H377">
        <v>3886.592084609279</v>
      </c>
      <c r="I377">
        <v>4535.2169517708999</v>
      </c>
    </row>
    <row r="378" spans="1:9" x14ac:dyDescent="0.3">
      <c r="A378">
        <v>194</v>
      </c>
      <c r="B378" t="s">
        <v>26</v>
      </c>
      <c r="C378" s="2">
        <v>46387</v>
      </c>
      <c r="D378">
        <v>2026</v>
      </c>
      <c r="E378" t="s">
        <v>12</v>
      </c>
      <c r="F378" t="s">
        <v>27</v>
      </c>
      <c r="G378">
        <v>90.299279905306122</v>
      </c>
      <c r="H378">
        <v>87.590301508146936</v>
      </c>
      <c r="I378">
        <v>93.008258302465308</v>
      </c>
    </row>
    <row r="379" spans="1:9" x14ac:dyDescent="0.3">
      <c r="A379">
        <v>194</v>
      </c>
      <c r="B379" t="s">
        <v>26</v>
      </c>
      <c r="C379" s="2">
        <v>46752</v>
      </c>
      <c r="D379">
        <v>2027</v>
      </c>
      <c r="E379" t="s">
        <v>14</v>
      </c>
      <c r="F379" t="s">
        <v>27</v>
      </c>
      <c r="G379">
        <v>91.205371802411875</v>
      </c>
      <c r="H379">
        <v>88.469210648339512</v>
      </c>
      <c r="I379">
        <v>93.941532956484238</v>
      </c>
    </row>
    <row r="380" spans="1:9" x14ac:dyDescent="0.3">
      <c r="A380">
        <v>194</v>
      </c>
      <c r="B380" t="s">
        <v>26</v>
      </c>
      <c r="C380" s="2">
        <v>47118</v>
      </c>
      <c r="D380">
        <v>2028</v>
      </c>
      <c r="E380" t="s">
        <v>16</v>
      </c>
      <c r="F380" t="s">
        <v>27</v>
      </c>
      <c r="G380">
        <v>92.111463699517614</v>
      </c>
      <c r="H380">
        <v>89.348119788532088</v>
      </c>
      <c r="I380">
        <v>94.87480761050314</v>
      </c>
    </row>
    <row r="381" spans="1:9" x14ac:dyDescent="0.3">
      <c r="A381">
        <v>194</v>
      </c>
      <c r="B381" t="s">
        <v>26</v>
      </c>
      <c r="C381" s="2">
        <v>47483</v>
      </c>
      <c r="D381">
        <v>2029</v>
      </c>
      <c r="E381" t="s">
        <v>18</v>
      </c>
      <c r="F381" t="s">
        <v>27</v>
      </c>
      <c r="G381">
        <v>93.017555596623353</v>
      </c>
      <c r="H381">
        <v>90.22702892872465</v>
      </c>
      <c r="I381">
        <v>95.808082264522056</v>
      </c>
    </row>
    <row r="382" spans="1:9" x14ac:dyDescent="0.3">
      <c r="A382">
        <v>194</v>
      </c>
      <c r="B382" t="s">
        <v>26</v>
      </c>
      <c r="C382" s="2">
        <v>47848</v>
      </c>
      <c r="D382">
        <v>2030</v>
      </c>
      <c r="E382" t="s">
        <v>20</v>
      </c>
      <c r="F382" t="s">
        <v>27</v>
      </c>
      <c r="G382">
        <v>93.923647493729106</v>
      </c>
      <c r="H382">
        <v>91.105938068917226</v>
      </c>
      <c r="I382">
        <v>96.741356918540987</v>
      </c>
    </row>
    <row r="383" spans="1:9" x14ac:dyDescent="0.3">
      <c r="A383">
        <v>194</v>
      </c>
      <c r="B383" t="s">
        <v>26</v>
      </c>
      <c r="C383" s="2">
        <v>46387</v>
      </c>
      <c r="D383">
        <v>2026</v>
      </c>
      <c r="E383" t="s">
        <v>12</v>
      </c>
      <c r="F383" t="s">
        <v>29</v>
      </c>
      <c r="G383">
        <v>90.703306625415365</v>
      </c>
      <c r="H383">
        <v>87.982207426652906</v>
      </c>
      <c r="I383">
        <v>93.424405824177825</v>
      </c>
    </row>
    <row r="384" spans="1:9" x14ac:dyDescent="0.3">
      <c r="A384">
        <v>194</v>
      </c>
      <c r="B384" t="s">
        <v>26</v>
      </c>
      <c r="C384" s="2">
        <v>46752</v>
      </c>
      <c r="D384">
        <v>2027</v>
      </c>
      <c r="E384" t="s">
        <v>14</v>
      </c>
      <c r="F384" t="s">
        <v>29</v>
      </c>
      <c r="G384">
        <v>91.412109253156885</v>
      </c>
      <c r="H384">
        <v>88.669745975562179</v>
      </c>
      <c r="I384">
        <v>94.15447253075159</v>
      </c>
    </row>
    <row r="385" spans="1:9" x14ac:dyDescent="0.3">
      <c r="A385">
        <v>194</v>
      </c>
      <c r="B385" t="s">
        <v>26</v>
      </c>
      <c r="C385" s="2">
        <v>47118</v>
      </c>
      <c r="D385">
        <v>2028</v>
      </c>
      <c r="E385" t="s">
        <v>16</v>
      </c>
      <c r="F385" t="s">
        <v>29</v>
      </c>
      <c r="G385">
        <v>92.126450831833978</v>
      </c>
      <c r="H385">
        <v>89.362657306878958</v>
      </c>
      <c r="I385">
        <v>94.890244356788997</v>
      </c>
    </row>
    <row r="386" spans="1:9" x14ac:dyDescent="0.3">
      <c r="A386">
        <v>194</v>
      </c>
      <c r="B386" t="s">
        <v>26</v>
      </c>
      <c r="C386" s="2">
        <v>47483</v>
      </c>
      <c r="D386">
        <v>2029</v>
      </c>
      <c r="E386" t="s">
        <v>18</v>
      </c>
      <c r="F386" t="s">
        <v>29</v>
      </c>
      <c r="G386">
        <v>92.846374645678779</v>
      </c>
      <c r="H386">
        <v>90.060983406308409</v>
      </c>
      <c r="I386">
        <v>95.631765885049148</v>
      </c>
    </row>
    <row r="387" spans="1:9" x14ac:dyDescent="0.3">
      <c r="A387">
        <v>194</v>
      </c>
      <c r="B387" t="s">
        <v>26</v>
      </c>
      <c r="C387" s="2">
        <v>47848</v>
      </c>
      <c r="D387">
        <v>2030</v>
      </c>
      <c r="E387" t="s">
        <v>20</v>
      </c>
      <c r="F387" t="s">
        <v>29</v>
      </c>
      <c r="G387">
        <v>93.571924317168822</v>
      </c>
      <c r="H387">
        <v>90.764766587653753</v>
      </c>
      <c r="I387">
        <v>96.379082046683891</v>
      </c>
    </row>
    <row r="388" spans="1:9" x14ac:dyDescent="0.3">
      <c r="A388">
        <v>323</v>
      </c>
      <c r="B388" t="s">
        <v>43</v>
      </c>
      <c r="C388" s="2">
        <v>46387</v>
      </c>
      <c r="D388">
        <v>2026</v>
      </c>
      <c r="E388" t="s">
        <v>12</v>
      </c>
      <c r="F388" t="s">
        <v>34</v>
      </c>
      <c r="G388">
        <v>1</v>
      </c>
      <c r="H388">
        <v>0</v>
      </c>
      <c r="I388">
        <v>2</v>
      </c>
    </row>
    <row r="389" spans="1:9" x14ac:dyDescent="0.3">
      <c r="A389">
        <v>323</v>
      </c>
      <c r="B389" t="s">
        <v>43</v>
      </c>
      <c r="C389" s="2">
        <v>46752</v>
      </c>
      <c r="D389">
        <v>2027</v>
      </c>
      <c r="E389" t="s">
        <v>14</v>
      </c>
      <c r="F389" t="s">
        <v>34</v>
      </c>
      <c r="G389">
        <v>1</v>
      </c>
      <c r="H389">
        <v>0</v>
      </c>
      <c r="I389">
        <v>2</v>
      </c>
    </row>
    <row r="390" spans="1:9" x14ac:dyDescent="0.3">
      <c r="A390">
        <v>323</v>
      </c>
      <c r="B390" t="s">
        <v>43</v>
      </c>
      <c r="C390" s="2">
        <v>47118</v>
      </c>
      <c r="D390">
        <v>2028</v>
      </c>
      <c r="E390" t="s">
        <v>16</v>
      </c>
      <c r="F390" t="s">
        <v>34</v>
      </c>
      <c r="G390">
        <v>2</v>
      </c>
      <c r="H390">
        <v>1</v>
      </c>
      <c r="I390">
        <v>3</v>
      </c>
    </row>
    <row r="391" spans="1:9" x14ac:dyDescent="0.3">
      <c r="A391">
        <v>323</v>
      </c>
      <c r="B391" t="s">
        <v>43</v>
      </c>
      <c r="C391" s="2">
        <v>47483</v>
      </c>
      <c r="D391">
        <v>2029</v>
      </c>
      <c r="E391" t="s">
        <v>18</v>
      </c>
      <c r="F391" t="s">
        <v>34</v>
      </c>
      <c r="G391">
        <v>2</v>
      </c>
      <c r="H391">
        <v>1</v>
      </c>
      <c r="I391">
        <v>3</v>
      </c>
    </row>
    <row r="392" spans="1:9" x14ac:dyDescent="0.3">
      <c r="A392">
        <v>323</v>
      </c>
      <c r="B392" t="s">
        <v>43</v>
      </c>
      <c r="C392" s="2">
        <v>47848</v>
      </c>
      <c r="D392">
        <v>2030</v>
      </c>
      <c r="E392" t="s">
        <v>20</v>
      </c>
      <c r="F392" t="s">
        <v>34</v>
      </c>
      <c r="G392">
        <v>2</v>
      </c>
      <c r="H392">
        <v>1</v>
      </c>
      <c r="I392">
        <v>3</v>
      </c>
    </row>
    <row r="393" spans="1:9" x14ac:dyDescent="0.3">
      <c r="A393">
        <v>376</v>
      </c>
      <c r="B393" t="s">
        <v>73</v>
      </c>
      <c r="C393" s="2">
        <v>46387</v>
      </c>
      <c r="D393">
        <v>2026</v>
      </c>
      <c r="E393" t="s">
        <v>12</v>
      </c>
      <c r="F393" t="s">
        <v>25</v>
      </c>
      <c r="G393">
        <v>34790.444801582693</v>
      </c>
      <c r="H393">
        <v>33746.731457535207</v>
      </c>
      <c r="I393">
        <v>36033.446856183858</v>
      </c>
    </row>
    <row r="394" spans="1:9" x14ac:dyDescent="0.3">
      <c r="A394">
        <v>376</v>
      </c>
      <c r="B394" t="s">
        <v>73</v>
      </c>
      <c r="C394" s="2">
        <v>46752</v>
      </c>
      <c r="D394">
        <v>2027</v>
      </c>
      <c r="E394" t="s">
        <v>14</v>
      </c>
      <c r="F394" t="s">
        <v>25</v>
      </c>
      <c r="G394">
        <v>37492.873343857507</v>
      </c>
      <c r="H394">
        <v>36334.343557532309</v>
      </c>
      <c r="I394">
        <v>38872.61512155136</v>
      </c>
    </row>
    <row r="395" spans="1:9" x14ac:dyDescent="0.3">
      <c r="A395">
        <v>376</v>
      </c>
      <c r="B395" t="s">
        <v>73</v>
      </c>
      <c r="C395" s="2">
        <v>47118</v>
      </c>
      <c r="D395">
        <v>2028</v>
      </c>
      <c r="E395" t="s">
        <v>16</v>
      </c>
      <c r="F395" t="s">
        <v>25</v>
      </c>
      <c r="G395">
        <v>40195.301886132322</v>
      </c>
      <c r="H395">
        <v>38917.091286153307</v>
      </c>
      <c r="I395">
        <v>41717.57657108127</v>
      </c>
    </row>
    <row r="396" spans="1:9" x14ac:dyDescent="0.3">
      <c r="A396">
        <v>376</v>
      </c>
      <c r="B396" t="s">
        <v>73</v>
      </c>
      <c r="C396" s="2">
        <v>47483</v>
      </c>
      <c r="D396">
        <v>2029</v>
      </c>
      <c r="E396" t="s">
        <v>18</v>
      </c>
      <c r="F396" t="s">
        <v>25</v>
      </c>
      <c r="G396">
        <v>42897.730428407129</v>
      </c>
      <c r="H396">
        <v>41494.974643398207</v>
      </c>
      <c r="I396">
        <v>44568.331204773582</v>
      </c>
    </row>
    <row r="397" spans="1:9" x14ac:dyDescent="0.3">
      <c r="A397">
        <v>376</v>
      </c>
      <c r="B397" t="s">
        <v>73</v>
      </c>
      <c r="C397" s="2">
        <v>47848</v>
      </c>
      <c r="D397">
        <v>2030</v>
      </c>
      <c r="E397" t="s">
        <v>20</v>
      </c>
      <c r="F397" t="s">
        <v>25</v>
      </c>
      <c r="G397">
        <v>45600.15897068195</v>
      </c>
      <c r="H397">
        <v>44067.993629267032</v>
      </c>
      <c r="I397">
        <v>47424.879022628324</v>
      </c>
    </row>
    <row r="398" spans="1:9" x14ac:dyDescent="0.3">
      <c r="A398">
        <v>376</v>
      </c>
      <c r="B398" t="s">
        <v>73</v>
      </c>
      <c r="C398" s="2">
        <v>46387</v>
      </c>
      <c r="D398">
        <v>2026</v>
      </c>
      <c r="E398" t="s">
        <v>12</v>
      </c>
      <c r="F398" t="s">
        <v>30</v>
      </c>
      <c r="G398">
        <v>33364.614089900009</v>
      </c>
      <c r="H398">
        <v>32363.67566720301</v>
      </c>
      <c r="I398">
        <v>34556.673694232348</v>
      </c>
    </row>
    <row r="399" spans="1:9" x14ac:dyDescent="0.3">
      <c r="A399">
        <v>376</v>
      </c>
      <c r="B399" t="s">
        <v>73</v>
      </c>
      <c r="C399" s="2">
        <v>46752</v>
      </c>
      <c r="D399">
        <v>2027</v>
      </c>
      <c r="E399" t="s">
        <v>14</v>
      </c>
      <c r="F399" t="s">
        <v>30</v>
      </c>
      <c r="G399">
        <v>36512.365153479492</v>
      </c>
      <c r="H399">
        <v>35384.133070236967</v>
      </c>
      <c r="I399">
        <v>37856.02412414951</v>
      </c>
    </row>
    <row r="400" spans="1:9" x14ac:dyDescent="0.3">
      <c r="A400">
        <v>376</v>
      </c>
      <c r="B400" t="s">
        <v>73</v>
      </c>
      <c r="C400" s="2">
        <v>47118</v>
      </c>
      <c r="D400">
        <v>2028</v>
      </c>
      <c r="E400" t="s">
        <v>16</v>
      </c>
      <c r="F400" t="s">
        <v>30</v>
      </c>
      <c r="G400">
        <v>40167.943620047838</v>
      </c>
      <c r="H400">
        <v>38890.603012930333</v>
      </c>
      <c r="I400">
        <v>41689.182193960667</v>
      </c>
    </row>
    <row r="401" spans="1:9" x14ac:dyDescent="0.3">
      <c r="A401">
        <v>376</v>
      </c>
      <c r="B401" t="s">
        <v>73</v>
      </c>
      <c r="C401" s="2">
        <v>47483</v>
      </c>
      <c r="D401">
        <v>2029</v>
      </c>
      <c r="E401" t="s">
        <v>18</v>
      </c>
      <c r="F401" t="s">
        <v>30</v>
      </c>
      <c r="G401">
        <v>44331.349489605069</v>
      </c>
      <c r="H401">
        <v>42881.71436129498</v>
      </c>
      <c r="I401">
        <v>46057.780844716202</v>
      </c>
    </row>
    <row r="402" spans="1:9" x14ac:dyDescent="0.3">
      <c r="A402">
        <v>376</v>
      </c>
      <c r="B402" t="s">
        <v>73</v>
      </c>
      <c r="C402" s="2">
        <v>47848</v>
      </c>
      <c r="D402">
        <v>2030</v>
      </c>
      <c r="E402" t="s">
        <v>20</v>
      </c>
      <c r="F402" t="s">
        <v>30</v>
      </c>
      <c r="G402">
        <v>49002.582762151171</v>
      </c>
      <c r="H402">
        <v>47356.095981342893</v>
      </c>
      <c r="I402">
        <v>50963.453017466447</v>
      </c>
    </row>
    <row r="403" spans="1:9" x14ac:dyDescent="0.3">
      <c r="A403">
        <v>466</v>
      </c>
      <c r="B403" t="s">
        <v>54</v>
      </c>
      <c r="C403" s="2">
        <v>46387</v>
      </c>
      <c r="D403">
        <v>2026</v>
      </c>
      <c r="E403" t="s">
        <v>12</v>
      </c>
      <c r="F403" t="s">
        <v>25</v>
      </c>
      <c r="G403">
        <v>58.919999999999987</v>
      </c>
      <c r="H403">
        <v>57.152399999902997</v>
      </c>
      <c r="I403">
        <v>60.742268041340189</v>
      </c>
    </row>
    <row r="404" spans="1:9" x14ac:dyDescent="0.3">
      <c r="A404">
        <v>466</v>
      </c>
      <c r="B404" t="s">
        <v>54</v>
      </c>
      <c r="C404" s="2">
        <v>46752</v>
      </c>
      <c r="D404">
        <v>2027</v>
      </c>
      <c r="E404" t="s">
        <v>14</v>
      </c>
      <c r="F404" t="s">
        <v>25</v>
      </c>
      <c r="G404">
        <v>60.687600000000003</v>
      </c>
      <c r="H404">
        <v>58.812353159905193</v>
      </c>
      <c r="I404">
        <v>62.622639562581618</v>
      </c>
    </row>
    <row r="405" spans="1:9" x14ac:dyDescent="0.3">
      <c r="A405">
        <v>466</v>
      </c>
      <c r="B405" t="s">
        <v>54</v>
      </c>
      <c r="C405" s="2">
        <v>47118</v>
      </c>
      <c r="D405">
        <v>2028</v>
      </c>
      <c r="E405" t="s">
        <v>16</v>
      </c>
      <c r="F405" t="s">
        <v>25</v>
      </c>
      <c r="G405">
        <v>62.508228000000003</v>
      </c>
      <c r="H405">
        <v>60.520466349507103</v>
      </c>
      <c r="I405">
        <v>64.561276595843793</v>
      </c>
    </row>
    <row r="406" spans="1:9" x14ac:dyDescent="0.3">
      <c r="A406">
        <v>466</v>
      </c>
      <c r="B406" t="s">
        <v>54</v>
      </c>
      <c r="C406" s="2">
        <v>47483</v>
      </c>
      <c r="D406">
        <v>2029</v>
      </c>
      <c r="E406" t="s">
        <v>18</v>
      </c>
      <c r="F406" t="s">
        <v>25</v>
      </c>
      <c r="G406">
        <v>64.383474839999991</v>
      </c>
      <c r="H406">
        <v>62.27813521264077</v>
      </c>
      <c r="I406">
        <v>66.559986395217919</v>
      </c>
    </row>
    <row r="407" spans="1:9" x14ac:dyDescent="0.3">
      <c r="A407">
        <v>466</v>
      </c>
      <c r="B407" t="s">
        <v>54</v>
      </c>
      <c r="C407" s="2">
        <v>47848</v>
      </c>
      <c r="D407">
        <v>2030</v>
      </c>
      <c r="E407" t="s">
        <v>20</v>
      </c>
      <c r="F407" t="s">
        <v>25</v>
      </c>
      <c r="G407">
        <v>66.314979085199994</v>
      </c>
      <c r="H407">
        <v>64.086795787847493</v>
      </c>
      <c r="I407">
        <v>68.620632331635861</v>
      </c>
    </row>
    <row r="408" spans="1:9" x14ac:dyDescent="0.3">
      <c r="A408">
        <v>466</v>
      </c>
      <c r="B408" t="s">
        <v>54</v>
      </c>
      <c r="C408" s="2">
        <v>46387</v>
      </c>
      <c r="D408">
        <v>2026</v>
      </c>
      <c r="E408" t="s">
        <v>12</v>
      </c>
      <c r="F408" t="s">
        <v>30</v>
      </c>
      <c r="G408">
        <v>56.235212373037847</v>
      </c>
      <c r="H408">
        <v>54.54815600174971</v>
      </c>
      <c r="I408">
        <v>57.97444574550294</v>
      </c>
    </row>
    <row r="409" spans="1:9" x14ac:dyDescent="0.3">
      <c r="A409">
        <v>466</v>
      </c>
      <c r="B409" t="s">
        <v>54</v>
      </c>
      <c r="C409" s="2">
        <v>46752</v>
      </c>
      <c r="D409">
        <v>2027</v>
      </c>
      <c r="E409" t="s">
        <v>14</v>
      </c>
      <c r="F409" t="s">
        <v>30</v>
      </c>
      <c r="G409">
        <v>57.922268744228987</v>
      </c>
      <c r="H409">
        <v>56.132470639937168</v>
      </c>
      <c r="I409">
        <v>59.769135016331823</v>
      </c>
    </row>
    <row r="410" spans="1:9" x14ac:dyDescent="0.3">
      <c r="A410">
        <v>466</v>
      </c>
      <c r="B410" t="s">
        <v>54</v>
      </c>
      <c r="C410" s="2">
        <v>47118</v>
      </c>
      <c r="D410">
        <v>2028</v>
      </c>
      <c r="E410" t="s">
        <v>16</v>
      </c>
      <c r="F410" t="s">
        <v>30</v>
      </c>
      <c r="G410">
        <v>59.659936806555862</v>
      </c>
      <c r="H410">
        <v>57.762750816014403</v>
      </c>
      <c r="I410">
        <v>61.619434834385345</v>
      </c>
    </row>
    <row r="411" spans="1:9" x14ac:dyDescent="0.3">
      <c r="A411">
        <v>466</v>
      </c>
      <c r="B411" t="s">
        <v>54</v>
      </c>
      <c r="C411" s="2">
        <v>47483</v>
      </c>
      <c r="D411">
        <v>2029</v>
      </c>
      <c r="E411" t="s">
        <v>18</v>
      </c>
      <c r="F411" t="s">
        <v>30</v>
      </c>
      <c r="G411">
        <v>61.449734910752539</v>
      </c>
      <c r="H411">
        <v>59.440328579080322</v>
      </c>
      <c r="I411">
        <v>63.527070103221561</v>
      </c>
    </row>
    <row r="412" spans="1:9" x14ac:dyDescent="0.3">
      <c r="A412">
        <v>466</v>
      </c>
      <c r="B412" t="s">
        <v>54</v>
      </c>
      <c r="C412" s="2">
        <v>47848</v>
      </c>
      <c r="D412">
        <v>2030</v>
      </c>
      <c r="E412" t="s">
        <v>20</v>
      </c>
      <c r="F412" t="s">
        <v>30</v>
      </c>
      <c r="G412">
        <v>63.293226958075117</v>
      </c>
      <c r="H412">
        <v>61.166574532195703</v>
      </c>
      <c r="I412">
        <v>65.493819286181989</v>
      </c>
    </row>
    <row r="413" spans="1:9" x14ac:dyDescent="0.3">
      <c r="A413">
        <v>96</v>
      </c>
      <c r="B413" t="s">
        <v>56</v>
      </c>
      <c r="C413" s="2">
        <v>46387</v>
      </c>
      <c r="D413">
        <v>2026</v>
      </c>
      <c r="E413" t="s">
        <v>12</v>
      </c>
      <c r="F413" t="s">
        <v>70</v>
      </c>
      <c r="G413">
        <v>846.88288415165562</v>
      </c>
      <c r="H413">
        <v>703.52841169356259</v>
      </c>
      <c r="I413">
        <v>990.23735660954856</v>
      </c>
    </row>
    <row r="414" spans="1:9" x14ac:dyDescent="0.3">
      <c r="A414">
        <v>96</v>
      </c>
      <c r="B414" t="s">
        <v>56</v>
      </c>
      <c r="C414" s="2">
        <v>46752</v>
      </c>
      <c r="D414">
        <v>2027</v>
      </c>
      <c r="E414" t="s">
        <v>14</v>
      </c>
      <c r="F414" t="s">
        <v>70</v>
      </c>
      <c r="G414">
        <v>914.63351488378817</v>
      </c>
      <c r="H414">
        <v>755.16599972142001</v>
      </c>
      <c r="I414">
        <v>1074.101030045967</v>
      </c>
    </row>
    <row r="415" spans="1:9" x14ac:dyDescent="0.3">
      <c r="A415">
        <v>96</v>
      </c>
      <c r="B415" t="s">
        <v>56</v>
      </c>
      <c r="C415" s="2">
        <v>47118</v>
      </c>
      <c r="D415">
        <v>2028</v>
      </c>
      <c r="E415" t="s">
        <v>16</v>
      </c>
      <c r="F415" t="s">
        <v>70</v>
      </c>
      <c r="G415">
        <v>987.8041960744913</v>
      </c>
      <c r="H415">
        <v>810.56301999889411</v>
      </c>
      <c r="I415">
        <v>1165.04537214991</v>
      </c>
    </row>
    <row r="416" spans="1:9" x14ac:dyDescent="0.3">
      <c r="A416">
        <v>96</v>
      </c>
      <c r="B416" t="s">
        <v>56</v>
      </c>
      <c r="C416" s="2">
        <v>47483</v>
      </c>
      <c r="D416">
        <v>2029</v>
      </c>
      <c r="E416" t="s">
        <v>18</v>
      </c>
      <c r="F416" t="s">
        <v>70</v>
      </c>
      <c r="G416">
        <v>1066.8285317604509</v>
      </c>
      <c r="H416">
        <v>869.9905011225452</v>
      </c>
      <c r="I416">
        <v>1263.666562398188</v>
      </c>
    </row>
    <row r="417" spans="1:9" x14ac:dyDescent="0.3">
      <c r="A417">
        <v>96</v>
      </c>
      <c r="B417" t="s">
        <v>56</v>
      </c>
      <c r="C417" s="2">
        <v>47848</v>
      </c>
      <c r="D417">
        <v>2030</v>
      </c>
      <c r="E417" t="s">
        <v>20</v>
      </c>
      <c r="F417" t="s">
        <v>70</v>
      </c>
      <c r="G417">
        <v>1152.1748143012869</v>
      </c>
      <c r="H417">
        <v>933.73877589798656</v>
      </c>
      <c r="I417">
        <v>1370.6108527044289</v>
      </c>
    </row>
    <row r="418" spans="1:9" x14ac:dyDescent="0.3">
      <c r="A418">
        <v>385</v>
      </c>
      <c r="B418" t="s">
        <v>67</v>
      </c>
      <c r="C418" s="2">
        <v>46387</v>
      </c>
      <c r="D418">
        <v>2026</v>
      </c>
      <c r="E418" t="s">
        <v>12</v>
      </c>
      <c r="F418" t="s">
        <v>25</v>
      </c>
      <c r="G418">
        <v>18662.155890318401</v>
      </c>
      <c r="H418">
        <v>14929.724712254731</v>
      </c>
      <c r="I418">
        <v>22394.58706838209</v>
      </c>
    </row>
    <row r="419" spans="1:9" x14ac:dyDescent="0.3">
      <c r="A419">
        <v>385</v>
      </c>
      <c r="B419" t="s">
        <v>67</v>
      </c>
      <c r="C419" s="2">
        <v>46752</v>
      </c>
      <c r="D419">
        <v>2027</v>
      </c>
      <c r="E419" t="s">
        <v>14</v>
      </c>
      <c r="F419" t="s">
        <v>25</v>
      </c>
      <c r="G419">
        <v>20323.640878613929</v>
      </c>
      <c r="H419">
        <v>16136.970857619461</v>
      </c>
      <c r="I419">
        <v>24510.31089960839</v>
      </c>
    </row>
    <row r="420" spans="1:9" x14ac:dyDescent="0.3">
      <c r="A420">
        <v>385</v>
      </c>
      <c r="B420" t="s">
        <v>67</v>
      </c>
      <c r="C420" s="2">
        <v>47118</v>
      </c>
      <c r="D420">
        <v>2028</v>
      </c>
      <c r="E420" t="s">
        <v>16</v>
      </c>
      <c r="F420" t="s">
        <v>25</v>
      </c>
      <c r="G420">
        <v>21985.12586690945</v>
      </c>
      <c r="H420">
        <v>17324.27918312464</v>
      </c>
      <c r="I420">
        <v>26645.972550694249</v>
      </c>
    </row>
    <row r="421" spans="1:9" x14ac:dyDescent="0.3">
      <c r="A421">
        <v>385</v>
      </c>
      <c r="B421" t="s">
        <v>67</v>
      </c>
      <c r="C421" s="2">
        <v>47483</v>
      </c>
      <c r="D421">
        <v>2029</v>
      </c>
      <c r="E421" t="s">
        <v>18</v>
      </c>
      <c r="F421" t="s">
        <v>25</v>
      </c>
      <c r="G421">
        <v>23646.61085520497</v>
      </c>
      <c r="H421">
        <v>18491.649688770289</v>
      </c>
      <c r="I421">
        <v>28801.572021639651</v>
      </c>
    </row>
    <row r="422" spans="1:9" x14ac:dyDescent="0.3">
      <c r="A422">
        <v>385</v>
      </c>
      <c r="B422" t="s">
        <v>67</v>
      </c>
      <c r="C422" s="2">
        <v>47848</v>
      </c>
      <c r="D422">
        <v>2030</v>
      </c>
      <c r="E422" t="s">
        <v>20</v>
      </c>
      <c r="F422" t="s">
        <v>25</v>
      </c>
      <c r="G422">
        <v>25308.09584350049</v>
      </c>
      <c r="H422">
        <v>19639.082374556379</v>
      </c>
      <c r="I422">
        <v>30977.109312444602</v>
      </c>
    </row>
    <row r="423" spans="1:9" x14ac:dyDescent="0.3">
      <c r="A423">
        <v>385</v>
      </c>
      <c r="B423" t="s">
        <v>67</v>
      </c>
      <c r="C423" s="2">
        <v>46387</v>
      </c>
      <c r="D423">
        <v>2026</v>
      </c>
      <c r="E423" t="s">
        <v>12</v>
      </c>
      <c r="F423" t="s">
        <v>30</v>
      </c>
      <c r="G423">
        <v>17370.137802849709</v>
      </c>
      <c r="H423">
        <v>13896.11024227977</v>
      </c>
      <c r="I423">
        <v>20844.165363419648</v>
      </c>
    </row>
    <row r="424" spans="1:9" x14ac:dyDescent="0.3">
      <c r="A424">
        <v>385</v>
      </c>
      <c r="B424" t="s">
        <v>67</v>
      </c>
      <c r="C424" s="2">
        <v>46752</v>
      </c>
      <c r="D424">
        <v>2027</v>
      </c>
      <c r="E424" t="s">
        <v>14</v>
      </c>
      <c r="F424" t="s">
        <v>30</v>
      </c>
      <c r="G424">
        <v>18957.986444229311</v>
      </c>
      <c r="H424">
        <v>15052.641236718069</v>
      </c>
      <c r="I424">
        <v>22863.33165174054</v>
      </c>
    </row>
    <row r="425" spans="1:9" x14ac:dyDescent="0.3">
      <c r="A425">
        <v>385</v>
      </c>
      <c r="B425" t="s">
        <v>67</v>
      </c>
      <c r="C425" s="2">
        <v>47118</v>
      </c>
      <c r="D425">
        <v>2028</v>
      </c>
      <c r="E425" t="s">
        <v>16</v>
      </c>
      <c r="F425" t="s">
        <v>30</v>
      </c>
      <c r="G425">
        <v>20767.420529644682</v>
      </c>
      <c r="H425">
        <v>16364.72737736001</v>
      </c>
      <c r="I425">
        <v>25170.11368192935</v>
      </c>
    </row>
    <row r="426" spans="1:9" x14ac:dyDescent="0.3">
      <c r="A426">
        <v>385</v>
      </c>
      <c r="B426" t="s">
        <v>67</v>
      </c>
      <c r="C426" s="2">
        <v>47483</v>
      </c>
      <c r="D426">
        <v>2029</v>
      </c>
      <c r="E426" t="s">
        <v>18</v>
      </c>
      <c r="F426" t="s">
        <v>30</v>
      </c>
      <c r="G426">
        <v>22798.440059095828</v>
      </c>
      <c r="H426">
        <v>17828.380126212938</v>
      </c>
      <c r="I426">
        <v>27768.499991978719</v>
      </c>
    </row>
    <row r="427" spans="1:9" x14ac:dyDescent="0.3">
      <c r="A427">
        <v>385</v>
      </c>
      <c r="B427" t="s">
        <v>67</v>
      </c>
      <c r="C427" s="2">
        <v>47848</v>
      </c>
      <c r="D427">
        <v>2030</v>
      </c>
      <c r="E427" t="s">
        <v>20</v>
      </c>
      <c r="F427" t="s">
        <v>30</v>
      </c>
      <c r="G427">
        <v>25051.045032582759</v>
      </c>
      <c r="H427">
        <v>19439.610945284221</v>
      </c>
      <c r="I427">
        <v>30662.479119881289</v>
      </c>
    </row>
    <row r="428" spans="1:9" x14ac:dyDescent="0.3">
      <c r="A428" s="3">
        <v>386.1</v>
      </c>
      <c r="B428" s="3" t="s">
        <v>58</v>
      </c>
      <c r="C428" s="4">
        <v>46387</v>
      </c>
      <c r="D428" s="3">
        <v>2026</v>
      </c>
      <c r="E428" s="3" t="s">
        <v>12</v>
      </c>
      <c r="F428" t="s">
        <v>25</v>
      </c>
      <c r="G428">
        <v>5053.2904950000002</v>
      </c>
      <c r="H428">
        <v>4042.632396</v>
      </c>
      <c r="I428">
        <v>6063.9485940000004</v>
      </c>
    </row>
    <row r="429" spans="1:9" x14ac:dyDescent="0.3">
      <c r="A429" s="3">
        <v>386.1</v>
      </c>
      <c r="B429" s="3" t="s">
        <v>58</v>
      </c>
      <c r="C429" s="4">
        <v>46752</v>
      </c>
      <c r="D429" s="3">
        <v>2027</v>
      </c>
      <c r="E429" t="s">
        <v>14</v>
      </c>
      <c r="F429" t="s">
        <v>25</v>
      </c>
      <c r="G429">
        <v>6316.6131187499996</v>
      </c>
      <c r="H429">
        <v>5015.3908162875014</v>
      </c>
      <c r="I429">
        <v>7617.8354212124996</v>
      </c>
    </row>
    <row r="430" spans="1:9" x14ac:dyDescent="0.3">
      <c r="A430" s="3">
        <v>386.1</v>
      </c>
      <c r="B430" s="3" t="s">
        <v>58</v>
      </c>
      <c r="C430" s="4">
        <v>47118</v>
      </c>
      <c r="D430" s="3">
        <v>2028</v>
      </c>
      <c r="E430" t="s">
        <v>16</v>
      </c>
      <c r="F430" t="s">
        <v>25</v>
      </c>
      <c r="G430">
        <v>7895.7663984375004</v>
      </c>
      <c r="H430">
        <v>6221.8639219687502</v>
      </c>
      <c r="I430">
        <v>9569.6688749062487</v>
      </c>
    </row>
    <row r="431" spans="1:9" x14ac:dyDescent="0.3">
      <c r="A431" s="3">
        <v>386.1</v>
      </c>
      <c r="B431" s="3" t="s">
        <v>58</v>
      </c>
      <c r="C431" s="4">
        <v>47483</v>
      </c>
      <c r="D431" s="3">
        <v>2029</v>
      </c>
      <c r="E431" t="s">
        <v>18</v>
      </c>
      <c r="F431" t="s">
        <v>25</v>
      </c>
      <c r="G431">
        <v>9050.2238278000004</v>
      </c>
      <c r="H431">
        <v>7077.2750333395998</v>
      </c>
      <c r="I431">
        <v>11023.172622260399</v>
      </c>
    </row>
    <row r="432" spans="1:9" x14ac:dyDescent="0.3">
      <c r="A432" s="3">
        <v>386.1</v>
      </c>
      <c r="B432" s="3" t="s">
        <v>58</v>
      </c>
      <c r="C432" s="4">
        <v>47848</v>
      </c>
      <c r="D432" s="3">
        <v>2030</v>
      </c>
      <c r="E432" t="s">
        <v>20</v>
      </c>
      <c r="F432" t="s">
        <v>25</v>
      </c>
      <c r="G432">
        <v>10086.119943899999</v>
      </c>
      <c r="H432">
        <v>7826.8290764664016</v>
      </c>
      <c r="I432">
        <v>12345.410811333601</v>
      </c>
    </row>
    <row r="433" spans="1:9" x14ac:dyDescent="0.3">
      <c r="A433" s="3">
        <v>386.2</v>
      </c>
      <c r="B433" s="3" t="s">
        <v>59</v>
      </c>
      <c r="C433" s="4">
        <v>46387</v>
      </c>
      <c r="D433" s="3">
        <v>2026</v>
      </c>
      <c r="E433" s="3" t="s">
        <v>12</v>
      </c>
      <c r="F433" t="s">
        <v>25</v>
      </c>
      <c r="G433">
        <v>6864.5522870000004</v>
      </c>
      <c r="H433">
        <v>5491.6418296000011</v>
      </c>
      <c r="I433">
        <v>7569.1213256024957</v>
      </c>
    </row>
    <row r="434" spans="1:9" x14ac:dyDescent="0.3">
      <c r="A434" s="3">
        <v>386.2</v>
      </c>
      <c r="B434" s="3" t="s">
        <v>59</v>
      </c>
      <c r="C434" s="4">
        <v>46752</v>
      </c>
      <c r="D434" s="3">
        <v>2027</v>
      </c>
      <c r="E434" t="s">
        <v>14</v>
      </c>
      <c r="F434" t="s">
        <v>25</v>
      </c>
      <c r="G434">
        <v>6928.2554168999995</v>
      </c>
      <c r="H434">
        <v>5501.0348010186008</v>
      </c>
      <c r="I434">
        <v>7660.696088310985</v>
      </c>
    </row>
    <row r="435" spans="1:9" x14ac:dyDescent="0.3">
      <c r="A435" s="3">
        <v>386.2</v>
      </c>
      <c r="B435" s="3" t="s">
        <v>59</v>
      </c>
      <c r="C435" s="4">
        <v>47118</v>
      </c>
      <c r="D435" s="3">
        <v>2028</v>
      </c>
      <c r="E435" t="s">
        <v>16</v>
      </c>
      <c r="F435" t="s">
        <v>25</v>
      </c>
      <c r="G435">
        <v>6991.9585467999996</v>
      </c>
      <c r="H435">
        <v>5509.6633348784007</v>
      </c>
      <c r="I435">
        <v>7752.6631555816357</v>
      </c>
    </row>
    <row r="436" spans="1:9" x14ac:dyDescent="0.3">
      <c r="A436" s="3">
        <v>386.2</v>
      </c>
      <c r="B436" s="3" t="s">
        <v>59</v>
      </c>
      <c r="C436" s="4">
        <v>47483</v>
      </c>
      <c r="D436" s="3">
        <v>2029</v>
      </c>
      <c r="E436" t="s">
        <v>18</v>
      </c>
      <c r="F436" t="s">
        <v>25</v>
      </c>
      <c r="G436">
        <v>7055.6616766999996</v>
      </c>
      <c r="H436">
        <v>5517.5274311794001</v>
      </c>
      <c r="I436">
        <v>7845.0225274144459</v>
      </c>
    </row>
    <row r="437" spans="1:9" x14ac:dyDescent="0.3">
      <c r="A437" s="3">
        <v>386.2</v>
      </c>
      <c r="B437" s="3" t="s">
        <v>59</v>
      </c>
      <c r="C437" s="4">
        <v>47848</v>
      </c>
      <c r="D437" s="3">
        <v>2030</v>
      </c>
      <c r="E437" t="s">
        <v>20</v>
      </c>
      <c r="F437" t="s">
        <v>25</v>
      </c>
      <c r="G437">
        <v>7119.3648065999996</v>
      </c>
      <c r="H437">
        <v>5524.6270899215997</v>
      </c>
      <c r="I437">
        <v>7937.7742038094157</v>
      </c>
    </row>
    <row r="438" spans="1:9" x14ac:dyDescent="0.3">
      <c r="A438" s="3">
        <v>386.3</v>
      </c>
      <c r="B438" s="3" t="s">
        <v>60</v>
      </c>
      <c r="C438" s="4">
        <v>46387</v>
      </c>
      <c r="D438" s="3">
        <v>2026</v>
      </c>
      <c r="E438" s="3" t="s">
        <v>12</v>
      </c>
      <c r="F438" t="s">
        <v>25</v>
      </c>
      <c r="G438">
        <v>5855.0681234999993</v>
      </c>
      <c r="H438">
        <v>5679.416079794999</v>
      </c>
      <c r="I438">
        <v>7026.0817481999993</v>
      </c>
    </row>
    <row r="439" spans="1:9" x14ac:dyDescent="0.3">
      <c r="A439" s="3">
        <v>386.3</v>
      </c>
      <c r="B439" s="3" t="s">
        <v>60</v>
      </c>
      <c r="C439" s="4">
        <v>46752</v>
      </c>
      <c r="D439" s="3">
        <v>2027</v>
      </c>
      <c r="E439" t="s">
        <v>14</v>
      </c>
      <c r="F439" t="s">
        <v>25</v>
      </c>
      <c r="G439">
        <v>6416.9538656999994</v>
      </c>
      <c r="H439">
        <v>6218.6699912498698</v>
      </c>
      <c r="I439">
        <v>7738.846362034199</v>
      </c>
    </row>
    <row r="440" spans="1:9" x14ac:dyDescent="0.3">
      <c r="A440" s="3">
        <v>386.3</v>
      </c>
      <c r="B440" s="3" t="s">
        <v>60</v>
      </c>
      <c r="C440" s="4">
        <v>47118</v>
      </c>
      <c r="D440" s="3">
        <v>2028</v>
      </c>
      <c r="E440" t="s">
        <v>16</v>
      </c>
      <c r="F440" t="s">
        <v>25</v>
      </c>
      <c r="G440">
        <v>6978.8396078999986</v>
      </c>
      <c r="H440">
        <v>6756.9125083687786</v>
      </c>
      <c r="I440">
        <v>8458.3536047747984</v>
      </c>
    </row>
    <row r="441" spans="1:9" x14ac:dyDescent="0.3">
      <c r="A441" s="3">
        <v>386.3</v>
      </c>
      <c r="B441" s="3" t="s">
        <v>60</v>
      </c>
      <c r="C441" s="4">
        <v>47483</v>
      </c>
      <c r="D441" s="3">
        <v>2029</v>
      </c>
      <c r="E441" t="s">
        <v>18</v>
      </c>
      <c r="F441" t="s">
        <v>25</v>
      </c>
      <c r="G441">
        <v>7540.7253500999996</v>
      </c>
      <c r="H441">
        <v>7294.1436311517291</v>
      </c>
      <c r="I441">
        <v>9184.6034764218002</v>
      </c>
    </row>
    <row r="442" spans="1:9" x14ac:dyDescent="0.3">
      <c r="A442" s="3">
        <v>386.3</v>
      </c>
      <c r="B442" s="3" t="s">
        <v>60</v>
      </c>
      <c r="C442" s="4">
        <v>47848</v>
      </c>
      <c r="D442" s="3">
        <v>2030</v>
      </c>
      <c r="E442" t="s">
        <v>20</v>
      </c>
      <c r="F442" t="s">
        <v>25</v>
      </c>
      <c r="G442">
        <v>8102.6110922999997</v>
      </c>
      <c r="H442">
        <v>7830.3633595987194</v>
      </c>
      <c r="I442">
        <v>9917.5959769751989</v>
      </c>
    </row>
    <row r="443" spans="1:9" x14ac:dyDescent="0.3">
      <c r="A443" t="s">
        <v>68</v>
      </c>
      <c r="B443" t="s">
        <v>51</v>
      </c>
      <c r="C443" s="2">
        <v>46387</v>
      </c>
      <c r="D443">
        <v>2026</v>
      </c>
      <c r="E443" t="s">
        <v>12</v>
      </c>
      <c r="F443" t="s">
        <v>31</v>
      </c>
      <c r="G443">
        <v>15.7</v>
      </c>
      <c r="H443">
        <v>15.2</v>
      </c>
      <c r="I443">
        <v>16.2</v>
      </c>
    </row>
    <row r="444" spans="1:9" x14ac:dyDescent="0.3">
      <c r="A444" t="s">
        <v>68</v>
      </c>
      <c r="B444" t="s">
        <v>51</v>
      </c>
      <c r="C444" s="2">
        <v>46752</v>
      </c>
      <c r="D444">
        <v>2027</v>
      </c>
      <c r="E444" t="s">
        <v>14</v>
      </c>
      <c r="F444" t="s">
        <v>31</v>
      </c>
      <c r="G444">
        <v>16.3</v>
      </c>
      <c r="H444">
        <v>15.8</v>
      </c>
      <c r="I444">
        <v>16.8</v>
      </c>
    </row>
    <row r="445" spans="1:9" x14ac:dyDescent="0.3">
      <c r="A445" t="s">
        <v>68</v>
      </c>
      <c r="B445" t="s">
        <v>51</v>
      </c>
      <c r="C445" s="2">
        <v>47118</v>
      </c>
      <c r="D445">
        <v>2028</v>
      </c>
      <c r="E445" t="s">
        <v>16</v>
      </c>
      <c r="F445" t="s">
        <v>31</v>
      </c>
      <c r="G445">
        <v>16.8</v>
      </c>
      <c r="H445">
        <v>16.3</v>
      </c>
      <c r="I445">
        <v>17.3</v>
      </c>
    </row>
    <row r="446" spans="1:9" x14ac:dyDescent="0.3">
      <c r="A446" t="s">
        <v>68</v>
      </c>
      <c r="B446" t="s">
        <v>51</v>
      </c>
      <c r="C446" s="2">
        <v>47483</v>
      </c>
      <c r="D446">
        <v>2029</v>
      </c>
      <c r="E446" t="s">
        <v>18</v>
      </c>
      <c r="F446" t="s">
        <v>31</v>
      </c>
      <c r="G446">
        <v>17.399999999999999</v>
      </c>
      <c r="H446">
        <v>16.899999999999999</v>
      </c>
      <c r="I446">
        <v>17.899999999999999</v>
      </c>
    </row>
    <row r="447" spans="1:9" x14ac:dyDescent="0.3">
      <c r="A447" t="s">
        <v>68</v>
      </c>
      <c r="B447" t="s">
        <v>51</v>
      </c>
      <c r="C447" s="2">
        <v>47848</v>
      </c>
      <c r="D447">
        <v>2030</v>
      </c>
      <c r="E447" t="s">
        <v>20</v>
      </c>
      <c r="F447" t="s">
        <v>31</v>
      </c>
      <c r="G447">
        <v>18</v>
      </c>
      <c r="H447">
        <v>17.5</v>
      </c>
      <c r="I447">
        <v>18.3</v>
      </c>
    </row>
    <row r="448" spans="1:9" x14ac:dyDescent="0.3">
      <c r="A448" t="s">
        <v>68</v>
      </c>
      <c r="B448" t="s">
        <v>51</v>
      </c>
      <c r="C448" s="2">
        <v>46387</v>
      </c>
      <c r="D448">
        <v>2026</v>
      </c>
      <c r="E448" t="s">
        <v>12</v>
      </c>
      <c r="F448" t="s">
        <v>25</v>
      </c>
      <c r="G448">
        <v>15.7</v>
      </c>
      <c r="H448">
        <v>15.2</v>
      </c>
      <c r="I448">
        <v>16.2</v>
      </c>
    </row>
    <row r="449" spans="1:9" x14ac:dyDescent="0.3">
      <c r="A449" t="s">
        <v>68</v>
      </c>
      <c r="B449" t="s">
        <v>51</v>
      </c>
      <c r="C449" s="2">
        <v>46752</v>
      </c>
      <c r="D449">
        <v>2027</v>
      </c>
      <c r="E449" t="s">
        <v>14</v>
      </c>
      <c r="F449" t="s">
        <v>25</v>
      </c>
      <c r="G449">
        <v>16.3</v>
      </c>
      <c r="H449">
        <v>15.8</v>
      </c>
      <c r="I449">
        <v>16.8</v>
      </c>
    </row>
    <row r="450" spans="1:9" x14ac:dyDescent="0.3">
      <c r="A450" t="s">
        <v>68</v>
      </c>
      <c r="B450" t="s">
        <v>51</v>
      </c>
      <c r="C450" s="2">
        <v>47118</v>
      </c>
      <c r="D450">
        <v>2028</v>
      </c>
      <c r="E450" t="s">
        <v>16</v>
      </c>
      <c r="F450" t="s">
        <v>25</v>
      </c>
      <c r="G450">
        <v>16.8</v>
      </c>
      <c r="H450">
        <v>16.3</v>
      </c>
      <c r="I450">
        <v>17.3</v>
      </c>
    </row>
    <row r="451" spans="1:9" x14ac:dyDescent="0.3">
      <c r="A451" t="s">
        <v>68</v>
      </c>
      <c r="B451" t="s">
        <v>51</v>
      </c>
      <c r="C451" s="2">
        <v>47483</v>
      </c>
      <c r="D451">
        <v>2029</v>
      </c>
      <c r="E451" t="s">
        <v>18</v>
      </c>
      <c r="F451" t="s">
        <v>25</v>
      </c>
      <c r="G451">
        <v>17.399999999999999</v>
      </c>
      <c r="H451">
        <v>16.899999999999999</v>
      </c>
      <c r="I451">
        <v>17.899999999999999</v>
      </c>
    </row>
    <row r="452" spans="1:9" x14ac:dyDescent="0.3">
      <c r="A452" t="s">
        <v>68</v>
      </c>
      <c r="B452" t="s">
        <v>51</v>
      </c>
      <c r="C452" s="2">
        <v>47848</v>
      </c>
      <c r="D452">
        <v>2030</v>
      </c>
      <c r="E452" t="s">
        <v>20</v>
      </c>
      <c r="F452" t="s">
        <v>25</v>
      </c>
      <c r="G452">
        <v>18</v>
      </c>
      <c r="H452">
        <v>17.5</v>
      </c>
      <c r="I452">
        <v>18.2</v>
      </c>
    </row>
    <row r="453" spans="1:9" x14ac:dyDescent="0.3">
      <c r="A453" t="s">
        <v>69</v>
      </c>
      <c r="B453" t="s">
        <v>72</v>
      </c>
      <c r="C453" s="2">
        <v>46387</v>
      </c>
      <c r="D453">
        <v>2026</v>
      </c>
      <c r="E453" t="s">
        <v>12</v>
      </c>
      <c r="F453" t="s">
        <v>25</v>
      </c>
      <c r="G453">
        <v>34.965000000000003</v>
      </c>
      <c r="H453">
        <v>32.813568677938846</v>
      </c>
      <c r="I453">
        <v>41.957999999999991</v>
      </c>
    </row>
    <row r="454" spans="1:9" x14ac:dyDescent="0.3">
      <c r="A454" t="s">
        <v>69</v>
      </c>
      <c r="B454" t="s">
        <v>72</v>
      </c>
      <c r="C454" s="2">
        <v>46752</v>
      </c>
      <c r="D454">
        <v>2027</v>
      </c>
      <c r="E454" t="s">
        <v>14</v>
      </c>
      <c r="F454" t="s">
        <v>25</v>
      </c>
      <c r="G454">
        <v>36.713250000000002</v>
      </c>
      <c r="H454">
        <v>34.386477025190871</v>
      </c>
      <c r="I454">
        <v>44.276179499999998</v>
      </c>
    </row>
    <row r="455" spans="1:9" x14ac:dyDescent="0.3">
      <c r="A455" t="s">
        <v>69</v>
      </c>
      <c r="B455" t="s">
        <v>72</v>
      </c>
      <c r="C455" s="2">
        <v>47118</v>
      </c>
      <c r="D455">
        <v>2028</v>
      </c>
      <c r="E455" t="s">
        <v>16</v>
      </c>
      <c r="F455" t="s">
        <v>25</v>
      </c>
      <c r="G455">
        <v>38.548912499999993</v>
      </c>
      <c r="H455">
        <v>36.03464228547324</v>
      </c>
      <c r="I455">
        <v>46.721281949999991</v>
      </c>
    </row>
    <row r="456" spans="1:9" x14ac:dyDescent="0.3">
      <c r="A456" t="s">
        <v>69</v>
      </c>
      <c r="B456" t="s">
        <v>72</v>
      </c>
      <c r="C456" s="2">
        <v>47483</v>
      </c>
      <c r="D456">
        <v>2029</v>
      </c>
      <c r="E456" t="s">
        <v>18</v>
      </c>
      <c r="F456" t="s">
        <v>25</v>
      </c>
      <c r="G456">
        <v>40.476358124999997</v>
      </c>
      <c r="H456">
        <v>37.76165787922087</v>
      </c>
      <c r="I456">
        <v>49.300204196249993</v>
      </c>
    </row>
    <row r="457" spans="1:9" x14ac:dyDescent="0.3">
      <c r="A457" t="s">
        <v>69</v>
      </c>
      <c r="B457" t="s">
        <v>72</v>
      </c>
      <c r="C457" s="2">
        <v>47848</v>
      </c>
      <c r="D457">
        <v>2030</v>
      </c>
      <c r="E457" t="s">
        <v>20</v>
      </c>
      <c r="F457" t="s">
        <v>25</v>
      </c>
      <c r="G457">
        <v>42.50017603125</v>
      </c>
      <c r="H457">
        <v>39.571288426629593</v>
      </c>
      <c r="I457">
        <v>52.020215462249993</v>
      </c>
    </row>
    <row r="458" spans="1:9" x14ac:dyDescent="0.3">
      <c r="A458">
        <v>332</v>
      </c>
      <c r="B458" t="s">
        <v>45</v>
      </c>
      <c r="C458" s="2">
        <v>46387</v>
      </c>
      <c r="D458">
        <v>2026</v>
      </c>
      <c r="E458" t="s">
        <v>12</v>
      </c>
      <c r="F458" t="s">
        <v>29</v>
      </c>
      <c r="G458">
        <v>0.76500000000000001</v>
      </c>
      <c r="H458">
        <v>0.79122857142857139</v>
      </c>
      <c r="I458">
        <v>0.69049565217391329</v>
      </c>
    </row>
    <row r="459" spans="1:9" x14ac:dyDescent="0.3">
      <c r="A459">
        <v>332</v>
      </c>
      <c r="B459" t="s">
        <v>45</v>
      </c>
      <c r="C459" s="2">
        <v>46752</v>
      </c>
      <c r="D459">
        <v>2027</v>
      </c>
      <c r="E459" t="s">
        <v>14</v>
      </c>
      <c r="F459" t="s">
        <v>29</v>
      </c>
      <c r="G459">
        <v>0.6885</v>
      </c>
      <c r="H459">
        <v>0.71281388571428561</v>
      </c>
      <c r="I459">
        <v>0.61943446956521764</v>
      </c>
    </row>
    <row r="460" spans="1:9" x14ac:dyDescent="0.3">
      <c r="A460">
        <v>332</v>
      </c>
      <c r="B460" t="s">
        <v>45</v>
      </c>
      <c r="C460" s="2">
        <v>47118</v>
      </c>
      <c r="D460">
        <v>2028</v>
      </c>
      <c r="E460" t="s">
        <v>16</v>
      </c>
      <c r="F460" t="s">
        <v>29</v>
      </c>
      <c r="G460">
        <v>0.61965000000000003</v>
      </c>
      <c r="H460">
        <v>0.64216985142857141</v>
      </c>
      <c r="I460">
        <v>0.5556805669565219</v>
      </c>
    </row>
    <row r="461" spans="1:9" x14ac:dyDescent="0.3">
      <c r="A461">
        <v>332</v>
      </c>
      <c r="B461" t="s">
        <v>45</v>
      </c>
      <c r="C461" s="2">
        <v>47483</v>
      </c>
      <c r="D461">
        <v>2029</v>
      </c>
      <c r="E461" t="s">
        <v>18</v>
      </c>
      <c r="F461" t="s">
        <v>29</v>
      </c>
      <c r="G461">
        <v>0.55768499999999999</v>
      </c>
      <c r="H461">
        <v>0.57852648514285721</v>
      </c>
      <c r="I461">
        <v>0.49848310017391317</v>
      </c>
    </row>
    <row r="462" spans="1:9" x14ac:dyDescent="0.3">
      <c r="A462">
        <v>332</v>
      </c>
      <c r="B462" t="s">
        <v>45</v>
      </c>
      <c r="C462" s="2">
        <v>47848</v>
      </c>
      <c r="D462">
        <v>2030</v>
      </c>
      <c r="E462" t="s">
        <v>20</v>
      </c>
      <c r="F462" t="s">
        <v>29</v>
      </c>
      <c r="G462">
        <v>0.5019165000000001</v>
      </c>
      <c r="H462">
        <v>0.52119009360000013</v>
      </c>
      <c r="I462">
        <v>0.4471683210782611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2025-11-19T04:24:04Z</dcterms:modified>
</cp:coreProperties>
</file>