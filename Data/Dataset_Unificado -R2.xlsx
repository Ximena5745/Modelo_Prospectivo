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Imágenes/Proyectos/Indicadores/Modelo_Prospectivo/Data/"/>
    </mc:Choice>
  </mc:AlternateContent>
  <xr:revisionPtr revIDLastSave="1207" documentId="11_C54DB9D477E07092D1C9E253F65DD242EE9209D1" xr6:coauthVersionLast="47" xr6:coauthVersionMax="47" xr10:uidLastSave="{9643842F-33ED-4475-84FF-0DEBFF674ED7}"/>
  <bookViews>
    <workbookView xWindow="-108" yWindow="-108" windowWidth="23256" windowHeight="12456" xr2:uid="{00000000-000D-0000-FFFF-FFFF00000000}"/>
  </bookViews>
  <sheets>
    <sheet name="Hoja1" sheetId="5" r:id="rId1"/>
    <sheet name="Unificado" sheetId="1" r:id="rId2"/>
    <sheet name="Base_Indicadores" sheetId="2" r:id="rId3"/>
    <sheet name="Semestral_Original" sheetId="3" r:id="rId4"/>
    <sheet name="Cierres_Original" sheetId="4" r:id="rId5"/>
  </sheets>
  <definedNames>
    <definedName name="_xlnm._FilterDatabase" localSheetId="1" hidden="1">Unificado!$A$1:$AC$502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E14" i="5"/>
  <c r="C14" i="5"/>
  <c r="F14" i="5"/>
  <c r="F13" i="5" a="1"/>
  <c r="F13" i="5" s="1"/>
  <c r="L500" i="1"/>
  <c r="L443" i="1"/>
  <c r="L466" i="1"/>
  <c r="L465" i="1"/>
  <c r="L461" i="1"/>
  <c r="L462" i="1"/>
  <c r="L460" i="1"/>
  <c r="L459" i="1"/>
  <c r="L499" i="1"/>
  <c r="L450" i="1"/>
  <c r="L445" i="1"/>
  <c r="L444" i="1"/>
  <c r="L458" i="1"/>
  <c r="L457" i="1"/>
  <c r="L452" i="1"/>
  <c r="G452" i="1"/>
  <c r="L451" i="1"/>
  <c r="G451" i="1"/>
  <c r="M498" i="1"/>
  <c r="M166" i="1"/>
  <c r="M493" i="1"/>
  <c r="M497" i="1"/>
  <c r="Q204" i="1"/>
  <c r="H204" i="1"/>
  <c r="G204" i="1"/>
  <c r="Q205" i="1"/>
  <c r="H205" i="1"/>
  <c r="G205" i="1"/>
  <c r="Q208" i="1"/>
  <c r="H208" i="1"/>
  <c r="G208" i="1"/>
  <c r="Q495" i="1"/>
  <c r="G495" i="1"/>
  <c r="H495" i="1"/>
  <c r="I495" i="1" s="1"/>
  <c r="I208" i="1" l="1"/>
  <c r="I205" i="1"/>
  <c r="I204" i="1"/>
  <c r="Q494" i="1"/>
  <c r="H494" i="1"/>
  <c r="G494" i="1"/>
  <c r="I494" i="1" l="1"/>
  <c r="Q371" i="1"/>
  <c r="G371" i="1"/>
  <c r="H371" i="1"/>
  <c r="Q206" i="1"/>
  <c r="Q207" i="1"/>
  <c r="Q203" i="1"/>
  <c r="H207" i="1"/>
  <c r="G207" i="1"/>
  <c r="H206" i="1"/>
  <c r="G206" i="1"/>
  <c r="G203" i="1"/>
  <c r="H203" i="1"/>
  <c r="H295" i="1"/>
  <c r="Q284" i="1"/>
  <c r="H284" i="1"/>
  <c r="G284" i="1"/>
  <c r="Q281" i="1"/>
  <c r="H281" i="1"/>
  <c r="G281" i="1"/>
  <c r="Q278" i="1"/>
  <c r="H278" i="1"/>
  <c r="G278" i="1"/>
  <c r="Q275" i="1"/>
  <c r="G275" i="1"/>
  <c r="H275" i="1"/>
  <c r="Q424" i="1"/>
  <c r="H424" i="1"/>
  <c r="G424" i="1"/>
  <c r="Q421" i="1"/>
  <c r="H421" i="1"/>
  <c r="G421" i="1"/>
  <c r="Q418" i="1"/>
  <c r="H418" i="1"/>
  <c r="G418" i="1"/>
  <c r="Q435" i="1"/>
  <c r="Q296" i="1"/>
  <c r="H296" i="1"/>
  <c r="G296" i="1"/>
  <c r="Q283" i="1"/>
  <c r="H283" i="1"/>
  <c r="G283" i="1"/>
  <c r="Q282" i="1"/>
  <c r="H282" i="1"/>
  <c r="G282" i="1"/>
  <c r="Q280" i="1"/>
  <c r="H280" i="1"/>
  <c r="G280" i="1"/>
  <c r="Q279" i="1"/>
  <c r="H279" i="1"/>
  <c r="G279" i="1"/>
  <c r="Q277" i="1"/>
  <c r="H277" i="1"/>
  <c r="G277" i="1"/>
  <c r="Q276" i="1"/>
  <c r="H276" i="1"/>
  <c r="G276" i="1"/>
  <c r="Q274" i="1"/>
  <c r="H274" i="1"/>
  <c r="G274" i="1"/>
  <c r="Q273" i="1"/>
  <c r="G273" i="1"/>
  <c r="H273" i="1"/>
  <c r="Q423" i="1"/>
  <c r="H423" i="1"/>
  <c r="G423" i="1"/>
  <c r="Q422" i="1"/>
  <c r="H422" i="1"/>
  <c r="G422" i="1"/>
  <c r="Q420" i="1"/>
  <c r="H420" i="1"/>
  <c r="G420" i="1"/>
  <c r="Q419" i="1"/>
  <c r="H419" i="1"/>
  <c r="G419" i="1"/>
  <c r="Q417" i="1"/>
  <c r="H417" i="1"/>
  <c r="G417" i="1"/>
  <c r="Q416" i="1"/>
  <c r="H416" i="1"/>
  <c r="G416" i="1"/>
  <c r="Q415" i="1"/>
  <c r="H415" i="1"/>
  <c r="G415" i="1"/>
  <c r="Q413" i="1"/>
  <c r="H413" i="1"/>
  <c r="G413" i="1"/>
  <c r="Q436" i="1"/>
  <c r="G436" i="1"/>
  <c r="H436" i="1"/>
  <c r="Q13" i="1"/>
  <c r="Q12" i="1"/>
  <c r="Q11" i="1"/>
  <c r="Q10" i="1"/>
  <c r="Q9" i="1"/>
  <c r="Q8" i="1"/>
  <c r="Q7" i="1"/>
  <c r="Q6" i="1"/>
  <c r="Q5" i="1"/>
  <c r="Q4" i="1"/>
  <c r="Q3" i="1"/>
  <c r="Q2" i="1"/>
  <c r="Q414" i="1"/>
  <c r="H414" i="1"/>
  <c r="G414" i="1"/>
  <c r="Q109" i="1"/>
  <c r="H109" i="1"/>
  <c r="G109" i="1"/>
  <c r="Q106" i="1"/>
  <c r="H106" i="1"/>
  <c r="G106" i="1"/>
  <c r="Q103" i="1"/>
  <c r="H103" i="1"/>
  <c r="G103" i="1"/>
  <c r="Q100" i="1"/>
  <c r="G100" i="1"/>
  <c r="H100" i="1"/>
  <c r="Q85" i="1"/>
  <c r="H85" i="1"/>
  <c r="G85" i="1"/>
  <c r="Q82" i="1"/>
  <c r="H82" i="1"/>
  <c r="G82" i="1"/>
  <c r="Q79" i="1"/>
  <c r="H79" i="1"/>
  <c r="G79" i="1"/>
  <c r="Q76" i="1"/>
  <c r="G76" i="1"/>
  <c r="H76" i="1"/>
  <c r="Q61" i="1"/>
  <c r="H61" i="1"/>
  <c r="G61" i="1"/>
  <c r="Q58" i="1"/>
  <c r="H58" i="1"/>
  <c r="G58" i="1"/>
  <c r="Q55" i="1"/>
  <c r="H55" i="1"/>
  <c r="G55" i="1"/>
  <c r="Q52" i="1"/>
  <c r="G52" i="1"/>
  <c r="H52" i="1"/>
  <c r="Q37" i="1"/>
  <c r="H37" i="1"/>
  <c r="G37" i="1"/>
  <c r="Q34" i="1"/>
  <c r="H34" i="1"/>
  <c r="G34" i="1"/>
  <c r="Q31" i="1"/>
  <c r="H31" i="1"/>
  <c r="G31" i="1"/>
  <c r="Q28" i="1"/>
  <c r="G28" i="1"/>
  <c r="H28" i="1"/>
  <c r="H13" i="1"/>
  <c r="G13" i="1"/>
  <c r="H10" i="1"/>
  <c r="G10" i="1"/>
  <c r="H7" i="1"/>
  <c r="G7" i="1"/>
  <c r="G4" i="1"/>
  <c r="H4" i="1"/>
  <c r="Q107" i="1"/>
  <c r="Q105" i="1"/>
  <c r="Q104" i="1"/>
  <c r="Q102" i="1"/>
  <c r="Q101" i="1"/>
  <c r="Q99" i="1"/>
  <c r="Q98" i="1"/>
  <c r="Q84" i="1"/>
  <c r="Q83" i="1"/>
  <c r="Q81" i="1"/>
  <c r="Q80" i="1"/>
  <c r="Q78" i="1"/>
  <c r="Q77" i="1"/>
  <c r="Q75" i="1"/>
  <c r="Q74" i="1"/>
  <c r="Q60" i="1"/>
  <c r="Q59" i="1"/>
  <c r="Q57" i="1"/>
  <c r="Q56" i="1"/>
  <c r="Q54" i="1"/>
  <c r="Q53" i="1"/>
  <c r="Q51" i="1"/>
  <c r="Q50" i="1"/>
  <c r="Q36" i="1"/>
  <c r="Q35" i="1"/>
  <c r="Q33" i="1"/>
  <c r="Q32" i="1"/>
  <c r="Q30" i="1"/>
  <c r="Q29" i="1"/>
  <c r="Q27" i="1"/>
  <c r="Q26" i="1"/>
  <c r="Q108" i="1"/>
  <c r="H108" i="1"/>
  <c r="G108" i="1"/>
  <c r="H107" i="1"/>
  <c r="G107" i="1"/>
  <c r="H105" i="1"/>
  <c r="G105" i="1"/>
  <c r="H104" i="1"/>
  <c r="G104" i="1"/>
  <c r="H102" i="1"/>
  <c r="G102" i="1"/>
  <c r="H101" i="1"/>
  <c r="G101" i="1"/>
  <c r="H99" i="1"/>
  <c r="G99" i="1"/>
  <c r="G98" i="1"/>
  <c r="H98" i="1"/>
  <c r="H84" i="1"/>
  <c r="G84" i="1"/>
  <c r="H83" i="1"/>
  <c r="G83" i="1"/>
  <c r="G81" i="1"/>
  <c r="H81" i="1"/>
  <c r="H80" i="1"/>
  <c r="G80" i="1"/>
  <c r="H78" i="1"/>
  <c r="G78" i="1"/>
  <c r="H77" i="1"/>
  <c r="G77" i="1"/>
  <c r="H75" i="1"/>
  <c r="G75" i="1"/>
  <c r="H74" i="1"/>
  <c r="G74" i="1"/>
  <c r="H60" i="1"/>
  <c r="G60" i="1"/>
  <c r="H59" i="1"/>
  <c r="G59" i="1"/>
  <c r="H57" i="1"/>
  <c r="G57" i="1"/>
  <c r="H56" i="1"/>
  <c r="G56" i="1"/>
  <c r="H54" i="1"/>
  <c r="G54" i="1"/>
  <c r="H53" i="1"/>
  <c r="G53" i="1"/>
  <c r="H51" i="1"/>
  <c r="G51" i="1"/>
  <c r="H50" i="1"/>
  <c r="G50" i="1"/>
  <c r="H36" i="1"/>
  <c r="G36" i="1"/>
  <c r="H35" i="1"/>
  <c r="G35" i="1"/>
  <c r="H33" i="1"/>
  <c r="G33" i="1"/>
  <c r="H32" i="1"/>
  <c r="G32" i="1"/>
  <c r="H30" i="1"/>
  <c r="G30" i="1"/>
  <c r="H29" i="1"/>
  <c r="G29" i="1"/>
  <c r="H27" i="1"/>
  <c r="G27" i="1"/>
  <c r="H26" i="1"/>
  <c r="G26" i="1"/>
  <c r="H12" i="1"/>
  <c r="G12" i="1"/>
  <c r="H11" i="1"/>
  <c r="G11" i="1"/>
  <c r="G6" i="1"/>
  <c r="G8" i="1"/>
  <c r="G9" i="1"/>
  <c r="G5" i="1"/>
  <c r="H9" i="1"/>
  <c r="H8" i="1"/>
  <c r="H6" i="1"/>
  <c r="H5" i="1"/>
  <c r="H3" i="1"/>
  <c r="I3" i="1" s="1"/>
  <c r="H2" i="1"/>
  <c r="I2" i="1" s="1"/>
  <c r="M375" i="1"/>
  <c r="M374" i="1"/>
  <c r="I203" i="1" l="1"/>
  <c r="I371" i="1"/>
  <c r="I206" i="1"/>
  <c r="I207" i="1"/>
  <c r="I424" i="1"/>
  <c r="I284" i="1"/>
  <c r="I296" i="1"/>
  <c r="I421" i="1"/>
  <c r="I281" i="1"/>
  <c r="I278" i="1"/>
  <c r="I275" i="1"/>
  <c r="I418" i="1"/>
  <c r="I417" i="1"/>
  <c r="I423" i="1"/>
  <c r="I283" i="1"/>
  <c r="I279" i="1"/>
  <c r="I416" i="1"/>
  <c r="I422" i="1"/>
  <c r="I276" i="1"/>
  <c r="I280" i="1"/>
  <c r="I274" i="1"/>
  <c r="I277" i="1"/>
  <c r="I282" i="1"/>
  <c r="I273" i="1"/>
  <c r="I420" i="1"/>
  <c r="I415" i="1"/>
  <c r="I413" i="1"/>
  <c r="I419" i="1"/>
  <c r="I28" i="1"/>
  <c r="I52" i="1"/>
  <c r="I76" i="1"/>
  <c r="I436" i="1"/>
  <c r="I98" i="1"/>
  <c r="I4" i="1"/>
  <c r="I414" i="1"/>
  <c r="I100" i="1"/>
  <c r="I13" i="1"/>
  <c r="I37" i="1"/>
  <c r="I61" i="1"/>
  <c r="I85" i="1"/>
  <c r="I109" i="1"/>
  <c r="I82" i="1"/>
  <c r="I106" i="1"/>
  <c r="I103" i="1"/>
  <c r="I55" i="1"/>
  <c r="I79" i="1"/>
  <c r="I58" i="1"/>
  <c r="I34" i="1"/>
  <c r="I31" i="1"/>
  <c r="I81" i="1"/>
  <c r="I7" i="1"/>
  <c r="I10" i="1"/>
  <c r="I99" i="1"/>
  <c r="I108" i="1"/>
  <c r="I83" i="1"/>
  <c r="I104" i="1"/>
  <c r="I105" i="1"/>
  <c r="I107" i="1"/>
  <c r="I101" i="1"/>
  <c r="I30" i="1"/>
  <c r="I102" i="1"/>
  <c r="I77" i="1"/>
  <c r="I78" i="1"/>
  <c r="I60" i="1"/>
  <c r="I80" i="1"/>
  <c r="I51" i="1"/>
  <c r="I54" i="1"/>
  <c r="I84" i="1"/>
  <c r="I27" i="1"/>
  <c r="I57" i="1"/>
  <c r="I36" i="1"/>
  <c r="I74" i="1"/>
  <c r="I75" i="1"/>
  <c r="I11" i="1"/>
  <c r="I53" i="1"/>
  <c r="I56" i="1"/>
  <c r="I35" i="1"/>
  <c r="I26" i="1"/>
  <c r="I50" i="1"/>
  <c r="I59" i="1"/>
  <c r="I32" i="1"/>
  <c r="I6" i="1"/>
  <c r="I33" i="1"/>
  <c r="I29" i="1"/>
  <c r="I12" i="1"/>
  <c r="I8" i="1"/>
  <c r="I9" i="1"/>
  <c r="I5" i="1"/>
  <c r="N39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<sst xmlns="http://schemas.openxmlformats.org/spreadsheetml/2006/main" count="14190" uniqueCount="501">
  <si>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</si>
  <si>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</si>
  <si>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</si>
  <si>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</si>
  <si>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</si>
  <si>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</si>
  <si>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</si>
  <si>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</si>
  <si>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Periodo</t>
  </si>
  <si>
    <t>Semestre</t>
  </si>
  <si>
    <t>Meta</t>
  </si>
  <si>
    <t>Ejecución</t>
  </si>
  <si>
    <t>Cumplimiento</t>
  </si>
  <si>
    <t>Cumplimiento Real</t>
  </si>
  <si>
    <t>Meta s</t>
  </si>
  <si>
    <t>Ejecución s</t>
  </si>
  <si>
    <t>Llave</t>
  </si>
  <si>
    <t>Decimales_Meta</t>
  </si>
  <si>
    <t>Decimales_Ejecucion</t>
  </si>
  <si>
    <t>Fuente</t>
  </si>
  <si>
    <t>Clasificación</t>
  </si>
  <si>
    <t>Subproceso</t>
  </si>
  <si>
    <t>Linea</t>
  </si>
  <si>
    <t>Objetivo</t>
  </si>
  <si>
    <t>Meta_PDI</t>
  </si>
  <si>
    <t>FACTOR</t>
  </si>
  <si>
    <t>CARACTERÍSTICA</t>
  </si>
  <si>
    <t>Tipo_Cierre</t>
  </si>
  <si>
    <t>Proyección</t>
  </si>
  <si>
    <t>Total Población</t>
  </si>
  <si>
    <t>Servicio</t>
  </si>
  <si>
    <t>Semestral</t>
  </si>
  <si>
    <t>Positivo</t>
  </si>
  <si>
    <t>Junio</t>
  </si>
  <si>
    <t>2022-1</t>
  </si>
  <si>
    <t>ENT</t>
  </si>
  <si>
    <t>14-2022-06-30</t>
  </si>
  <si>
    <t>Estratégico</t>
  </si>
  <si>
    <t>Expansión</t>
  </si>
  <si>
    <t xml:space="preserve">Crecer con compromiso social </t>
  </si>
  <si>
    <t xml:space="preserve">En el 2026, alcanzar una población estudiantil superior a 70.000 estudiantes </t>
  </si>
  <si>
    <t>Factor 11. Comunidad de estudiantes</t>
  </si>
  <si>
    <t>Característica 34: Admisión y permanencia de estudiantes</t>
  </si>
  <si>
    <t>Último valor</t>
  </si>
  <si>
    <t>Diciembre</t>
  </si>
  <si>
    <t>2022-2</t>
  </si>
  <si>
    <t>14-2022-12-31</t>
  </si>
  <si>
    <t>2023-1</t>
  </si>
  <si>
    <t>14-2023-06-30</t>
  </si>
  <si>
    <t>2023-2</t>
  </si>
  <si>
    <t>14-2023-12-31</t>
  </si>
  <si>
    <t>2024-1</t>
  </si>
  <si>
    <t>14-2024-06-30</t>
  </si>
  <si>
    <t>2024-2</t>
  </si>
  <si>
    <t>14-2024-12-31</t>
  </si>
  <si>
    <t>Disponibilidad de servicios tecnológicos</t>
  </si>
  <si>
    <t>GESTIÓN DE LA TECNOLOGÍA E INNOVACIÓN DIGITAL</t>
  </si>
  <si>
    <t>Mensual</t>
  </si>
  <si>
    <t>%</t>
  </si>
  <si>
    <t>77-2022-06-30</t>
  </si>
  <si>
    <t>Transformación_Organizacional</t>
  </si>
  <si>
    <t>Asegurar una arquitectura tecnológica institucional, centrada en la experiencia de la comunidad educativa</t>
  </si>
  <si>
    <t>Contar con una arquitectura IT implementada al 100%, con un 99,7% de disponibilidad</t>
  </si>
  <si>
    <t>Factor 3. Desarrollo, gestión y sostenibilidad institucional</t>
  </si>
  <si>
    <t>Característica 11: Infraestructura física y tecnológica</t>
  </si>
  <si>
    <t>Promedio</t>
  </si>
  <si>
    <t>Anual</t>
  </si>
  <si>
    <t>77-2022-12-31</t>
  </si>
  <si>
    <t>77-2023-06-30</t>
  </si>
  <si>
    <t>77-2023-12-31</t>
  </si>
  <si>
    <t>Productos de investigación, innovación y creación</t>
  </si>
  <si>
    <t>Investigación, desarrollo tecnológico, innovación y creación</t>
  </si>
  <si>
    <t>96-2022-12-31</t>
  </si>
  <si>
    <t>Calidad</t>
  </si>
  <si>
    <t>Asegurar la alta calidad a nivel institucional</t>
  </si>
  <si>
    <t xml:space="preserve">Al 2025 alcanzar la acreditación institucional en alta calidad de la sede Bogotá </t>
  </si>
  <si>
    <t>Factor 6. Aportes de la investigación, la innovación, el desarrollo tecnológico y la creación al entorno</t>
  </si>
  <si>
    <t>Característica 21: Formación para la investigación, creación e innovación</t>
  </si>
  <si>
    <t>Acumulativo</t>
  </si>
  <si>
    <t>96-2023-06-30</t>
  </si>
  <si>
    <t>96-2023-12-31</t>
  </si>
  <si>
    <t>96-2024-06-30</t>
  </si>
  <si>
    <t>Lanzamiento de nuevos programas presencial</t>
  </si>
  <si>
    <t>Mercadeo de programas académicos</t>
  </si>
  <si>
    <t>97-2022-06-30</t>
  </si>
  <si>
    <t>Diseñar un portafolio relevante y competitivo que garantice el crecimiento continuo del Poli.</t>
  </si>
  <si>
    <t>Factor 5. Estructura y procesos académicos</t>
  </si>
  <si>
    <t>Característica 20: Procesos de creación, modificación y ampliación de programas académicos</t>
  </si>
  <si>
    <t>97-2022-12-31</t>
  </si>
  <si>
    <t>97-2023-06-30</t>
  </si>
  <si>
    <t>97-2023-12-31</t>
  </si>
  <si>
    <t>Lanzamiento de nuevos programas virtual</t>
  </si>
  <si>
    <t>98-2022-06-30</t>
  </si>
  <si>
    <t>98-2022-12-31</t>
  </si>
  <si>
    <t>98-2023-06-30</t>
  </si>
  <si>
    <t>98-2023-12-31</t>
  </si>
  <si>
    <t>Nivel de Satisfacción Servicios Prestados - Comunicaciones Internas</t>
  </si>
  <si>
    <t>COMUNICACIÓN Y POSICIONAMIENTO ESTRATÉGICO</t>
  </si>
  <si>
    <t>109-2023-12-31</t>
  </si>
  <si>
    <t>Comunicaciones Internas</t>
  </si>
  <si>
    <t>Contar con un equipo humano feliz y apasionado, que trabaja de forma colaborativa para alcanzar las metas institucionales</t>
  </si>
  <si>
    <t>Factor 7. Impacto social</t>
  </si>
  <si>
    <t>Característica 26: Satisfacción del estudiante y del cliente</t>
  </si>
  <si>
    <t>109-2024-12-31</t>
  </si>
  <si>
    <t>Estudiantes vinculados a investigación</t>
  </si>
  <si>
    <t>Formación para la investigación, creación e innovación</t>
  </si>
  <si>
    <t>148-2023-06-30</t>
  </si>
  <si>
    <t>148-2023-12-31</t>
  </si>
  <si>
    <t>148-2024-06-30</t>
  </si>
  <si>
    <t>148-2024-12-31</t>
  </si>
  <si>
    <t>Mejorar flujo de atención en todos los niveles de servicio al estudiante (ANS)</t>
  </si>
  <si>
    <t>193-2022-06-30</t>
  </si>
  <si>
    <t>Experiencia</t>
  </si>
  <si>
    <t>Garantizar una experiencia significativa y de valor agregado a la comunidad POLI</t>
  </si>
  <si>
    <t>Alcanzar a una satisfacción del servicio superior al 85%.</t>
  </si>
  <si>
    <t>Característica 9: Capacidad de gestión</t>
  </si>
  <si>
    <t>193-2022-12-31</t>
  </si>
  <si>
    <t>193-2023-06-30</t>
  </si>
  <si>
    <t>193-2023-12-31</t>
  </si>
  <si>
    <t>193-2024-06-30</t>
  </si>
  <si>
    <t>193-2024-12-31</t>
  </si>
  <si>
    <t>Índice de satisfacción del estudiante (SSI)</t>
  </si>
  <si>
    <t>194-2022-06-30</t>
  </si>
  <si>
    <t>Alcanzar una tasa de permanencia intersemestral superior al 90%</t>
  </si>
  <si>
    <t>Característica 33: Derechos y deberes de los estudiantes</t>
  </si>
  <si>
    <t>194-2022-12-31</t>
  </si>
  <si>
    <t>194-2023-06-30</t>
  </si>
  <si>
    <t>194-2023-12-31</t>
  </si>
  <si>
    <t>194-2024-06-30</t>
  </si>
  <si>
    <t>Nivel de efectividad de las capacitaciones</t>
  </si>
  <si>
    <t>GESTIÓN Y DESARROLLO DEL TALENTO HUMANO</t>
  </si>
  <si>
    <t>Linea base</t>
  </si>
  <si>
    <t>200-2023-12-31</t>
  </si>
  <si>
    <t>Contribuir a la formación permanente del equipo humano</t>
  </si>
  <si>
    <t>Factor 10. Comunidad de profesores</t>
  </si>
  <si>
    <t>Característica 31: Desarrollo profesoral</t>
  </si>
  <si>
    <t>200-2024-12-31</t>
  </si>
  <si>
    <t>Great Place to Work</t>
  </si>
  <si>
    <t>202-2023-12-31</t>
  </si>
  <si>
    <t xml:space="preserve">Estar en el ranking de la 100 mejores empresas para trabajar en Colombia </t>
  </si>
  <si>
    <t>202-2024-12-31</t>
  </si>
  <si>
    <t>Cumplimiento de Ingresos</t>
  </si>
  <si>
    <t>Planeación Financiera</t>
  </si>
  <si>
    <t>$</t>
  </si>
  <si>
    <t>203-2022-06-30</t>
  </si>
  <si>
    <t>Sostenibilidad</t>
  </si>
  <si>
    <t>Promover una cultura de optimización de recursos financieros como apalancador de la estrategia</t>
  </si>
  <si>
    <t>Incrementar los ingresos y el presupuesto de inversión en proyectos institucionales</t>
  </si>
  <si>
    <t>Característica 12: Recursos y gestión financiera</t>
  </si>
  <si>
    <t>203-2022-12-31</t>
  </si>
  <si>
    <t>203-2023-06-30</t>
  </si>
  <si>
    <t>203-2023-12-31</t>
  </si>
  <si>
    <t>203-2024-06-30</t>
  </si>
  <si>
    <t>203-2024-12-31</t>
  </si>
  <si>
    <t>Caja</t>
  </si>
  <si>
    <t>204-2022-06-30</t>
  </si>
  <si>
    <t>204-2022-12-30</t>
  </si>
  <si>
    <t>204-2023-06-30</t>
  </si>
  <si>
    <t>204-2023-12-31</t>
  </si>
  <si>
    <t>204-2024-06-30</t>
  </si>
  <si>
    <t>204-2024-12-31</t>
  </si>
  <si>
    <t>Utilidad Neta</t>
  </si>
  <si>
    <t>205-2023-06-30</t>
  </si>
  <si>
    <t>205-2023-12-31</t>
  </si>
  <si>
    <t>205-2024-06-30</t>
  </si>
  <si>
    <t>205-2024-12-31</t>
  </si>
  <si>
    <t>Inversión en CAPEX de la utilidad anterior</t>
  </si>
  <si>
    <t>206-2023-06-30</t>
  </si>
  <si>
    <t>206-2023-12-31</t>
  </si>
  <si>
    <t>206-2024-12-31</t>
  </si>
  <si>
    <t>Nivel de Cumplimiento Opex</t>
  </si>
  <si>
    <t>Negativo</t>
  </si>
  <si>
    <t>207-2023-06-30</t>
  </si>
  <si>
    <t>207-2023-12-31</t>
  </si>
  <si>
    <t>207-2024-06-30</t>
  </si>
  <si>
    <t>207-2024-12-31</t>
  </si>
  <si>
    <t>Compensación de Gases de Efecto Invernadero</t>
  </si>
  <si>
    <t>GESTIÓN AMBIENTAL</t>
  </si>
  <si>
    <t>228-2022-12-31</t>
  </si>
  <si>
    <t>Contribuir a la inclusión, la proyección social y el cuidado del medio ambiente</t>
  </si>
  <si>
    <t>Promover una cultura de protección y cuidado del medio ambiente</t>
  </si>
  <si>
    <t>228-2024-12-31</t>
  </si>
  <si>
    <t>GreenMetric - Nacional</t>
  </si>
  <si>
    <t>244-2023-12-31</t>
  </si>
  <si>
    <t>244-2024-12-31</t>
  </si>
  <si>
    <t>Permanencia Intersemestral</t>
  </si>
  <si>
    <t>Permanencia</t>
  </si>
  <si>
    <t>245-2022-06-30</t>
  </si>
  <si>
    <t>245-2022-12-31</t>
  </si>
  <si>
    <t>245-2023-06-30</t>
  </si>
  <si>
    <t>245-2023-12-31</t>
  </si>
  <si>
    <t>245-2024-06-30</t>
  </si>
  <si>
    <t>245-2024-12-31</t>
  </si>
  <si>
    <t>Cumplimiento total estudiantes antiguos</t>
  </si>
  <si>
    <t>Rematrícula</t>
  </si>
  <si>
    <t>274-2022-06-30</t>
  </si>
  <si>
    <t>274-2022-12-31</t>
  </si>
  <si>
    <t>274-2023-06-30</t>
  </si>
  <si>
    <t>274-2023-12-31</t>
  </si>
  <si>
    <t>274-2024-06-30</t>
  </si>
  <si>
    <t>274-2024-12-31</t>
  </si>
  <si>
    <t>Relación Estudiante-Docente Tiempo completo</t>
  </si>
  <si>
    <t>Gestión Docente</t>
  </si>
  <si>
    <t>276-2022-06-30</t>
  </si>
  <si>
    <t>Característica 19: Componente de interacción y relevancia social</t>
  </si>
  <si>
    <t>276-2022-12-31</t>
  </si>
  <si>
    <t>276-2023-06-30</t>
  </si>
  <si>
    <t>276-2023-12-31</t>
  </si>
  <si>
    <t>276-2024-06-30</t>
  </si>
  <si>
    <t>276-2024-12-31</t>
  </si>
  <si>
    <t>Relación estudiante docente Tiempo Completo Equivalente</t>
  </si>
  <si>
    <t>277-2023-06-30</t>
  </si>
  <si>
    <t>277-2023-12-31</t>
  </si>
  <si>
    <t>277-2024-06-30</t>
  </si>
  <si>
    <t>277-2024-12-31</t>
  </si>
  <si>
    <t>Número de renovaciones de registro calificado</t>
  </si>
  <si>
    <t>Creación, modificación y cierre de programas académicos</t>
  </si>
  <si>
    <t>323-2022-12-31</t>
  </si>
  <si>
    <t>Fortalecer la oferta educativa y la innovación curricular</t>
  </si>
  <si>
    <t>Contar con un portafolio de programas académicos innovador de calidad, pertinente y flexible, que responda a las necesidades del estudiante y del entorno.</t>
  </si>
  <si>
    <t>323-2023-06-30</t>
  </si>
  <si>
    <t>323-2023-12-31</t>
  </si>
  <si>
    <t>323-2024-06-30</t>
  </si>
  <si>
    <t>323-2024-12-31</t>
  </si>
  <si>
    <t>Número de programas nuevos con registro calificado aprobado</t>
  </si>
  <si>
    <t>325-2022-06-30</t>
  </si>
  <si>
    <t>325-2022-12-31</t>
  </si>
  <si>
    <t>325-2023-06-30</t>
  </si>
  <si>
    <t>325-2023-12-31</t>
  </si>
  <si>
    <t>325-2024-06-30</t>
  </si>
  <si>
    <t>325-2024-12-31</t>
  </si>
  <si>
    <t>Nivel de empleabilidad del graduado</t>
  </si>
  <si>
    <t>Gestión de Graduados</t>
  </si>
  <si>
    <t>Metrica</t>
  </si>
  <si>
    <t>331-2023-12-31</t>
  </si>
  <si>
    <t>Mejorar la empleabilidad de nuestros graduados</t>
  </si>
  <si>
    <t>Factor 12. Comunidad de egresados</t>
  </si>
  <si>
    <t>Característica 37: Egresados y programas académicos</t>
  </si>
  <si>
    <t>331-2024-12-31</t>
  </si>
  <si>
    <t>Índice de rotación</t>
  </si>
  <si>
    <t>332-2022-06-30</t>
  </si>
  <si>
    <t>Implementar el Plan Talento para colaboradores alineado con la estrategia.</t>
  </si>
  <si>
    <t>332-2022-12-31</t>
  </si>
  <si>
    <t>332-2023-06-30</t>
  </si>
  <si>
    <t>332-2023-12-31</t>
  </si>
  <si>
    <t>DEC</t>
  </si>
  <si>
    <t>332-2024-06-30</t>
  </si>
  <si>
    <t>332-2024-12-31</t>
  </si>
  <si>
    <t>Resultado de la evaluación 360 (evaluación por competencias)</t>
  </si>
  <si>
    <t>334-2023-12-31</t>
  </si>
  <si>
    <t>Característica 32: Interacción académica de los profesores</t>
  </si>
  <si>
    <t>334-2024-12-31</t>
  </si>
  <si>
    <t>Cumplimiento de diagnóstico necesidades de capacitación por área</t>
  </si>
  <si>
    <t>335-2023-12-31</t>
  </si>
  <si>
    <t>335-2024-12-31</t>
  </si>
  <si>
    <t>Programas acreditables acreditados Sede Bogotá</t>
  </si>
  <si>
    <t>Autoevaluación institucional</t>
  </si>
  <si>
    <t>339-2023-12-31</t>
  </si>
  <si>
    <t>339-2024-12-31</t>
  </si>
  <si>
    <t>Cobertura de tableros BI en procesos</t>
  </si>
  <si>
    <t>DATOS Y ANALÍTICA</t>
  </si>
  <si>
    <t>353-2023-06-30</t>
  </si>
  <si>
    <t>Fortalecer la gestión por procesos y la toma de decisiones basada en el análisis de los datos</t>
  </si>
  <si>
    <t>Promover el uso de los datos, a partir del diseño e implementación de soluciones analíticas</t>
  </si>
  <si>
    <t>Característica 15: Sistema interno de aseguramiento de la calidad</t>
  </si>
  <si>
    <t>353-2023-12-31</t>
  </si>
  <si>
    <t>Índice de Inclusión **</t>
  </si>
  <si>
    <t>Gestión de la Responsabilidad Social</t>
  </si>
  <si>
    <t>361-2023-12-31</t>
  </si>
  <si>
    <t>Mantener altos índices de inclusión institucional</t>
  </si>
  <si>
    <t>361-2024-12-31</t>
  </si>
  <si>
    <t>Impacto de actividades de Responsabilidad y proyección</t>
  </si>
  <si>
    <t>364-2023-06-30</t>
  </si>
  <si>
    <t xml:space="preserve">Propiciar espacios de interacción con la comunidad del entorno </t>
  </si>
  <si>
    <t>Factor 8. Visibilidad nacional e internacional</t>
  </si>
  <si>
    <t>Característica 25: Inserción de la institución en contextos académicos nacionales e internacionales</t>
  </si>
  <si>
    <t>364-2023-12-31</t>
  </si>
  <si>
    <t>364-2024-06-30</t>
  </si>
  <si>
    <t>364-2024-12-31</t>
  </si>
  <si>
    <t>Estudiantes con Becas</t>
  </si>
  <si>
    <t>367-2023-12-31</t>
  </si>
  <si>
    <t>Mantener hasta el 5% de estudiantes becados, sobre el total de estudiantes</t>
  </si>
  <si>
    <t>367-2024-12-31</t>
  </si>
  <si>
    <t>Participación de POLI- voluntariados (Estudiantes- Colaboradores)</t>
  </si>
  <si>
    <t>Linea Base</t>
  </si>
  <si>
    <t>369-2023-06-30</t>
  </si>
  <si>
    <t>369-2023-12-31</t>
  </si>
  <si>
    <t>369-2024-06-30</t>
  </si>
  <si>
    <t>369-2024-12-31</t>
  </si>
  <si>
    <t>Cumplimiento EBIDTA</t>
  </si>
  <si>
    <t>376-2022-06-30</t>
  </si>
  <si>
    <t>376-2022-12-30</t>
  </si>
  <si>
    <t>376-2023-06-30</t>
  </si>
  <si>
    <t>376-2023-12-31</t>
  </si>
  <si>
    <t>376-2024-06-30</t>
  </si>
  <si>
    <t>376-2024-12-31</t>
  </si>
  <si>
    <t>CAPEX</t>
  </si>
  <si>
    <t>377-2023-06-30</t>
  </si>
  <si>
    <t>377-2023-12-31</t>
  </si>
  <si>
    <t>377-2024-06-30</t>
  </si>
  <si>
    <t>377-2024-12-31</t>
  </si>
  <si>
    <t>Total estudiantes nuevos</t>
  </si>
  <si>
    <t>Inscripción, admisión y matrícula de estudiantes nuevos</t>
  </si>
  <si>
    <t>379-2022-06-30</t>
  </si>
  <si>
    <t>379-2022-12-31</t>
  </si>
  <si>
    <t>379-2023-06-30</t>
  </si>
  <si>
    <t>379-2023-12-31</t>
  </si>
  <si>
    <t>379-2024-06-30</t>
  </si>
  <si>
    <t>379-2024-12-31</t>
  </si>
  <si>
    <t>Ingresos totales de educación para la vida</t>
  </si>
  <si>
    <t>Mercadeo y venta de educación para la vida</t>
  </si>
  <si>
    <t>385-2022-06-30</t>
  </si>
  <si>
    <t>Educación_para_toda_la_vida</t>
  </si>
  <si>
    <t>Impulsar y potenciar la educación continua</t>
  </si>
  <si>
    <t>Incrementar en más del 50% los ingresos de B2B Y B2G para el año 2026</t>
  </si>
  <si>
    <t>385-2022-12-31</t>
  </si>
  <si>
    <t>385-2023-06-30</t>
  </si>
  <si>
    <t>385-2023-12-31</t>
  </si>
  <si>
    <t>385-2024-06-30</t>
  </si>
  <si>
    <t>385-2024-12-31</t>
  </si>
  <si>
    <t>Brand equity</t>
  </si>
  <si>
    <t>423-2022-12-31</t>
  </si>
  <si>
    <t>Posicionar al POLI como una de las opciones más atractivas para iniciar los estudios de educación superior.</t>
  </si>
  <si>
    <t>423-2023-12-31</t>
  </si>
  <si>
    <t>423-2024-12-31</t>
  </si>
  <si>
    <t>Conocimiento espontaneo</t>
  </si>
  <si>
    <t>424-2022-12-31</t>
  </si>
  <si>
    <t>424-2023-12-31</t>
  </si>
  <si>
    <t>424-2024-12-31</t>
  </si>
  <si>
    <t>% de profesores (Contrato Indefinido- Fijo) impactados plan de desarrollo docente</t>
  </si>
  <si>
    <t>460-2024-12-31</t>
  </si>
  <si>
    <t>Avanzar en la construcción de una cultura de buena docencia centrada en el estudiante, su aprendizaje y en la excelencia pedagógica del equipo de profesores.</t>
  </si>
  <si>
    <t>Cumplimiento de las acciones del Plan de mejoramiento GPW</t>
  </si>
  <si>
    <t>463-2024-06-30</t>
  </si>
  <si>
    <t>Característica 7: Administración y gestión</t>
  </si>
  <si>
    <t>463-2024-12-31</t>
  </si>
  <si>
    <t>% de depuración histórico  SNIES</t>
  </si>
  <si>
    <t>465-2024-06-30</t>
  </si>
  <si>
    <t>Asegurar un esquema de gobierno y calidad de datos  institucional.</t>
  </si>
  <si>
    <t>Característica 27: Admisión y matrícula de estudiantes</t>
  </si>
  <si>
    <t>465-2024-12-31</t>
  </si>
  <si>
    <t>NPS Estudiantes</t>
  </si>
  <si>
    <t>EXPERIENCIA INSTITUCIONAL</t>
  </si>
  <si>
    <t>466-2024-06-30</t>
  </si>
  <si>
    <t>466-2024-12-31</t>
  </si>
  <si>
    <t>Cobertura de Recolección de Variables ADA (Arquitectura de datos para la analitica)</t>
  </si>
  <si>
    <t>472-2024-06-30</t>
  </si>
  <si>
    <t>472-2024-12-31</t>
  </si>
  <si>
    <t>Programas con resultados de aprendizaje definidos</t>
  </si>
  <si>
    <t>Gestión, Evaluación e Innovación Curricular</t>
  </si>
  <si>
    <t>476-2024-06-30</t>
  </si>
  <si>
    <t>Innovar en el currículo</t>
  </si>
  <si>
    <t>476-2024-12-31</t>
  </si>
  <si>
    <t>Estudiantes Presencial</t>
  </si>
  <si>
    <t>14.1-2022-06-30</t>
  </si>
  <si>
    <t>14.1-2022-12-31</t>
  </si>
  <si>
    <t>14.1-2023-06-30</t>
  </si>
  <si>
    <t>14.1-2023-12-31</t>
  </si>
  <si>
    <t>14.1-2024-06-30</t>
  </si>
  <si>
    <t>Estudiantes Virtual</t>
  </si>
  <si>
    <t>14.2-2022-06-30</t>
  </si>
  <si>
    <t>14.2-2022-12-31</t>
  </si>
  <si>
    <t>14.2-2023-06-30</t>
  </si>
  <si>
    <t>14.2-2023-12-31</t>
  </si>
  <si>
    <t>14.2-2024-06-30</t>
  </si>
  <si>
    <t>Estudiantes Pregrado</t>
  </si>
  <si>
    <t>14.3-2022-06-30</t>
  </si>
  <si>
    <t>14.3-2022-12-31</t>
  </si>
  <si>
    <t>14.3-2023-06-30</t>
  </si>
  <si>
    <t>14.3-2023-12-31</t>
  </si>
  <si>
    <t>14.3-2024-06-30</t>
  </si>
  <si>
    <t>Estudiantes Posgrado</t>
  </si>
  <si>
    <t>14.4-2022-06-30</t>
  </si>
  <si>
    <t>14.4-2022-12-30</t>
  </si>
  <si>
    <t>14.4-2023-06-30</t>
  </si>
  <si>
    <t>14.4-2023-12-31</t>
  </si>
  <si>
    <t>14.4-2024-06-30</t>
  </si>
  <si>
    <t>Total Ingresos B2B</t>
  </si>
  <si>
    <t>386.1-2023-06-30</t>
  </si>
  <si>
    <t>386.1-2023-12-31</t>
  </si>
  <si>
    <t>386.1-2024-06-30</t>
  </si>
  <si>
    <t>386.1-2024-12-31</t>
  </si>
  <si>
    <t>Total Ingresos B2G</t>
  </si>
  <si>
    <t>386.2-2023-06-30</t>
  </si>
  <si>
    <t>386.2-2023-12-31</t>
  </si>
  <si>
    <t>386.2-2024-06-30</t>
  </si>
  <si>
    <t>386.2-2024-12-31</t>
  </si>
  <si>
    <t>Otros ingresos (Cursos -Opciones de grado)</t>
  </si>
  <si>
    <t>386.3-2023-06-30</t>
  </si>
  <si>
    <t>386.3-2023-12-31</t>
  </si>
  <si>
    <t>386.3-2024-06-30</t>
  </si>
  <si>
    <t>386.3-2024-12-31</t>
  </si>
  <si>
    <t>77-2024-06-30</t>
  </si>
  <si>
    <t>77-2024-12-31</t>
  </si>
  <si>
    <t>96-2024-12-31</t>
  </si>
  <si>
    <t>97-2024-06-30</t>
  </si>
  <si>
    <t>97-2024-12-31</t>
  </si>
  <si>
    <t>98-2024-06-30</t>
  </si>
  <si>
    <t>98-2024-12-31</t>
  </si>
  <si>
    <t>14.1-2024-12-31</t>
  </si>
  <si>
    <t>14.2-2024-12-31</t>
  </si>
  <si>
    <t>14.3-2024-12-31</t>
  </si>
  <si>
    <t>14.4-2024-12-31</t>
  </si>
  <si>
    <t>194-2024-12-31</t>
  </si>
  <si>
    <t>2025-1</t>
  </si>
  <si>
    <t>476-2025-06-30</t>
  </si>
  <si>
    <t>148-2025-06-30</t>
  </si>
  <si>
    <t>339-2025-06-30</t>
  </si>
  <si>
    <t>325-2025-06-30</t>
  </si>
  <si>
    <t>323-2025-06-30</t>
  </si>
  <si>
    <t>276-2025-06-30</t>
  </si>
  <si>
    <t>14-2025-06-30</t>
  </si>
  <si>
    <t>379-2025-06-30</t>
  </si>
  <si>
    <t>274-2025-06-30</t>
  </si>
  <si>
    <t>14.1-2025-06-30</t>
  </si>
  <si>
    <t>14.2-2025-06-30</t>
  </si>
  <si>
    <t>14.3-2025-06-30</t>
  </si>
  <si>
    <t>14.4-2025-06-30</t>
  </si>
  <si>
    <t>98-2025-06-30</t>
  </si>
  <si>
    <t>194-2025-06-30</t>
  </si>
  <si>
    <t>193-2025-06-30</t>
  </si>
  <si>
    <t>245-2025-06-30</t>
  </si>
  <si>
    <t>205-2025-06-30</t>
  </si>
  <si>
    <t>204-2025-06-30</t>
  </si>
  <si>
    <t>364-2025-06-30</t>
  </si>
  <si>
    <t>376-2025-06-30</t>
  </si>
  <si>
    <t>203-2025-06-30</t>
  </si>
  <si>
    <t>207-2025-06-30</t>
  </si>
  <si>
    <t>369-2025-06-30</t>
  </si>
  <si>
    <t>No Aplica</t>
  </si>
  <si>
    <t>331-2025-06-30</t>
  </si>
  <si>
    <t>332-2025-06-30</t>
  </si>
  <si>
    <t>202-2025-06-30</t>
  </si>
  <si>
    <t>77-2025-06-30</t>
  </si>
  <si>
    <t>277-2025-06-30</t>
  </si>
  <si>
    <t xml:space="preserve">Ingresos totales de educación para la vida </t>
  </si>
  <si>
    <t>525-2025-06-30</t>
  </si>
  <si>
    <t>Total Ingresos B2B- B2C</t>
  </si>
  <si>
    <t>525.1-2025-06-30</t>
  </si>
  <si>
    <t xml:space="preserve">Total Ingresos B2G </t>
  </si>
  <si>
    <t>525.2-2025-06-30</t>
  </si>
  <si>
    <t>Total ingresos Opciones de grado</t>
  </si>
  <si>
    <t>525.3-2025-06-30</t>
  </si>
  <si>
    <t>Cierre</t>
  </si>
  <si>
    <t>148-2022-12-31</t>
  </si>
  <si>
    <t>tCO2e</t>
  </si>
  <si>
    <t>244-2022-12-31</t>
  </si>
  <si>
    <t>476-2023-12-31</t>
  </si>
  <si>
    <t>334-2022-12-31</t>
  </si>
  <si>
    <t>460-2023-12-31</t>
  </si>
  <si>
    <t>367-2022-12-31</t>
  </si>
  <si>
    <t>466-2022-12-31</t>
  </si>
  <si>
    <t>466-2023-12-31</t>
  </si>
  <si>
    <t>228-2023-12-31</t>
  </si>
  <si>
    <t>460-2025-06-30</t>
  </si>
  <si>
    <t>423-2025-06-30</t>
  </si>
  <si>
    <t>97-2025-06-30</t>
  </si>
  <si>
    <t>466-2025-06-30</t>
  </si>
  <si>
    <t>377-2025-06-30</t>
  </si>
  <si>
    <t>367-2025-06-30</t>
  </si>
  <si>
    <t>228-2025-06-30</t>
  </si>
  <si>
    <t>361-2025-06-30</t>
  </si>
  <si>
    <t>244-2025-06-30</t>
  </si>
  <si>
    <t>200-2025-06-30</t>
  </si>
  <si>
    <t>109-2025-06-30</t>
  </si>
  <si>
    <t>2025-2</t>
  </si>
  <si>
    <t>335-2025-12-31</t>
  </si>
  <si>
    <t>334-2025-06-30</t>
  </si>
  <si>
    <t>424-2025-06-30</t>
  </si>
  <si>
    <t>Nivel de Satisfacción Servicios Prestados</t>
  </si>
  <si>
    <t>Inclusión</t>
  </si>
  <si>
    <t>B2B</t>
  </si>
  <si>
    <t>B2G</t>
  </si>
  <si>
    <t>Cumplimiento EBITDA</t>
  </si>
  <si>
    <t>Operativo</t>
  </si>
  <si>
    <t>Inversión en CAPEX de la utilidad anterior (veces)</t>
  </si>
  <si>
    <t>% de profesores impactados plan de desarrollo docente</t>
  </si>
  <si>
    <t>% de profesores (Contrato Indefinido- Fijo) impactados plan de desarrollo docente *</t>
  </si>
  <si>
    <t>Porcentaje de cumplimiento del Acuerdo de Nivel de Servicio (ANS)</t>
  </si>
  <si>
    <t>Índice de Inclusión</t>
  </si>
  <si>
    <t>Total Matriculados antiguos</t>
  </si>
  <si>
    <t>14-2025-12-31</t>
  </si>
  <si>
    <t>14.1-2025-12-31</t>
  </si>
  <si>
    <t>14.2-2025-12-31</t>
  </si>
  <si>
    <t>14.3-2025-12-31</t>
  </si>
  <si>
    <t>14.4-2025-12-31</t>
  </si>
  <si>
    <t>385-2025-12-31</t>
  </si>
  <si>
    <t>466-2025-12-31</t>
  </si>
  <si>
    <t>109-2025-12-31</t>
  </si>
  <si>
    <t>386.2-2025-12-31</t>
  </si>
  <si>
    <t>386.1-2025-12-31</t>
  </si>
  <si>
    <t>386.1-2022-12-31</t>
  </si>
  <si>
    <t>386.3-2025-12-31</t>
  </si>
  <si>
    <t>386.3-2022-12-31</t>
  </si>
  <si>
    <t>423-2025-12-31</t>
  </si>
  <si>
    <t>424-2025-12-31</t>
  </si>
  <si>
    <t>Etiquetas de columna</t>
  </si>
  <si>
    <t>Total general</t>
  </si>
  <si>
    <t>Suma de Ejecución</t>
  </si>
  <si>
    <t>Etiquetas de fila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</si>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</sst>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3" formatCode="_-* #,##0.00_-;\-* #,##0.00_-;_-* &quot;-&quot;??_-;_-@_-"/>
    <numFmt numFmtId="164" formatCode="yyyy\-mm\-dd\ hh:mm:ss"/>
    <numFmt numFmtId="165" formatCode="yyyy\-mm\-dd"/>
    <numFmt numFmtId="168" formatCode="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 applyFill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3" fillId="0" borderId="0" xfId="1" applyFont="1" applyFill="1" applyProtection="1"/>
    <xf numFmtId="0" fontId="0" fillId="0" borderId="1" xfId="0" applyBorder="1"/>
    <xf numFmtId="43" fontId="0" fillId="0" borderId="0" xfId="2" applyFont="1"/>
    <xf numFmtId="6" fontId="0" fillId="0" borderId="0" xfId="0" applyNumberFormat="1"/>
    <xf numFmtId="0" fontId="0" fillId="0" borderId="0" xfId="0" pivotButton="1"/>
    <xf numFmtId="0" fontId="5" fillId="2" borderId="2" xfId="0" applyFont="1" applyFill="1" applyBorder="1"/>
    <xf numFmtId="0" fontId="0" fillId="0" borderId="0" xfId="0" applyNumberFormat="1"/>
    <xf numFmtId="0" fontId="0" fillId="0" borderId="0" xfId="0" applyAlignment="1">
      <alignment horizontal="left"/>
    </xf>
    <xf numFmtId="168" fontId="5" fillId="2" borderId="2" xfId="0" applyNumberFormat="1" applyFont="1" applyFill="1" applyBorder="1"/>
    <xf numFmtId="10" fontId="0" fillId="0" borderId="0" xfId="3" applyNumberFormat="1" applyFont="1"/>
  </cellXfs>
  <cellStyles count="4">
    <cellStyle name="Millares" xfId="2" builtinId="3"/>
    <cellStyle name="Normal" xfId="0" builtinId="0"/>
    <cellStyle name="Normal 2" xfId="1" xr:uid="{E6474115-E034-47AA-AE39-934325146E0E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Hoja1!$A$13</c:f>
              <c:strCache>
                <c:ptCount val="1"/>
                <c:pt idx="0">
                  <c:v>Brand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6380577427821522E-2"/>
                  <c:y val="-0.13004629629629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US"/>
                </a:p>
              </c:txPr>
            </c:trendlineLbl>
          </c:trendline>
          <c:cat>
            <c:numRef>
              <c:f>Hoja1!$B$12:$E$12</c:f>
              <c:numCache>
                <c:formatCode>yyyy</c:formatCode>
                <c:ptCount val="4"/>
                <c:pt idx="0">
                  <c:v>44926</c:v>
                </c:pt>
                <c:pt idx="1">
                  <c:v>45291</c:v>
                </c:pt>
                <c:pt idx="2">
                  <c:v>45657</c:v>
                </c:pt>
                <c:pt idx="3">
                  <c:v>46022</c:v>
                </c:pt>
              </c:numCache>
            </c:numRef>
          </c:cat>
          <c:val>
            <c:numRef>
              <c:f>Hoja1!$B$13:$E$13</c:f>
              <c:numCache>
                <c:formatCode>General</c:formatCode>
                <c:ptCount val="4"/>
                <c:pt idx="0">
                  <c:v>7.8</c:v>
                </c:pt>
                <c:pt idx="1">
                  <c:v>7.9</c:v>
                </c:pt>
                <c:pt idx="2">
                  <c:v>12.4</c:v>
                </c:pt>
                <c:pt idx="3">
                  <c:v>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8-4100-A507-8F9EC87DA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019344"/>
        <c:axId val="1087033264"/>
      </c:lineChart>
      <c:dateAx>
        <c:axId val="108701934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87033264"/>
        <c:crosses val="autoZero"/>
        <c:auto val="1"/>
        <c:lblOffset val="100"/>
        <c:baseTimeUnit val="years"/>
      </c:dateAx>
      <c:valAx>
        <c:axId val="10870332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870193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716280</xdr:colOff>
      <xdr:row>19</xdr:row>
      <xdr:rowOff>163830</xdr:rowOff>
    </xdr:from>
    <xdr:to>
      <xdr:col>12</xdr:col>
      <xdr:colOff>30480</xdr:colOff>
      <xdr:row>34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EF296E-5E46-F386-6593-1B7324E41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mena Silva" refreshedDate="45972.688683101849" createdVersion="8" refreshedVersion="8" minRefreshableVersion="3" recordCount="501" xr:uid="{D9E55B50-E065-433E-9926-08301E3BCB06}">
  <cacheSource type="worksheet">
    <worksheetSource ref="A1:AC502" sheet="Unificado"/>
  </cacheSource>
  <cacheFields count="29">
    <cacheField name="Id" numFmtId="0">
      <sharedItems containsSemiMixedTypes="0" containsString="0" containsNumber="1" minValue="14" maxValue="466"/>
    </cacheField>
    <cacheField name="Indicador" numFmtId="0">
      <sharedItems count="47">
        <s v="Total Población"/>
        <s v="Estudiantes Presencial"/>
        <s v="Estudiantes Virtual"/>
        <s v="Estudiantes Pregrado"/>
        <s v="Estudiantes Posgrado"/>
        <s v="Disponibilidad de servicios tecnológicos"/>
        <s v="Productos de investigación, innovación y creación"/>
        <s v="Lanzamiento de nuevos programas presencial"/>
        <s v="Lanzamiento de nuevos programas virtual"/>
        <s v="Nivel de Satisfacción Servicios Prestados - Comunicaciones Internas"/>
        <s v="Estudiantes vinculados a investigación"/>
        <s v="Porcentaje de cumplimiento del Acuerdo de Nivel de Servicio (ANS)"/>
        <s v="Índice de satisfacción del estudiante (SSI)"/>
        <s v="Nivel de efectividad de las capacitaciones"/>
        <s v="Great Place to Work"/>
        <s v="Cumplimiento de Ingresos"/>
        <s v="Caja"/>
        <s v="Utilidad Neta"/>
        <s v="Nivel de Cumplimiento Opex"/>
        <s v="Compensación de Gases de Efecto Invernadero"/>
        <s v="GreenMetric - Nacional"/>
        <s v="Permanencia Intersemestral"/>
        <s v="Total Matriculados antiguos"/>
        <s v="Relación Estudiante-Docente Tiempo completo"/>
        <s v="Relación estudiante docente Tiempo Completo Equivalente"/>
        <s v="Número de renovaciones de registro calificado"/>
        <s v="Número de programas nuevos con registro calificado aprobado"/>
        <s v="Nivel de empleabilidad del graduado"/>
        <s v="Índice de rotación"/>
        <s v="Resultado de la evaluación 360 (evaluación por competencias)"/>
        <s v="Cumplimiento de diagnóstico necesidades de capacitación por área"/>
        <s v="Programas acreditables acreditados Sede Bogotá"/>
        <s v="Índice de Inclusión"/>
        <s v="Impacto de actividades de Responsabilidad y proyección"/>
        <s v="Estudiantes con Becas"/>
        <s v="Participación de POLI- voluntariados (Estudiantes- Colaboradores)"/>
        <s v="Cumplimiento EBIDTA"/>
        <s v="CAPEX"/>
        <s v="Total estudiantes nuevos"/>
        <s v="Ingresos totales de educación para la vida"/>
        <s v="Total Ingresos B2B"/>
        <s v="Total Ingresos B2G"/>
        <s v="Otros ingresos (Cursos -Opciones de grado)"/>
        <s v="Brand equity"/>
        <s v="Conocimiento espontaneo"/>
        <s v="% de profesores (Contrato Indefinido- Fijo) impactados plan de desarrollo docente"/>
        <s v="NPS Estudiantes"/>
      </sharedItems>
    </cacheField>
    <cacheField name="Proceso" numFmtId="0">
      <sharedItems/>
    </cacheField>
    <cacheField name="Periodicidad" numFmtId="0">
      <sharedItems/>
    </cacheField>
    <cacheField name="Sentido" numFmtId="0">
      <sharedItems/>
    </cacheField>
    <cacheField name="Fecha" numFmtId="165">
      <sharedItems containsSemiMixedTypes="0" containsNonDate="0" containsDate="1" containsString="0" minDate="2017-12-31T00:00:00" maxDate="2026-01-01T00:00:00"/>
    </cacheField>
    <cacheField name="Año" numFmtId="0">
      <sharedItems containsSemiMixedTypes="0" containsString="0" containsNumber="1" containsInteger="1" minValue="2017" maxValue="2025"/>
    </cacheField>
    <cacheField name="Mes" numFmtId="0">
      <sharedItems/>
    </cacheField>
    <cacheField name="Periodo" numFmtId="0">
      <sharedItems count="17">
        <s v="2018-1"/>
        <s v="2018-2"/>
        <s v="2019-1"/>
        <s v="2019-2"/>
        <s v="2020-1"/>
        <s v="2020-2"/>
        <s v="2021-1"/>
        <s v="2021-2"/>
        <s v="2022-1"/>
        <s v="2022-2"/>
        <s v="2023-1"/>
        <s v="2023-2"/>
        <s v="2024-1"/>
        <s v="2024-2"/>
        <s v="2025-1"/>
        <s v="2025-2"/>
        <s v="2017-2"/>
      </sharedItems>
    </cacheField>
    <cacheField name="Semestre" numFmtId="0">
      <sharedItems containsString="0" containsBlank="1" containsNumber="1" containsInteger="1" minValue="1" maxValue="2" count="3">
        <n v="1"/>
        <n v="2"/>
        <m/>
      </sharedItems>
    </cacheField>
    <cacheField name="Meta" numFmtId="0">
      <sharedItems containsString="0" containsBlank="1" containsNumber="1" minValue="0" maxValue="289638.45267000003"/>
    </cacheField>
    <cacheField name="Ejecución" numFmtId="0">
      <sharedItems containsString="0" containsBlank="1" containsNumber="1" minValue="0" maxValue="309304.69728996162"/>
    </cacheField>
    <cacheField name="Cumplimiento" numFmtId="0">
      <sharedItems containsString="0" containsBlank="1" containsNumber="1" minValue="0" maxValue="1.3"/>
    </cacheField>
    <cacheField name="Cumplimiento Real" numFmtId="0">
      <sharedItems containsString="0" containsBlank="1" containsNumber="1" minValue="0" maxValue="4.4813311076464686"/>
    </cacheField>
    <cacheField name="Meta s" numFmtId="0">
      <sharedItems containsBlank="1"/>
    </cacheField>
    <cacheField name="Ejecución s" numFmtId="0">
      <sharedItems containsBlank="1"/>
    </cacheField>
    <cacheField name="Llave" numFmtId="0">
      <sharedItems/>
    </cacheField>
    <cacheField name="Decimales_Meta" numFmtId="0">
      <sharedItems containsSemiMixedTypes="0" containsString="0" containsNumber="1" containsInteger="1" minValue="0" maxValue="2"/>
    </cacheField>
    <cacheField name="Decimales_Ejecucion" numFmtId="0">
      <sharedItems containsSemiMixedTypes="0" containsString="0" containsNumber="1" containsInteger="1" minValue="0" maxValue="2"/>
    </cacheField>
    <cacheField name="Fuente" numFmtId="0">
      <sharedItems/>
    </cacheField>
    <cacheField name="Clasificación" numFmtId="0">
      <sharedItems/>
    </cacheField>
    <cacheField name="Subproceso" numFmtId="0">
      <sharedItems/>
    </cacheField>
    <cacheField name="Linea" numFmtId="0">
      <sharedItems/>
    </cacheField>
    <cacheField name="Objetivo" numFmtId="0">
      <sharedItems/>
    </cacheField>
    <cacheField name="Meta_PDI" numFmtId="0">
      <sharedItems containsBlank="1"/>
    </cacheField>
    <cacheField name="FACTOR" numFmtId="0">
      <sharedItems containsBlank="1"/>
    </cacheField>
    <cacheField name="CARACTERÍSTICA" numFmtId="0">
      <sharedItems containsBlank="1"/>
    </cacheField>
    <cacheField name="Tipo_Cierre" numFmtId="0">
      <sharedItems/>
    </cacheField>
    <cacheField name="Proyec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4"/>
    <x v="0"/>
    <s v="Servicio"/>
    <s v="Semestral"/>
    <s v="Positivo"/>
    <d v="2018-06-30T00:00:00"/>
    <n v="2018"/>
    <s v="Junio"/>
    <x v="0"/>
    <x v="0"/>
    <m/>
    <n v="49229"/>
    <m/>
    <m/>
    <s v="ENT"/>
    <s v="ENT"/>
    <s v="14-2018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18-12-31T00:00:00"/>
    <n v="2018"/>
    <s v="Diciembre"/>
    <x v="1"/>
    <x v="1"/>
    <m/>
    <n v="50701"/>
    <m/>
    <m/>
    <s v="ENT"/>
    <s v="ENT"/>
    <s v="14-2018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18-12-31T00:00:00"/>
    <n v="2018"/>
    <s v="Diciembre"/>
    <x v="1"/>
    <x v="2"/>
    <m/>
    <n v="50701"/>
    <m/>
    <m/>
    <s v="ENT"/>
    <s v="ENT"/>
    <s v="14-2018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Servicio"/>
    <s v="Semestral"/>
    <s v="Positivo"/>
    <d v="2019-06-30T00:00:00"/>
    <n v="2019"/>
    <s v="Junio"/>
    <x v="2"/>
    <x v="0"/>
    <m/>
    <n v="54495"/>
    <m/>
    <m/>
    <s v="ENT"/>
    <s v="ENT"/>
    <s v="14-2019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19-12-31T00:00:00"/>
    <n v="2019"/>
    <s v="Diciembre"/>
    <x v="3"/>
    <x v="1"/>
    <m/>
    <n v="53197"/>
    <m/>
    <m/>
    <s v="ENT"/>
    <s v="ENT"/>
    <s v="14-2019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19-12-31T00:00:00"/>
    <n v="2019"/>
    <s v="Diciembre"/>
    <x v="3"/>
    <x v="2"/>
    <m/>
    <n v="53197"/>
    <m/>
    <m/>
    <s v="ENT"/>
    <s v="ENT"/>
    <s v="14-2019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Servicio"/>
    <s v="Semestral"/>
    <s v="Positivo"/>
    <d v="2020-06-30T00:00:00"/>
    <n v="2020"/>
    <s v="Junio"/>
    <x v="4"/>
    <x v="0"/>
    <m/>
    <n v="55541"/>
    <m/>
    <m/>
    <s v="ENT"/>
    <s v="ENT"/>
    <s v="14-2020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0-12-31T00:00:00"/>
    <n v="2020"/>
    <s v="Diciembre"/>
    <x v="5"/>
    <x v="1"/>
    <m/>
    <n v="51195"/>
    <m/>
    <m/>
    <s v="ENT"/>
    <s v="ENT"/>
    <s v="14-2020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0-12-31T00:00:00"/>
    <n v="2020"/>
    <s v="Diciembre"/>
    <x v="5"/>
    <x v="2"/>
    <m/>
    <n v="51195"/>
    <m/>
    <m/>
    <s v="ENT"/>
    <s v="ENT"/>
    <s v="14-2020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Servicio"/>
    <s v="Semestral"/>
    <s v="Positivo"/>
    <d v="2021-06-30T00:00:00"/>
    <n v="2021"/>
    <s v="Junio"/>
    <x v="6"/>
    <x v="0"/>
    <m/>
    <n v="51694"/>
    <m/>
    <m/>
    <s v="ENT"/>
    <s v="ENT"/>
    <s v="14-2021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1-12-31T00:00:00"/>
    <n v="2021"/>
    <s v="Diciembre"/>
    <x v="7"/>
    <x v="1"/>
    <m/>
    <n v="49166"/>
    <m/>
    <m/>
    <s v="ENT"/>
    <s v="ENT"/>
    <s v="14-2021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1-12-31T00:00:00"/>
    <n v="2021"/>
    <s v="Diciembre"/>
    <x v="7"/>
    <x v="2"/>
    <m/>
    <n v="49166"/>
    <m/>
    <m/>
    <s v="ENT"/>
    <s v="ENT"/>
    <s v="14-2021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Servicio"/>
    <s v="Semestral"/>
    <s v="Positivo"/>
    <d v="2022-06-30T00:00:00"/>
    <n v="2022"/>
    <s v="Junio"/>
    <x v="8"/>
    <x v="0"/>
    <n v="49004"/>
    <n v="51012"/>
    <n v="1.040976246836993"/>
    <n v="1.040976246836993"/>
    <s v="ENT"/>
    <s v="ENT"/>
    <s v="14-2022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Servicio"/>
    <s v="Semestral"/>
    <s v="Positivo"/>
    <d v="2022-12-31T00:00:00"/>
    <n v="2022"/>
    <s v="Diciembre"/>
    <x v="9"/>
    <x v="1"/>
    <n v="50430"/>
    <n v="50241"/>
    <n v="0.99625223081499104"/>
    <n v="0.99625223081499104"/>
    <s v="ENT"/>
    <s v="ENT"/>
    <s v="14-2022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2-12-31T00:00:00"/>
    <n v="2022"/>
    <s v="Diciembre"/>
    <x v="9"/>
    <x v="2"/>
    <n v="50430"/>
    <n v="50241"/>
    <n v="0.99625223081499104"/>
    <n v="0.99625223081499104"/>
    <s v="ENT"/>
    <s v="ENT"/>
    <s v="14-2022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Servicio"/>
    <s v="Semestral"/>
    <s v="Positivo"/>
    <d v="2023-06-30T00:00:00"/>
    <n v="2023"/>
    <s v="Junio"/>
    <x v="10"/>
    <x v="0"/>
    <n v="52177"/>
    <n v="51473"/>
    <n v="0.98650746497498898"/>
    <n v="0.98650746497498898"/>
    <s v="ENT"/>
    <s v="ENT"/>
    <s v="14-2023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Servicio"/>
    <s v="Semestral"/>
    <s v="Positivo"/>
    <d v="2023-12-31T00:00:00"/>
    <n v="2023"/>
    <s v="Diciembre"/>
    <x v="11"/>
    <x v="1"/>
    <n v="51687"/>
    <n v="51375"/>
    <n v="0.99396366591212493"/>
    <n v="0.99396366591212493"/>
    <s v="ENT"/>
    <s v="ENT"/>
    <s v="14-2023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3-12-31T00:00:00"/>
    <n v="2023"/>
    <s v="Diciembre"/>
    <x v="11"/>
    <x v="2"/>
    <n v="51687"/>
    <n v="51375"/>
    <n v="0.99396366591212493"/>
    <n v="0.99396366591212493"/>
    <s v="ENT"/>
    <s v="ENT"/>
    <s v="14-2023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Servicio"/>
    <s v="Semestral"/>
    <s v="Positivo"/>
    <d v="2024-06-30T00:00:00"/>
    <n v="2024"/>
    <s v="Junio"/>
    <x v="12"/>
    <x v="0"/>
    <n v="52403.186118801452"/>
    <n v="52585"/>
    <n v="1.00346951959727"/>
    <n v="1.00346951959727"/>
    <s v="ENT"/>
    <s v="ENT"/>
    <s v="14-2024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Servicio"/>
    <s v="Semestral"/>
    <s v="Positivo"/>
    <d v="2024-12-31T00:00:00"/>
    <n v="2024"/>
    <s v="Diciembre"/>
    <x v="13"/>
    <x v="1"/>
    <n v="51116.334115206948"/>
    <n v="52005"/>
    <n v="1.017385164647961"/>
    <n v="1.017385164647961"/>
    <s v="ENT"/>
    <s v="ENT"/>
    <s v="14-2024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4-12-31T00:00:00"/>
    <n v="2024"/>
    <s v="Diciembre"/>
    <x v="13"/>
    <x v="2"/>
    <n v="51116.334115206948"/>
    <n v="52005"/>
    <n v="1.017385164647961"/>
    <n v="1.017385164647961"/>
    <s v="ENT"/>
    <s v="ENT"/>
    <s v="14-2024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5-06-30T00:00:00"/>
    <n v="2025"/>
    <s v="Junio"/>
    <x v="14"/>
    <x v="0"/>
    <n v="53634"/>
    <n v="56505"/>
    <n v="1.053509834995805"/>
    <n v="1.053509834995805"/>
    <s v="ENT"/>
    <s v="ENT"/>
    <s v="14-2025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5-12-31T00:00:00"/>
    <n v="2025"/>
    <s v="Diciembre"/>
    <x v="15"/>
    <x v="1"/>
    <m/>
    <n v="56935"/>
    <m/>
    <m/>
    <s v="ENT"/>
    <s v="ENT"/>
    <s v="14-2025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"/>
    <x v="0"/>
    <s v="Permanencia"/>
    <s v="Semestral"/>
    <s v="Positivo"/>
    <d v="2025-12-31T00:00:00"/>
    <n v="2025"/>
    <s v="Diciembre"/>
    <x v="15"/>
    <x v="2"/>
    <m/>
    <n v="56935"/>
    <n v="1.053509834995805"/>
    <n v="1.053509834995805"/>
    <s v="ENT"/>
    <s v="ENT"/>
    <s v="14-2025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Último valor"/>
    <s v="Semestral"/>
  </r>
  <r>
    <n v="14.1"/>
    <x v="1"/>
    <s v="Permanencia"/>
    <s v="Semestral"/>
    <s v="Positivo"/>
    <d v="2018-06-30T00:00:00"/>
    <n v="2018"/>
    <s v="Junio"/>
    <x v="0"/>
    <x v="0"/>
    <m/>
    <n v="10066"/>
    <m/>
    <m/>
    <s v="ENT"/>
    <s v="ENT"/>
    <s v="14.1-2018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18-12-31T00:00:00"/>
    <n v="2018"/>
    <s v="Diciembre"/>
    <x v="1"/>
    <x v="1"/>
    <m/>
    <n v="9830"/>
    <m/>
    <m/>
    <s v="ENT"/>
    <s v="ENT"/>
    <s v="14.1-2018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18-12-31T00:00:00"/>
    <n v="2018"/>
    <s v="Diciembre"/>
    <x v="1"/>
    <x v="2"/>
    <m/>
    <n v="19896"/>
    <m/>
    <m/>
    <s v="ENT"/>
    <s v="ENT"/>
    <s v="14.1-2018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19-06-30T00:00:00"/>
    <n v="2019"/>
    <s v="Junio"/>
    <x v="2"/>
    <x v="0"/>
    <m/>
    <n v="9864"/>
    <m/>
    <m/>
    <s v="ENT"/>
    <s v="ENT"/>
    <s v="14.1-2019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19-12-31T00:00:00"/>
    <n v="2019"/>
    <s v="Diciembre"/>
    <x v="3"/>
    <x v="1"/>
    <m/>
    <n v="9586"/>
    <m/>
    <m/>
    <s v="ENT"/>
    <s v="ENT"/>
    <s v="14.1-2019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19-12-31T00:00:00"/>
    <n v="2019"/>
    <s v="Diciembre"/>
    <x v="3"/>
    <x v="2"/>
    <m/>
    <n v="19450"/>
    <m/>
    <m/>
    <s v="ENT"/>
    <s v="ENT"/>
    <s v="14.1-2019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0-06-30T00:00:00"/>
    <n v="2020"/>
    <s v="Junio"/>
    <x v="4"/>
    <x v="0"/>
    <m/>
    <n v="9828"/>
    <m/>
    <m/>
    <s v="ENT"/>
    <s v="ENT"/>
    <s v="14.1-2020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0-12-31T00:00:00"/>
    <n v="2020"/>
    <s v="Diciembre"/>
    <x v="5"/>
    <x v="1"/>
    <m/>
    <n v="7748"/>
    <m/>
    <m/>
    <s v="ENT"/>
    <s v="ENT"/>
    <s v="14.1-2020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0-12-31T00:00:00"/>
    <n v="2020"/>
    <s v="Diciembre"/>
    <x v="5"/>
    <x v="2"/>
    <m/>
    <n v="17576"/>
    <m/>
    <m/>
    <s v="ENT"/>
    <s v="ENT"/>
    <s v="14.1-2020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1-06-30T00:00:00"/>
    <n v="2021"/>
    <s v="Junio"/>
    <x v="6"/>
    <x v="0"/>
    <m/>
    <n v="8125"/>
    <m/>
    <m/>
    <s v="ENT"/>
    <s v="ENT"/>
    <s v="14.1-2021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1-12-31T00:00:00"/>
    <n v="2021"/>
    <s v="Diciembre"/>
    <x v="7"/>
    <x v="1"/>
    <m/>
    <n v="7626"/>
    <m/>
    <m/>
    <s v="ENT"/>
    <s v="ENT"/>
    <s v="14.1-2021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1-12-31T00:00:00"/>
    <n v="2021"/>
    <s v="Diciembre"/>
    <x v="7"/>
    <x v="2"/>
    <m/>
    <n v="15751"/>
    <m/>
    <m/>
    <s v="ENT"/>
    <s v="ENT"/>
    <s v="14.1-2021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Servicio"/>
    <s v="Semestral"/>
    <s v="Positivo"/>
    <d v="2022-06-30T00:00:00"/>
    <n v="2022"/>
    <s v="Junio"/>
    <x v="8"/>
    <x v="0"/>
    <n v="7541"/>
    <n v="7651"/>
    <n v="1.0145869248110331"/>
    <n v="1.0145869248110331"/>
    <s v="ENT"/>
    <s v="ENT"/>
    <s v="14.1-2022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Servicio"/>
    <s v="Semestral"/>
    <s v="Positivo"/>
    <d v="2022-12-31T00:00:00"/>
    <n v="2022"/>
    <s v="Diciembre"/>
    <x v="9"/>
    <x v="1"/>
    <n v="6730"/>
    <n v="7539"/>
    <n v="1.1202080237741461"/>
    <n v="1.1202080237741461"/>
    <s v="ENT"/>
    <s v="ENT"/>
    <s v="14.1-2022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2-12-31T00:00:00"/>
    <n v="2022"/>
    <s v="Diciembre"/>
    <x v="9"/>
    <x v="2"/>
    <n v="14271"/>
    <n v="15190"/>
    <n v="1.0643963282180651"/>
    <n v="1.0643963282180651"/>
    <s v="ENT"/>
    <s v="ENT"/>
    <s v="14.1-2022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Servicio"/>
    <s v="Semestral"/>
    <s v="Positivo"/>
    <d v="2023-06-30T00:00:00"/>
    <n v="2023"/>
    <s v="Junio"/>
    <x v="10"/>
    <x v="0"/>
    <n v="7822"/>
    <n v="7912"/>
    <n v="1.0115060086934291"/>
    <n v="1.0115060086934291"/>
    <s v="ENT"/>
    <s v="ENT"/>
    <s v="14.1-2023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3-12-31T00:00:00"/>
    <n v="2023"/>
    <s v="Diciembre"/>
    <x v="11"/>
    <x v="1"/>
    <n v="7620"/>
    <n v="8066"/>
    <n v="1.058530183727034"/>
    <n v="1.058530183727034"/>
    <s v="ENT"/>
    <s v="ENT"/>
    <s v="14.1-2023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3-12-31T00:00:00"/>
    <n v="2023"/>
    <s v="Diciembre"/>
    <x v="11"/>
    <x v="2"/>
    <n v="15442"/>
    <n v="15978"/>
    <n v="1.034710529724129"/>
    <n v="1.034710529724129"/>
    <s v="ENT"/>
    <s v="ENT"/>
    <s v="14.1-2023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4-06-30T00:00:00"/>
    <n v="2024"/>
    <s v="Junio"/>
    <x v="12"/>
    <x v="0"/>
    <n v="8168"/>
    <n v="8424"/>
    <n v="1.031341821743389"/>
    <n v="1.031341821743389"/>
    <s v="ENT"/>
    <s v="ENT"/>
    <s v="14.1-2024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4-12-31T00:00:00"/>
    <n v="2024"/>
    <s v="Diciembre"/>
    <x v="13"/>
    <x v="1"/>
    <n v="7912"/>
    <n v="8165"/>
    <n v="1.031976744186047"/>
    <n v="1.031976744186047"/>
    <s v="ENT"/>
    <s v="ENT"/>
    <s v="14.1-2024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4-12-31T00:00:00"/>
    <n v="2024"/>
    <s v="Diciembre"/>
    <x v="13"/>
    <x v="2"/>
    <n v="16080"/>
    <n v="16589"/>
    <n v="1.0316542288557209"/>
    <n v="1.0316542288557209"/>
    <s v="ENT"/>
    <s v="ENT"/>
    <s v="14.1-2024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5-06-30T00:00:00"/>
    <n v="2025"/>
    <s v="Junio"/>
    <x v="14"/>
    <x v="0"/>
    <n v="8471"/>
    <n v="8743"/>
    <n v="1.0321095502301969"/>
    <n v="1.0321095502301969"/>
    <s v="ENT"/>
    <s v="ENT"/>
    <s v="14.1-2025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5-12-31T00:00:00"/>
    <n v="2025"/>
    <s v="Diciembre"/>
    <x v="15"/>
    <x v="1"/>
    <m/>
    <n v="8742"/>
    <m/>
    <m/>
    <s v="ENT"/>
    <s v="ENT"/>
    <s v="14.1-2025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1"/>
    <x v="1"/>
    <s v="Permanencia"/>
    <s v="Semestral"/>
    <s v="Positivo"/>
    <d v="2025-12-31T00:00:00"/>
    <n v="2025"/>
    <s v="Diciembre"/>
    <x v="15"/>
    <x v="2"/>
    <m/>
    <n v="17485"/>
    <n v="1.0321095502301969"/>
    <n v="1.0321095502301969"/>
    <s v="ENT"/>
    <s v="ENT"/>
    <s v="14.1-2025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Servicio"/>
    <s v="Semestral"/>
    <s v="Positivo"/>
    <d v="2018-06-30T00:00:00"/>
    <n v="2018"/>
    <s v="Junio"/>
    <x v="0"/>
    <x v="0"/>
    <m/>
    <n v="39163"/>
    <m/>
    <m/>
    <s v="ENT"/>
    <s v="ENT"/>
    <s v="14.2-2018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18-12-31T00:00:00"/>
    <n v="2018"/>
    <s v="Diciembre"/>
    <x v="1"/>
    <x v="1"/>
    <m/>
    <n v="40871"/>
    <m/>
    <m/>
    <s v="ENT"/>
    <s v="ENT"/>
    <s v="14.2-2018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18-12-31T00:00:00"/>
    <n v="2018"/>
    <s v="Diciembre"/>
    <x v="1"/>
    <x v="2"/>
    <m/>
    <n v="80034"/>
    <m/>
    <m/>
    <s v="ENT"/>
    <s v="ENT"/>
    <s v="14.2-2018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Servicio"/>
    <s v="Semestral"/>
    <s v="Positivo"/>
    <d v="2019-06-30T00:00:00"/>
    <n v="2019"/>
    <s v="Junio"/>
    <x v="2"/>
    <x v="0"/>
    <m/>
    <n v="44631"/>
    <m/>
    <m/>
    <s v="ENT"/>
    <s v="ENT"/>
    <s v="14.2-2019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19-12-31T00:00:00"/>
    <n v="2019"/>
    <s v="Diciembre"/>
    <x v="3"/>
    <x v="1"/>
    <m/>
    <n v="43611"/>
    <m/>
    <m/>
    <s v="ENT"/>
    <s v="ENT"/>
    <s v="14.2-2019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19-12-31T00:00:00"/>
    <n v="2019"/>
    <s v="Diciembre"/>
    <x v="3"/>
    <x v="2"/>
    <m/>
    <n v="88242"/>
    <m/>
    <m/>
    <s v="ENT"/>
    <s v="ENT"/>
    <s v="14.2-2019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Servicio"/>
    <s v="Semestral"/>
    <s v="Positivo"/>
    <d v="2020-06-30T00:00:00"/>
    <n v="2020"/>
    <s v="Junio"/>
    <x v="4"/>
    <x v="0"/>
    <m/>
    <n v="45713"/>
    <m/>
    <m/>
    <s v="ENT"/>
    <s v="ENT"/>
    <s v="14.2-2020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0-12-31T00:00:00"/>
    <n v="2020"/>
    <s v="Diciembre"/>
    <x v="5"/>
    <x v="1"/>
    <m/>
    <n v="43447"/>
    <m/>
    <m/>
    <s v="ENT"/>
    <s v="ENT"/>
    <s v="14.2-2020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0-12-31T00:00:00"/>
    <n v="2020"/>
    <s v="Diciembre"/>
    <x v="5"/>
    <x v="2"/>
    <m/>
    <n v="89160"/>
    <m/>
    <m/>
    <s v="ENT"/>
    <s v="ENT"/>
    <s v="14.2-2020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Servicio"/>
    <s v="Semestral"/>
    <s v="Positivo"/>
    <d v="2021-06-30T00:00:00"/>
    <n v="2021"/>
    <s v="Junio"/>
    <x v="6"/>
    <x v="0"/>
    <m/>
    <n v="43569"/>
    <m/>
    <m/>
    <s v="ENT"/>
    <s v="ENT"/>
    <s v="14.2-2021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1-12-31T00:00:00"/>
    <n v="2021"/>
    <s v="Diciembre"/>
    <x v="7"/>
    <x v="1"/>
    <m/>
    <n v="41540"/>
    <m/>
    <m/>
    <s v="ENT"/>
    <s v="ENT"/>
    <s v="14.2-2021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1-12-31T00:00:00"/>
    <n v="2021"/>
    <s v="Diciembre"/>
    <x v="7"/>
    <x v="2"/>
    <m/>
    <n v="85109"/>
    <m/>
    <m/>
    <s v="ENT"/>
    <s v="ENT"/>
    <s v="14.2-2021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Servicio"/>
    <s v="Semestral"/>
    <s v="Positivo"/>
    <d v="2022-06-30T00:00:00"/>
    <n v="2022"/>
    <s v="Junio"/>
    <x v="8"/>
    <x v="0"/>
    <n v="42889"/>
    <n v="43361"/>
    <n v="1.010958520832848"/>
    <n v="1.010958520832848"/>
    <s v="ENT"/>
    <s v="ENT"/>
    <s v="14.2-2022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Servicio"/>
    <s v="Semestral"/>
    <s v="Positivo"/>
    <d v="2022-12-31T00:00:00"/>
    <n v="2022"/>
    <s v="Diciembre"/>
    <x v="9"/>
    <x v="1"/>
    <n v="42274"/>
    <n v="42702"/>
    <n v="1.0100534607560201"/>
    <n v="1.0100534607560201"/>
    <s v="ENT"/>
    <s v="ENT"/>
    <s v="14.2-2022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Servicio"/>
    <s v="Semestral"/>
    <s v="Positivo"/>
    <d v="2022-12-31T00:00:00"/>
    <n v="2022"/>
    <s v="Diciembre"/>
    <x v="9"/>
    <x v="2"/>
    <n v="85163"/>
    <n v="86063"/>
    <n v="1.010509258715639"/>
    <n v="1.010509258715639"/>
    <s v="ENT"/>
    <s v="ENT"/>
    <s v="14.2-2022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Servicio"/>
    <s v="Semestral"/>
    <s v="Positivo"/>
    <d v="2023-06-30T00:00:00"/>
    <n v="2023"/>
    <s v="Junio"/>
    <x v="10"/>
    <x v="0"/>
    <n v="44355"/>
    <n v="43561"/>
    <n v="0.98209897418554837"/>
    <n v="0.98209897418554837"/>
    <s v="ENT"/>
    <s v="ENT"/>
    <s v="14.2-2023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3-12-31T00:00:00"/>
    <n v="2023"/>
    <s v="Diciembre"/>
    <x v="11"/>
    <x v="1"/>
    <n v="44067"/>
    <n v="43309"/>
    <n v="0.98277622710872081"/>
    <n v="0.98277622710872081"/>
    <s v="ENT"/>
    <s v="ENT"/>
    <s v="14.2-2023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3-12-31T00:00:00"/>
    <n v="2023"/>
    <s v="Diciembre"/>
    <x v="11"/>
    <x v="2"/>
    <n v="88422"/>
    <n v="86870"/>
    <n v="0.98243649770419128"/>
    <n v="0.98243649770419128"/>
    <s v="ENT"/>
    <s v="ENT"/>
    <s v="14.2-2023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4-06-30T00:00:00"/>
    <n v="2024"/>
    <s v="Junio"/>
    <x v="12"/>
    <x v="0"/>
    <n v="44235"/>
    <n v="44161"/>
    <n v="0.99832711653667905"/>
    <n v="1.0007686047563069"/>
    <s v="ENT"/>
    <s v="ENT"/>
    <s v="14.2-2024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4-12-31T00:00:00"/>
    <n v="2024"/>
    <s v="Diciembre"/>
    <x v="13"/>
    <x v="1"/>
    <n v="43204"/>
    <n v="43840"/>
    <n v="1.0147208591797059"/>
    <n v="1.0007686047563069"/>
    <s v="ENT"/>
    <s v="ENT"/>
    <s v="14.2-2024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4-12-31T00:00:00"/>
    <n v="2024"/>
    <s v="Diciembre"/>
    <x v="13"/>
    <x v="2"/>
    <n v="87439"/>
    <n v="88001"/>
    <n v="1.006427337915575"/>
    <n v="1.006427337915575"/>
    <s v="ENT"/>
    <s v="ENT"/>
    <s v="14.2-2024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5-06-30T00:00:00"/>
    <n v="2025"/>
    <s v="Junio"/>
    <x v="14"/>
    <x v="0"/>
    <n v="45163"/>
    <n v="47762"/>
    <n v="1.0575236914356569"/>
    <n v="1.0575236914356569"/>
    <s v="ENT"/>
    <s v="ENT"/>
    <s v="14.2-2025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5-12-31T00:00:00"/>
    <n v="2025"/>
    <s v="Diciembre"/>
    <x v="15"/>
    <x v="1"/>
    <m/>
    <n v="48193"/>
    <m/>
    <m/>
    <s v="ENT"/>
    <s v="ENT"/>
    <s v="14.2-2025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2"/>
    <x v="2"/>
    <s v="Permanencia"/>
    <s v="Semestral"/>
    <s v="Positivo"/>
    <d v="2025-12-31T00:00:00"/>
    <n v="2025"/>
    <s v="Diciembre"/>
    <x v="15"/>
    <x v="2"/>
    <m/>
    <n v="95955"/>
    <m/>
    <m/>
    <s v="ENT"/>
    <s v="ENT"/>
    <s v="14.2-2025-06-30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18-06-30T00:00:00"/>
    <n v="2018"/>
    <s v="Junio"/>
    <x v="0"/>
    <x v="0"/>
    <m/>
    <n v="47522"/>
    <m/>
    <m/>
    <s v="ENT"/>
    <s v="ENT"/>
    <s v="14.3-2018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18-12-31T00:00:00"/>
    <n v="2018"/>
    <s v="Diciembre"/>
    <x v="1"/>
    <x v="1"/>
    <m/>
    <n v="48925"/>
    <m/>
    <m/>
    <s v="ENT"/>
    <s v="ENT"/>
    <s v="14.3-2018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18-12-31T00:00:00"/>
    <n v="2018"/>
    <s v="Diciembre"/>
    <x v="1"/>
    <x v="2"/>
    <m/>
    <n v="96447"/>
    <m/>
    <m/>
    <s v="ENT"/>
    <s v="ENT"/>
    <s v="14.3-2018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19-06-30T00:00:00"/>
    <n v="2019"/>
    <s v="Junio"/>
    <x v="2"/>
    <x v="0"/>
    <m/>
    <n v="52526"/>
    <m/>
    <m/>
    <s v="ENT"/>
    <s v="ENT"/>
    <s v="14.3-2019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19-12-31T00:00:00"/>
    <n v="2019"/>
    <s v="Diciembre"/>
    <x v="3"/>
    <x v="1"/>
    <m/>
    <n v="51296"/>
    <m/>
    <m/>
    <s v="ENT"/>
    <s v="ENT"/>
    <s v="14.3-2019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19-12-31T00:00:00"/>
    <n v="2019"/>
    <s v="Diciembre"/>
    <x v="3"/>
    <x v="2"/>
    <m/>
    <n v="103822"/>
    <m/>
    <m/>
    <s v="ENT"/>
    <s v="ENT"/>
    <s v="14.3-2019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0-06-30T00:00:00"/>
    <n v="2020"/>
    <s v="Junio"/>
    <x v="4"/>
    <x v="0"/>
    <m/>
    <n v="53450"/>
    <m/>
    <m/>
    <s v="ENT"/>
    <s v="ENT"/>
    <s v="14.3-2020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0-12-31T00:00:00"/>
    <n v="2020"/>
    <s v="Diciembre"/>
    <x v="5"/>
    <x v="1"/>
    <m/>
    <n v="49051"/>
    <m/>
    <m/>
    <s v="ENT"/>
    <s v="ENT"/>
    <s v="14.3-2020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0-12-31T00:00:00"/>
    <n v="2020"/>
    <s v="Diciembre"/>
    <x v="5"/>
    <x v="2"/>
    <m/>
    <n v="102501"/>
    <m/>
    <m/>
    <s v="ENT"/>
    <s v="ENT"/>
    <s v="14.3-2020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1-06-30T00:00:00"/>
    <n v="2021"/>
    <s v="Junio"/>
    <x v="6"/>
    <x v="0"/>
    <m/>
    <n v="49449"/>
    <m/>
    <m/>
    <s v="ENT"/>
    <s v="ENT"/>
    <s v="14.3-2021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1-12-31T00:00:00"/>
    <n v="2021"/>
    <s v="Diciembre"/>
    <x v="7"/>
    <x v="1"/>
    <m/>
    <n v="47079"/>
    <m/>
    <m/>
    <s v="ENT"/>
    <s v="ENT"/>
    <s v="14.3-2021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1-12-31T00:00:00"/>
    <n v="2021"/>
    <s v="Diciembre"/>
    <x v="7"/>
    <x v="2"/>
    <m/>
    <n v="96528"/>
    <m/>
    <m/>
    <s v="ENT"/>
    <s v="ENT"/>
    <s v="14.3-2021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2-06-30T00:00:00"/>
    <n v="2022"/>
    <s v="Junio"/>
    <x v="8"/>
    <x v="0"/>
    <n v="48022"/>
    <n v="48614"/>
    <n v="1.012327683145225"/>
    <n v="1.012327683145225"/>
    <s v="ENT"/>
    <s v="ENT"/>
    <s v="14.3-2022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2-12-31T00:00:00"/>
    <n v="2022"/>
    <s v="Diciembre"/>
    <x v="9"/>
    <x v="1"/>
    <n v="46674"/>
    <n v="47631"/>
    <n v="1.020503920812444"/>
    <n v="1.020503920812444"/>
    <s v="ENT"/>
    <s v="ENT"/>
    <s v="14.3-2022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2-12-31T00:00:00"/>
    <n v="2022"/>
    <s v="Diciembre"/>
    <x v="9"/>
    <x v="2"/>
    <n v="94696"/>
    <n v="96245"/>
    <n v="1.016357607501901"/>
    <n v="1.016357607501901"/>
    <s v="ENT"/>
    <s v="ENT"/>
    <s v="14.3-2022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3-06-30T00:00:00"/>
    <n v="2023"/>
    <s v="Junio"/>
    <x v="10"/>
    <x v="0"/>
    <n v="49451"/>
    <n v="48483"/>
    <n v="0.98042506723827627"/>
    <n v="0.98042506723827627"/>
    <s v="ENT"/>
    <s v="ENT"/>
    <s v="14.3-2023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3-12-31T00:00:00"/>
    <n v="2023"/>
    <s v="Diciembre"/>
    <x v="11"/>
    <x v="1"/>
    <n v="48891"/>
    <n v="48047"/>
    <n v="0.98273710907938061"/>
    <n v="0.98273710907938061"/>
    <s v="ENT"/>
    <s v="ENT"/>
    <s v="14.3-2023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3-12-31T00:00:00"/>
    <n v="2023"/>
    <s v="Diciembre"/>
    <x v="11"/>
    <x v="2"/>
    <n v="98342"/>
    <n v="96530"/>
    <n v="0.98157450529783818"/>
    <n v="0.98157450529783818"/>
    <s v="ENT"/>
    <s v="ENT"/>
    <s v="14.3-2023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4-06-30T00:00:00"/>
    <n v="2024"/>
    <s v="Junio"/>
    <x v="12"/>
    <x v="0"/>
    <n v="49310"/>
    <n v="49100"/>
    <n v="0.99574122895964312"/>
    <n v="0.99574122895964312"/>
    <s v="ENT"/>
    <s v="ENT"/>
    <s v="14.3-2024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4-12-31T00:00:00"/>
    <n v="2024"/>
    <s v="Diciembre"/>
    <x v="13"/>
    <x v="1"/>
    <n v="48061"/>
    <n v="48339"/>
    <n v="1.005784315765381"/>
    <n v="1.005784315765381"/>
    <s v="ENT"/>
    <s v="ENT"/>
    <s v="14.3-2024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4-12-31T00:00:00"/>
    <n v="2024"/>
    <s v="Diciembre"/>
    <x v="13"/>
    <x v="2"/>
    <n v="97371"/>
    <n v="97439"/>
    <n v="1.0006983598812791"/>
    <n v="1.0006983598812791"/>
    <s v="ENT"/>
    <s v="ENT"/>
    <s v="14.3-2024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5-06-30T00:00:00"/>
    <n v="2025"/>
    <s v="Junio"/>
    <x v="14"/>
    <x v="0"/>
    <n v="49640"/>
    <n v="52096"/>
    <n v="1.0494550875284541"/>
    <n v="1.0494550875284541"/>
    <s v="ENT"/>
    <s v="ENT"/>
    <s v="14.3-2025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5-12-31T00:00:00"/>
    <n v="2025"/>
    <s v="Diciembre"/>
    <x v="15"/>
    <x v="1"/>
    <n v="49176"/>
    <n v="52279"/>
    <n v="1"/>
    <n v="1"/>
    <s v="ENT"/>
    <s v="ENT"/>
    <s v="14.3-2025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3"/>
    <x v="3"/>
    <s v="Permanencia"/>
    <s v="Semestral"/>
    <s v="Positivo"/>
    <d v="2025-12-31T00:00:00"/>
    <n v="2025"/>
    <s v="Diciembre"/>
    <x v="15"/>
    <x v="2"/>
    <m/>
    <n v="104375"/>
    <m/>
    <m/>
    <s v="ENT"/>
    <s v="ENT"/>
    <s v="14.3-2025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18-06-30T00:00:00"/>
    <n v="2018"/>
    <s v="Junio"/>
    <x v="0"/>
    <x v="0"/>
    <m/>
    <n v="1707"/>
    <m/>
    <m/>
    <s v="ENT"/>
    <s v="ENT"/>
    <s v="14.4-2018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18-12-31T00:00:00"/>
    <n v="2018"/>
    <s v="Diciembre"/>
    <x v="1"/>
    <x v="1"/>
    <m/>
    <n v="1776"/>
    <m/>
    <m/>
    <s v="ENT"/>
    <s v="ENT"/>
    <s v="14.4-2018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18-12-31T00:00:00"/>
    <n v="2018"/>
    <s v="Diciembre"/>
    <x v="1"/>
    <x v="2"/>
    <m/>
    <n v="3483"/>
    <m/>
    <m/>
    <s v="ENT"/>
    <s v="ENT"/>
    <s v="14.4-2018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19-06-30T00:00:00"/>
    <n v="2019"/>
    <s v="Junio"/>
    <x v="2"/>
    <x v="0"/>
    <m/>
    <n v="1969"/>
    <m/>
    <m/>
    <s v="ENT"/>
    <s v="ENT"/>
    <s v="14.4-2019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19-12-31T00:00:00"/>
    <n v="2019"/>
    <s v="Diciembre"/>
    <x v="3"/>
    <x v="1"/>
    <m/>
    <n v="1901"/>
    <m/>
    <m/>
    <s v="ENT"/>
    <s v="ENT"/>
    <s v="14.4-2019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19-12-31T00:00:00"/>
    <n v="2019"/>
    <s v="Diciembre"/>
    <x v="3"/>
    <x v="2"/>
    <m/>
    <n v="3870"/>
    <m/>
    <m/>
    <s v="ENT"/>
    <s v="ENT"/>
    <s v="14.4-2019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0-06-30T00:00:00"/>
    <n v="2020"/>
    <s v="Junio"/>
    <x v="4"/>
    <x v="0"/>
    <m/>
    <n v="2091"/>
    <m/>
    <m/>
    <s v="ENT"/>
    <s v="ENT"/>
    <s v="14.4-2020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0-12-31T00:00:00"/>
    <n v="2020"/>
    <s v="Diciembre"/>
    <x v="5"/>
    <x v="1"/>
    <m/>
    <n v="2144"/>
    <m/>
    <m/>
    <s v="ENT"/>
    <s v="ENT"/>
    <s v="14.4-2020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0-12-31T00:00:00"/>
    <n v="2020"/>
    <s v="Diciembre"/>
    <x v="5"/>
    <x v="2"/>
    <m/>
    <n v="4235"/>
    <m/>
    <m/>
    <s v="ENT"/>
    <s v="ENT"/>
    <s v="14.4-2020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1-06-30T00:00:00"/>
    <n v="2021"/>
    <s v="Junio"/>
    <x v="6"/>
    <x v="0"/>
    <m/>
    <n v="2245"/>
    <m/>
    <m/>
    <s v="ENT"/>
    <s v="ENT"/>
    <s v="14.4-2021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1-12-31T00:00:00"/>
    <n v="2021"/>
    <s v="Diciembre"/>
    <x v="7"/>
    <x v="1"/>
    <m/>
    <n v="2087"/>
    <m/>
    <m/>
    <s v="ENT"/>
    <s v="ENT"/>
    <s v="14.4-2021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1-12-31T00:00:00"/>
    <n v="2021"/>
    <s v="Diciembre"/>
    <x v="7"/>
    <x v="2"/>
    <m/>
    <n v="4332"/>
    <m/>
    <m/>
    <s v="ENT"/>
    <s v="ENT"/>
    <s v="14.4-2021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2-06-30T00:00:00"/>
    <n v="2022"/>
    <s v="Junio"/>
    <x v="8"/>
    <x v="0"/>
    <n v="2408"/>
    <n v="2398"/>
    <n v="0.99584717607973416"/>
    <n v="0.99584717607973416"/>
    <s v="ENT"/>
    <s v="ENT"/>
    <s v="14.4-2022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2-12-30T00:00:00"/>
    <n v="2022"/>
    <s v="Diciembre"/>
    <x v="9"/>
    <x v="1"/>
    <n v="2230"/>
    <n v="2610"/>
    <n v="1.170403587443946"/>
    <n v="1.170403587443946"/>
    <s v="ENT"/>
    <s v="ENT"/>
    <s v="14.4-2022-12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2-12-30T00:00:00"/>
    <n v="2022"/>
    <s v="Diciembre"/>
    <x v="9"/>
    <x v="2"/>
    <n v="4638"/>
    <n v="5008"/>
    <n v="1.079775765416128"/>
    <n v="1.079775765416128"/>
    <s v="ENT"/>
    <s v="ENT"/>
    <s v="14.4-2022-12-30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3-06-30T00:00:00"/>
    <n v="2023"/>
    <s v="Junio"/>
    <x v="10"/>
    <x v="0"/>
    <n v="2726"/>
    <n v="2990"/>
    <n v="1.096845194424064"/>
    <n v="1.096845194424064"/>
    <s v="ENT"/>
    <s v="ENT"/>
    <s v="14.4-2023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3-12-31T00:00:00"/>
    <n v="2023"/>
    <s v="Diciembre"/>
    <x v="11"/>
    <x v="1"/>
    <n v="2796"/>
    <n v="3328"/>
    <n v="1.1902718168812589"/>
    <n v="1.1902718168812589"/>
    <s v="ENT"/>
    <s v="ENT"/>
    <s v="14.4-2023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3-12-31T00:00:00"/>
    <n v="2023"/>
    <s v="Diciembre"/>
    <x v="11"/>
    <x v="2"/>
    <n v="5522"/>
    <n v="6318"/>
    <n v="1.144150670047084"/>
    <n v="1.144150670047084"/>
    <s v="ENT"/>
    <s v="ENT"/>
    <s v="14.4-2023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4-06-30T00:00:00"/>
    <n v="2024"/>
    <s v="Junio"/>
    <x v="12"/>
    <x v="0"/>
    <n v="3093"/>
    <n v="3485"/>
    <n v="1.1267377950210149"/>
    <n v="1.1267377950210149"/>
    <s v="ENT"/>
    <s v="ENT"/>
    <s v="14.4-2024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4-12-31T00:00:00"/>
    <n v="2024"/>
    <s v="Diciembre"/>
    <x v="13"/>
    <x v="1"/>
    <n v="3055"/>
    <n v="3666"/>
    <n v="1.2"/>
    <n v="1.2"/>
    <s v="ENT"/>
    <s v="ENT"/>
    <s v="14.4-2024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4-12-31T00:00:00"/>
    <n v="2024"/>
    <s v="Diciembre"/>
    <x v="13"/>
    <x v="2"/>
    <n v="6148"/>
    <n v="7151"/>
    <n v="1.163142485361093"/>
    <n v="1.163142485361093"/>
    <s v="ENT"/>
    <s v="ENT"/>
    <s v="14.4-2024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5-06-30T00:00:00"/>
    <n v="2025"/>
    <s v="Junio"/>
    <x v="14"/>
    <x v="0"/>
    <n v="3994"/>
    <n v="4409"/>
    <n v="1.103905858788182"/>
    <n v="1.103905858788182"/>
    <s v="ENT"/>
    <s v="ENT"/>
    <s v="14.4-2025-06-30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5-12-31T00:00:00"/>
    <n v="2025"/>
    <s v="Diciembre"/>
    <x v="15"/>
    <x v="1"/>
    <n v="3862"/>
    <n v="4656"/>
    <n v="1"/>
    <n v="1"/>
    <s v="ENT"/>
    <s v="ENT"/>
    <s v="14.4-2025-12-31"/>
    <n v="0"/>
    <n v="0"/>
    <s v="Semestral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14.4"/>
    <x v="4"/>
    <s v="Permanencia"/>
    <s v="Semestral"/>
    <s v="Positivo"/>
    <d v="2025-12-31T00:00:00"/>
    <n v="2025"/>
    <s v="Diciembre"/>
    <x v="15"/>
    <x v="2"/>
    <m/>
    <n v="9065"/>
    <m/>
    <m/>
    <s v="ENT"/>
    <s v="ENT"/>
    <s v="14.4-2025-12-31"/>
    <n v="0"/>
    <n v="0"/>
    <s v="Cierre"/>
    <s v="Estratégico"/>
    <s v="Servicio"/>
    <s v="Expansión"/>
    <s v="Crecer con compromiso social "/>
    <s v="En el 2026, alcanzar una población estudiantil superior a 70.000 estudiantes "/>
    <s v="Factor 5. Estructura y procesos académicos"/>
    <s v="Característica 27: Admisión y matrícula de estudiantes"/>
    <s v="Acumulativo"/>
    <s v="Semestral"/>
  </r>
  <r>
    <n v="77"/>
    <x v="5"/>
    <s v="GESTIÓN DE LA TECNOLOGÍA E INNOVACIÓN DIGITAL"/>
    <s v="Mensual"/>
    <s v="Positivo"/>
    <d v="2022-06-30T00:00:00"/>
    <n v="2022"/>
    <s v="Junio"/>
    <x v="8"/>
    <x v="0"/>
    <n v="97"/>
    <n v="97.683333333333323"/>
    <n v="1.0070446735395191"/>
    <n v="1.0070446735395191"/>
    <s v="%"/>
    <s v="%"/>
    <s v="77-2022-06-30"/>
    <n v="0"/>
    <n v="1"/>
    <s v="Semestral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2-12-31T00:00:00"/>
    <n v="2022"/>
    <s v="Diciembre"/>
    <x v="9"/>
    <x v="1"/>
    <n v="97"/>
    <n v="98.116666666666674"/>
    <n v="1.0115120274914089"/>
    <n v="1.0115120274914089"/>
    <s v="%"/>
    <s v="%"/>
    <s v="77-2022-12-31"/>
    <n v="0"/>
    <n v="1"/>
    <s v="Semestral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2-12-31T00:00:00"/>
    <n v="2022"/>
    <s v="Diciembre"/>
    <x v="9"/>
    <x v="2"/>
    <n v="97"/>
    <n v="97.899999999999991"/>
    <n v="1.0092783505154641"/>
    <n v="1.0092783505154641"/>
    <s v="%"/>
    <s v="%"/>
    <s v="77-2022-12-31"/>
    <n v="0"/>
    <n v="1"/>
    <s v="Cierre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3-06-30T00:00:00"/>
    <n v="2023"/>
    <s v="Junio"/>
    <x v="10"/>
    <x v="0"/>
    <n v="97"/>
    <n v="97.683333333333337"/>
    <n v="1.0070446735395191"/>
    <n v="1.0070446735395191"/>
    <s v="%"/>
    <s v="%"/>
    <s v="77-2023-06-30"/>
    <n v="0"/>
    <n v="1"/>
    <s v="Semestral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3-12-31T00:00:00"/>
    <n v="2023"/>
    <s v="Diciembre"/>
    <x v="11"/>
    <x v="1"/>
    <n v="97"/>
    <n v="97.583333333333329"/>
    <n v="1.0060137457044671"/>
    <n v="1.0060137457044671"/>
    <s v="%"/>
    <s v="%"/>
    <s v="77-2023-12-31"/>
    <n v="0"/>
    <n v="1"/>
    <s v="Semestral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3-12-31T00:00:00"/>
    <n v="2023"/>
    <s v="Diciembre"/>
    <x v="11"/>
    <x v="2"/>
    <n v="97"/>
    <n v="97.633333333333326"/>
    <n v="1.0065292096219931"/>
    <n v="1.0065292096219931"/>
    <s v="%"/>
    <s v="%"/>
    <s v="77-2023-12-31"/>
    <n v="0"/>
    <n v="1"/>
    <s v="Cierre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4-06-30T00:00:00"/>
    <n v="2024"/>
    <s v="Junio"/>
    <x v="12"/>
    <x v="0"/>
    <n v="97"/>
    <n v="98.331666666666663"/>
    <n v="1.01372852233677"/>
    <n v="1.01372852233677"/>
    <s v="%"/>
    <s v="%"/>
    <s v="77-2024-06-30"/>
    <n v="0"/>
    <n v="1"/>
    <s v="Semestral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4-12-31T00:00:00"/>
    <n v="2024"/>
    <s v="Diciembre"/>
    <x v="13"/>
    <x v="1"/>
    <n v="97"/>
    <n v="96.533333333333346"/>
    <n v="0.99518900343642624"/>
    <n v="0.99518900343642624"/>
    <s v="%"/>
    <s v="%"/>
    <s v="77-2024-12-31"/>
    <n v="0"/>
    <n v="1"/>
    <s v="Semestral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4-12-31T00:00:00"/>
    <n v="2024"/>
    <s v="Diciembre"/>
    <x v="13"/>
    <x v="2"/>
    <n v="97"/>
    <n v="97.432500000000005"/>
    <n v="1.004458762886598"/>
    <n v="1.004458762886598"/>
    <s v="%"/>
    <s v="%"/>
    <s v="77-2024-12-31"/>
    <n v="0"/>
    <n v="1"/>
    <s v="Cierre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5-06-30T00:00:00"/>
    <n v="2025"/>
    <s v="Junio"/>
    <x v="14"/>
    <x v="0"/>
    <n v="97"/>
    <n v="94.65"/>
    <n v="0.97577319587628875"/>
    <n v="0.97577319587628875"/>
    <s v="%"/>
    <s v="%"/>
    <s v="77-2025-06-30"/>
    <n v="0"/>
    <n v="1"/>
    <s v="Semestral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77"/>
    <x v="5"/>
    <s v="GESTIÓN DE LA TECNOLOGÍA E INNOVACIÓN DIGITAL"/>
    <s v="Mensual"/>
    <s v="Positivo"/>
    <d v="2025-06-30T00:00:00"/>
    <n v="2025"/>
    <s v="Junio"/>
    <x v="14"/>
    <x v="2"/>
    <n v="97"/>
    <n v="94.65"/>
    <n v="0.97577319587628875"/>
    <n v="0.97577319587628875"/>
    <s v="%"/>
    <s v="%"/>
    <s v="77-2025-06-30"/>
    <n v="0"/>
    <n v="1"/>
    <s v="Cierre"/>
    <s v="Estratégico"/>
    <s v="GESTIÓN DE LA TECNOLOGÍA E INNOVACIÓN DIGITAL"/>
    <s v="Transformación_Organizacional"/>
    <s v="Asegurar una arquitectura tecnológica institucional, centrada en la experiencia de la comunidad educativa"/>
    <s v="Contar con una arquitectura IT implementada al 100%, con un 99,7% de disponibilidad"/>
    <s v="Factor 3. Desarrollo, gestión y sostenibilidad institucional"/>
    <s v="Característica 11: Infraestructura física y tecnológica"/>
    <s v="Promedio"/>
    <s v="Anual"/>
  </r>
  <r>
    <n v="96"/>
    <x v="6"/>
    <s v="Investigación, desarrollo tecnológico, innovación y creación"/>
    <s v="Anual"/>
    <s v="Positivo"/>
    <d v="2022-12-31T00:00:00"/>
    <n v="2022"/>
    <s v="Diciembre"/>
    <x v="9"/>
    <x v="1"/>
    <n v="509"/>
    <n v="565"/>
    <n v="1.1100196463654219"/>
    <n v="1.1100196463654219"/>
    <s v="ENT"/>
    <s v="ENT"/>
    <s v="96-2022-12-31"/>
    <n v="0"/>
    <n v="0"/>
    <s v="Semestral"/>
    <s v="Estratégico"/>
    <s v="Investigación, desarrollo tecnológico, innovación y cre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Acumulativo"/>
    <s v="Anual"/>
  </r>
  <r>
    <n v="96"/>
    <x v="6"/>
    <s v="Investigación, desarrollo tecnológico, innovación y creación"/>
    <s v="Anual"/>
    <s v="Positivo"/>
    <d v="2022-12-31T00:00:00"/>
    <n v="2022"/>
    <s v="Diciembre"/>
    <x v="9"/>
    <x v="2"/>
    <n v="509"/>
    <n v="565"/>
    <n v="1.1100196463654219"/>
    <n v="1.1100196463654219"/>
    <s v="ENT"/>
    <s v="ENT"/>
    <s v="96-2022-12-31"/>
    <n v="0"/>
    <n v="0"/>
    <s v="Cierre"/>
    <s v="Estratégico"/>
    <s v="Investigación, desarrollo tecnológico, innovación y cre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Acumulativo"/>
    <s v="Anual"/>
  </r>
  <r>
    <n v="96"/>
    <x v="6"/>
    <s v="Investigación, desarrollo tecnológico, innovación y creación"/>
    <s v="Anual"/>
    <s v="Positivo"/>
    <d v="2023-06-30T00:00:00"/>
    <n v="2023"/>
    <s v="Junio"/>
    <x v="10"/>
    <x v="0"/>
    <n v="305"/>
    <n v="209"/>
    <n v="0.68524590163934429"/>
    <n v="0.68524590163934429"/>
    <s v="ENT"/>
    <s v="ENT"/>
    <s v="96-2023-06-30"/>
    <n v="0"/>
    <n v="0"/>
    <s v="Semestral"/>
    <s v="Estratégico"/>
    <s v="Investigación, desarrollo tecnológico, innovación y cre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Acumulativo"/>
    <s v="Anual"/>
  </r>
  <r>
    <n v="96"/>
    <x v="6"/>
    <s v="Investigación, desarrollo tecnológico, innovación y creación"/>
    <s v="Anual"/>
    <s v="Positivo"/>
    <d v="2023-12-31T00:00:00"/>
    <n v="2023"/>
    <s v="Diciembre"/>
    <x v="11"/>
    <x v="1"/>
    <n v="306"/>
    <n v="496"/>
    <n v="1.3"/>
    <n v="1.620915032679739"/>
    <s v="ENT"/>
    <s v="ENT"/>
    <s v="96-2023-12-31"/>
    <n v="0"/>
    <n v="0"/>
    <s v="Semestral"/>
    <s v="Estratégico"/>
    <s v="Investigación, desarrollo tecnológico, innovación y cre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Acumulativo"/>
    <s v="Anual"/>
  </r>
  <r>
    <n v="96"/>
    <x v="6"/>
    <s v="Investigación, desarrollo tecnológico, innovación y creación"/>
    <s v="Anual"/>
    <s v="Positivo"/>
    <d v="2023-12-31T00:00:00"/>
    <n v="2023"/>
    <s v="Diciembre"/>
    <x v="11"/>
    <x v="2"/>
    <n v="611"/>
    <n v="705"/>
    <n v="1.153846153846154"/>
    <n v="1.153846153846154"/>
    <s v="ENT"/>
    <s v="ENT"/>
    <s v="96-2023-12-31"/>
    <n v="0"/>
    <n v="0"/>
    <s v="Cierre"/>
    <s v="Estratégico"/>
    <s v="Investigación, desarrollo tecnológico, innovación y cre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Acumulativo"/>
    <s v="Anual"/>
  </r>
  <r>
    <n v="96"/>
    <x v="6"/>
    <s v="Investigación, desarrollo tecnológico, innovación y creación"/>
    <s v="Anual"/>
    <s v="Positivo"/>
    <d v="2024-06-30T00:00:00"/>
    <n v="2024"/>
    <s v="Junio"/>
    <x v="12"/>
    <x v="0"/>
    <n v="336"/>
    <n v="143"/>
    <n v="0.42559523809523808"/>
    <n v="0.42559523809523808"/>
    <s v="ENT"/>
    <s v="ENT"/>
    <s v="96-2024-06-30"/>
    <n v="0"/>
    <n v="0"/>
    <s v="Semestral"/>
    <s v="Estratégico"/>
    <s v="Investigación, desarrollo tecnológico, innovación y cre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Acumulativo"/>
    <s v="Anual"/>
  </r>
  <r>
    <n v="96"/>
    <x v="6"/>
    <s v="Investigación, desarrollo tecnológico, innovación y creación"/>
    <s v="Anual"/>
    <s v="Positivo"/>
    <d v="2024-12-31T00:00:00"/>
    <n v="2024"/>
    <s v="Diciembre"/>
    <x v="13"/>
    <x v="1"/>
    <n v="336"/>
    <n v="597"/>
    <n v="1.3"/>
    <n v="1.776785714285714"/>
    <s v="ENT"/>
    <s v="ENT"/>
    <s v="96-2024-12-31"/>
    <n v="0"/>
    <n v="0"/>
    <s v="Semestral"/>
    <s v="Estratégico"/>
    <s v="Investigación, desarrollo tecnológico, innovación y cre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Acumulativo"/>
    <s v="Anual"/>
  </r>
  <r>
    <n v="96"/>
    <x v="6"/>
    <s v="Investigación, desarrollo tecnológico, innovación y creación"/>
    <s v="Anual"/>
    <s v="Positivo"/>
    <d v="2024-12-31T00:00:00"/>
    <n v="2024"/>
    <s v="Diciembre"/>
    <x v="13"/>
    <x v="2"/>
    <n v="672"/>
    <n v="740"/>
    <n v="1.1011904761904761"/>
    <n v="1.1011904761904761"/>
    <s v="ENT"/>
    <s v="ENT"/>
    <s v="96-2024-12-31"/>
    <n v="0"/>
    <n v="0"/>
    <s v="Cierre"/>
    <s v="Estratégico"/>
    <s v="Investigación, desarrollo tecnológico, innovación y cre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Acumulativo"/>
    <s v="Anual"/>
  </r>
  <r>
    <n v="97"/>
    <x v="7"/>
    <s v="Mercadeo de programas académicos"/>
    <s v="Semestral"/>
    <s v="Positivo"/>
    <d v="2022-06-30T00:00:00"/>
    <n v="2022"/>
    <s v="Junio"/>
    <x v="8"/>
    <x v="0"/>
    <n v="2"/>
    <n v="2"/>
    <n v="1"/>
    <n v="1"/>
    <s v="ENT"/>
    <s v="ENT"/>
    <s v="97-2022-06-30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7"/>
    <x v="7"/>
    <s v="Mercadeo de programas académicos"/>
    <s v="Semestral"/>
    <s v="Positivo"/>
    <d v="2022-12-31T00:00:00"/>
    <n v="2022"/>
    <s v="Diciembre"/>
    <x v="9"/>
    <x v="1"/>
    <n v="0"/>
    <n v="0"/>
    <m/>
    <m/>
    <s v="ENT"/>
    <s v="ENT"/>
    <s v="97-2022-12-31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7"/>
    <x v="7"/>
    <s v="Mercadeo de programas académicos"/>
    <s v="Semestral"/>
    <s v="Positivo"/>
    <d v="2022-12-31T00:00:00"/>
    <n v="2022"/>
    <s v="Diciembre"/>
    <x v="9"/>
    <x v="2"/>
    <n v="2"/>
    <n v="2"/>
    <n v="1"/>
    <n v="1"/>
    <s v="ENT"/>
    <s v="ENT"/>
    <s v="97-2022-12-31"/>
    <n v="0"/>
    <n v="0"/>
    <s v="Cierre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7"/>
    <x v="7"/>
    <s v="Mercadeo de programas académicos"/>
    <s v="Semestral"/>
    <s v="Positivo"/>
    <d v="2023-06-30T00:00:00"/>
    <n v="2023"/>
    <s v="Junio"/>
    <x v="10"/>
    <x v="0"/>
    <n v="0"/>
    <n v="0"/>
    <m/>
    <m/>
    <m/>
    <m/>
    <s v="97-2023-06-30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7"/>
    <x v="7"/>
    <s v="Mercadeo de programas académicos"/>
    <s v="Semestral"/>
    <s v="Positivo"/>
    <d v="2023-12-31T00:00:00"/>
    <n v="2023"/>
    <s v="Diciembre"/>
    <x v="11"/>
    <x v="1"/>
    <n v="0"/>
    <n v="0"/>
    <m/>
    <m/>
    <m/>
    <m/>
    <s v="97-2023-12-31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7"/>
    <x v="7"/>
    <s v="Mercadeo de programas académicos"/>
    <s v="Semestral"/>
    <s v="Positivo"/>
    <d v="2023-12-31T00:00:00"/>
    <n v="2023"/>
    <s v="Diciembre"/>
    <x v="11"/>
    <x v="2"/>
    <n v="0"/>
    <n v="0"/>
    <m/>
    <m/>
    <s v="ENT"/>
    <s v="ENT"/>
    <s v="97-2023-12-31"/>
    <n v="0"/>
    <n v="0"/>
    <s v="Cierre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7"/>
    <x v="7"/>
    <s v="Mercadeo de programas académicos"/>
    <s v="Semestral"/>
    <s v="Positivo"/>
    <d v="2024-06-30T00:00:00"/>
    <n v="2024"/>
    <s v="Junio"/>
    <x v="12"/>
    <x v="0"/>
    <n v="0"/>
    <n v="0"/>
    <m/>
    <m/>
    <m/>
    <m/>
    <s v="97-2024-06-30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7"/>
    <x v="7"/>
    <s v="Mercadeo de programas académicos"/>
    <s v="Semestral"/>
    <s v="Positivo"/>
    <d v="2024-12-31T00:00:00"/>
    <n v="2024"/>
    <s v="Diciembre"/>
    <x v="13"/>
    <x v="1"/>
    <n v="0"/>
    <n v="0"/>
    <m/>
    <m/>
    <m/>
    <m/>
    <s v="97-2024-12-31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7"/>
    <x v="7"/>
    <s v="Mercadeo de programas académicos"/>
    <s v="Semestral"/>
    <s v="Positivo"/>
    <d v="2024-12-31T00:00:00"/>
    <n v="2024"/>
    <s v="Diciembre"/>
    <x v="13"/>
    <x v="2"/>
    <n v="0"/>
    <n v="0"/>
    <m/>
    <m/>
    <s v="ENT"/>
    <s v="ENT"/>
    <s v="97-2024-12-31"/>
    <n v="0"/>
    <n v="0"/>
    <s v="Cierre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7"/>
    <x v="7"/>
    <s v="Mercadeo de programas académicos"/>
    <s v="Semestral"/>
    <s v="Positivo"/>
    <d v="2025-06-30T00:00:00"/>
    <n v="2025"/>
    <s v="Junio"/>
    <x v="14"/>
    <x v="2"/>
    <n v="0"/>
    <n v="0"/>
    <m/>
    <m/>
    <s v="ENT"/>
    <s v="ENT"/>
    <s v="97-2025-06-30"/>
    <n v="0"/>
    <n v="0"/>
    <s v="Cierre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2-06-30T00:00:00"/>
    <n v="2022"/>
    <s v="Junio"/>
    <x v="8"/>
    <x v="0"/>
    <n v="0"/>
    <n v="0"/>
    <m/>
    <m/>
    <s v="ENT"/>
    <s v="ENT"/>
    <s v="98-2022-06-30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2-12-31T00:00:00"/>
    <n v="2022"/>
    <s v="Diciembre"/>
    <x v="9"/>
    <x v="1"/>
    <n v="2"/>
    <n v="2"/>
    <n v="1"/>
    <n v="1"/>
    <s v="ENT"/>
    <s v="ENT"/>
    <s v="98-2022-12-31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2-12-31T00:00:00"/>
    <n v="2022"/>
    <s v="Diciembre"/>
    <x v="9"/>
    <x v="2"/>
    <n v="2"/>
    <n v="2"/>
    <n v="1"/>
    <n v="1"/>
    <s v="ENT"/>
    <s v="ENT"/>
    <s v="98-2022-12-31"/>
    <n v="0"/>
    <n v="0"/>
    <s v="Cierre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3-06-30T00:00:00"/>
    <n v="2023"/>
    <s v="Junio"/>
    <x v="10"/>
    <x v="0"/>
    <n v="0"/>
    <n v="0"/>
    <m/>
    <m/>
    <s v="ENT"/>
    <s v="ENT"/>
    <s v="98-2023-06-30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3-12-31T00:00:00"/>
    <n v="2023"/>
    <s v="Diciembre"/>
    <x v="11"/>
    <x v="1"/>
    <n v="1"/>
    <n v="1"/>
    <n v="1"/>
    <n v="1"/>
    <s v="ENT"/>
    <s v="ENT"/>
    <s v="98-2023-12-31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3-12-31T00:00:00"/>
    <n v="2023"/>
    <s v="Diciembre"/>
    <x v="11"/>
    <x v="2"/>
    <n v="1"/>
    <n v="1"/>
    <n v="1"/>
    <n v="1"/>
    <s v="ENT"/>
    <s v="ENT"/>
    <s v="98-2023-12-31"/>
    <n v="0"/>
    <n v="0"/>
    <s v="Cierre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4-06-30T00:00:00"/>
    <n v="2024"/>
    <s v="Junio"/>
    <x v="10"/>
    <x v="0"/>
    <n v="0"/>
    <n v="0"/>
    <m/>
    <m/>
    <m/>
    <m/>
    <s v="98-2024-06-30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4-12-31T00:00:00"/>
    <n v="2024"/>
    <s v="Diciembre"/>
    <x v="13"/>
    <x v="1"/>
    <n v="5"/>
    <n v="5"/>
    <n v="1"/>
    <n v="1"/>
    <s v="ENT"/>
    <s v="ENT"/>
    <s v="98-2024-12-31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4-12-31T00:00:00"/>
    <n v="2024"/>
    <s v="Diciembre"/>
    <x v="13"/>
    <x v="2"/>
    <n v="5"/>
    <n v="5"/>
    <n v="1"/>
    <n v="1"/>
    <s v="ENT"/>
    <s v="ENT"/>
    <s v="98-2024-12-31"/>
    <n v="0"/>
    <n v="0"/>
    <s v="Cierre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5-06-30T00:00:00"/>
    <n v="2025"/>
    <s v="Junio"/>
    <x v="14"/>
    <x v="0"/>
    <n v="10"/>
    <n v="10"/>
    <n v="1"/>
    <n v="1"/>
    <s v="ENT"/>
    <s v="ENT"/>
    <s v="98-2025-06-30"/>
    <n v="0"/>
    <n v="0"/>
    <s v="Semestral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98"/>
    <x v="8"/>
    <s v="Mercadeo de programas académicos"/>
    <s v="Semestral"/>
    <s v="Positivo"/>
    <d v="2025-06-30T00:00:00"/>
    <n v="2025"/>
    <s v="Junio"/>
    <x v="14"/>
    <x v="2"/>
    <n v="10"/>
    <n v="10"/>
    <n v="1"/>
    <n v="1"/>
    <s v="ENT"/>
    <s v="ENT"/>
    <s v="98-2025-06-30"/>
    <n v="0"/>
    <n v="0"/>
    <s v="Cierre"/>
    <s v="Estratégico"/>
    <s v="Mercadeo de programas académicos"/>
    <s v="Expansión"/>
    <s v="Crecer con compromiso social "/>
    <s v="Diseñar un portafolio relevante y competitivo que garantice el crecimiento continuo del Poli."/>
    <s v="Factor 5. Estructura y procesos académicos"/>
    <s v="Característica 20: Procesos de creación, modificación y ampliación de programas académicos"/>
    <s v="Acumulativo"/>
    <s v="Anual"/>
  </r>
  <r>
    <n v="109"/>
    <x v="9"/>
    <s v="COMUNICACIÓN Y POSICIONAMIENTO ESTRATÉGICO"/>
    <s v="Anual"/>
    <s v="Positivo"/>
    <d v="2023-12-31T00:00:00"/>
    <n v="2023"/>
    <s v="Diciembre"/>
    <x v="11"/>
    <x v="1"/>
    <n v="80"/>
    <n v="87.392767703668298"/>
    <n v="1.092409596295854"/>
    <n v="1.092409596295854"/>
    <s v="%"/>
    <s v="%"/>
    <s v="109-2023-12-31"/>
    <n v="0"/>
    <n v="0"/>
    <s v="Semestral"/>
    <s v="Estratégico"/>
    <s v="Comunicaciones Internas"/>
    <s v="Transformación_Organizacional"/>
    <s v="Contar con un equipo humano feliz y apasionado, que trabaja de forma colaborativa para alcanzar las metas institucionales"/>
    <m/>
    <s v="Factor 7. Impacto social"/>
    <s v="Característica 26: Satisfacción del estudiante y del cliente"/>
    <s v="Promedio"/>
    <s v="Anual"/>
  </r>
  <r>
    <n v="109"/>
    <x v="9"/>
    <s v="Comunicaciones Internas"/>
    <s v="Anual"/>
    <s v="Positivo"/>
    <d v="2023-12-31T00:00:00"/>
    <n v="2023"/>
    <s v="Diciembre"/>
    <x v="11"/>
    <x v="2"/>
    <n v="80"/>
    <n v="87.392767703668298"/>
    <n v="1.092409596295854"/>
    <n v="1.092409596295854"/>
    <s v="%"/>
    <s v="%"/>
    <s v="109-2023-12-31"/>
    <n v="0"/>
    <n v="0"/>
    <s v="Cierre"/>
    <s v="Estratégico"/>
    <s v="Comunicaciones Internas"/>
    <s v="Transformación_Organizacional"/>
    <s v="Contar con un equipo humano feliz y apasionado, que trabaja de forma colaborativa para alcanzar las metas institucionales"/>
    <m/>
    <s v="Factor 7. Impacto social"/>
    <s v="Característica 26: Satisfacción del estudiante y del cliente"/>
    <s v="Promedio"/>
    <s v="Anual"/>
  </r>
  <r>
    <n v="109"/>
    <x v="9"/>
    <s v="Comunicaciones Internas"/>
    <s v="Anual"/>
    <s v="Positivo"/>
    <d v="2024-12-31T00:00:00"/>
    <n v="2024"/>
    <s v="Diciembre"/>
    <x v="13"/>
    <x v="1"/>
    <n v="80"/>
    <n v="85"/>
    <n v="1.0625"/>
    <n v="1.0625"/>
    <s v="%"/>
    <s v="%"/>
    <s v="109-2024-12-31"/>
    <n v="0"/>
    <n v="0"/>
    <s v="Semestral"/>
    <s v="Estratégico"/>
    <s v="Comunicaciones Internas"/>
    <s v="Transformación_Organizacional"/>
    <s v="Contar con un equipo humano feliz y apasionado, que trabaja de forma colaborativa para alcanzar las metas institucionales"/>
    <m/>
    <s v="Factor 7. Impacto social"/>
    <s v="Característica 26: Satisfacción del estudiante y del cliente"/>
    <s v="Promedio"/>
    <s v="Anual"/>
  </r>
  <r>
    <n v="109"/>
    <x v="9"/>
    <s v="Comunicaciones Internas"/>
    <s v="Anual"/>
    <s v="Positivo"/>
    <d v="2024-12-31T00:00:00"/>
    <n v="2024"/>
    <s v="Diciembre"/>
    <x v="13"/>
    <x v="2"/>
    <n v="80"/>
    <n v="85"/>
    <n v="1.0625"/>
    <n v="1.0625"/>
    <s v="%"/>
    <s v="%"/>
    <s v="109-2024-12-31"/>
    <n v="0"/>
    <n v="0"/>
    <s v="Cierre"/>
    <s v="Estratégico"/>
    <s v="Comunicaciones Internas"/>
    <s v="Transformación_Organizacional"/>
    <s v="Contar con un equipo humano feliz y apasionado, que trabaja de forma colaborativa para alcanzar las metas institucionales"/>
    <m/>
    <s v="Factor 7. Impacto social"/>
    <s v="Característica 26: Satisfacción del estudiante y del cliente"/>
    <s v="Promedio"/>
    <s v="Anual"/>
  </r>
  <r>
    <n v="109"/>
    <x v="9"/>
    <s v="Comunicaciones Internas"/>
    <s v="Anual"/>
    <s v="Positivo"/>
    <d v="2025-12-31T00:00:00"/>
    <n v="2025"/>
    <s v="Diciembre"/>
    <x v="15"/>
    <x v="2"/>
    <n v="80"/>
    <n v="94"/>
    <n v="1.175"/>
    <n v="1.0625"/>
    <s v="%"/>
    <s v="%"/>
    <s v="109-2025-12-31"/>
    <n v="0"/>
    <n v="0"/>
    <s v="Cierre"/>
    <s v="Estratégico"/>
    <s v="Comunicaciones Internas"/>
    <s v="Transformación_Organizacional"/>
    <s v="Contar con un equipo humano feliz y apasionado, que trabaja de forma colaborativa para alcanzar las metas institucionales"/>
    <m/>
    <s v="Factor 7. Impacto social"/>
    <s v="Característica 26: Satisfacción del estudiante y del cliente"/>
    <s v="Promedio"/>
    <s v="Anual"/>
  </r>
  <r>
    <n v="148"/>
    <x v="10"/>
    <s v="Formación para la investigación, creación e innovación"/>
    <s v="Semestral"/>
    <s v="Positivo"/>
    <d v="2022-12-31T00:00:00"/>
    <n v="2022"/>
    <s v="Diciembre"/>
    <x v="9"/>
    <x v="2"/>
    <n v="5"/>
    <n v="4.66"/>
    <n v="0.93200000000000005"/>
    <n v="0.93200000000000005"/>
    <s v="%"/>
    <s v="%"/>
    <s v="148-2022-12-31"/>
    <n v="0"/>
    <n v="1"/>
    <s v="Cierre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148"/>
    <x v="10"/>
    <s v="Formación para la investigación, creación e innovación"/>
    <s v="Semestral"/>
    <s v="Positivo"/>
    <d v="2023-06-30T00:00:00"/>
    <n v="2023"/>
    <s v="Junio"/>
    <x v="10"/>
    <x v="0"/>
    <n v="2.5"/>
    <n v="3.57"/>
    <n v="1.3"/>
    <n v="1.4279999999999999"/>
    <s v="%"/>
    <s v="%"/>
    <s v="148-2023-06-30"/>
    <n v="1"/>
    <n v="1"/>
    <s v="Semestral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148"/>
    <x v="10"/>
    <s v="Formación para la investigación, creación e innovación"/>
    <s v="Semestral"/>
    <s v="Positivo"/>
    <d v="2023-12-31T00:00:00"/>
    <n v="2023"/>
    <s v="Diciembre"/>
    <x v="11"/>
    <x v="1"/>
    <n v="5"/>
    <n v="5.71"/>
    <n v="1.1419999999999999"/>
    <n v="1.1419999999999999"/>
    <s v="%"/>
    <s v="%"/>
    <s v="148-2023-12-31"/>
    <n v="1"/>
    <n v="1"/>
    <s v="Semestral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148"/>
    <x v="10"/>
    <s v="Formación para la investigación, creación e innovación"/>
    <s v="Semestral"/>
    <s v="Positivo"/>
    <d v="2023-12-31T00:00:00"/>
    <n v="2023"/>
    <s v="Diciembre"/>
    <x v="11"/>
    <x v="2"/>
    <n v="5"/>
    <n v="5.71"/>
    <n v="1.1419999999999999"/>
    <n v="1.1419999999999999"/>
    <s v="%"/>
    <s v="%"/>
    <s v="148-2023-12-31"/>
    <n v="0"/>
    <n v="1"/>
    <s v="Cierre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148"/>
    <x v="10"/>
    <s v="Formación para la investigación, creación e innovación"/>
    <s v="Semestral"/>
    <s v="Positivo"/>
    <d v="2024-06-30T00:00:00"/>
    <n v="2024"/>
    <s v="Junio"/>
    <x v="12"/>
    <x v="0"/>
    <n v="5"/>
    <n v="4.3"/>
    <n v="0.86"/>
    <n v="0.86"/>
    <s v="%"/>
    <s v="%"/>
    <s v="148-2024-06-30"/>
    <n v="1"/>
    <n v="1"/>
    <s v="Semestral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148"/>
    <x v="10"/>
    <s v="Formación para la investigación, creación e innovación"/>
    <s v="Semestral"/>
    <s v="Positivo"/>
    <d v="2024-12-31T00:00:00"/>
    <n v="2024"/>
    <s v="Diciembre"/>
    <x v="13"/>
    <x v="1"/>
    <n v="5"/>
    <n v="6.3"/>
    <n v="1.26"/>
    <n v="1.26"/>
    <s v="%"/>
    <s v="%"/>
    <s v="148-2024-12-31"/>
    <n v="0"/>
    <n v="0"/>
    <s v="Semestral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148"/>
    <x v="10"/>
    <s v="Formación para la investigación, creación e innovación"/>
    <s v="Semestral"/>
    <s v="Positivo"/>
    <d v="2024-12-31T00:00:00"/>
    <n v="2024"/>
    <s v="Diciembre"/>
    <x v="13"/>
    <x v="2"/>
    <n v="5"/>
    <n v="6.3"/>
    <n v="1.26"/>
    <n v="1.26"/>
    <s v="%"/>
    <s v="%"/>
    <s v="148-2024-12-31"/>
    <n v="0"/>
    <n v="1"/>
    <s v="Cierre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148"/>
    <x v="10"/>
    <s v="Formación para la investigación, creación e innovación"/>
    <s v="Semestral"/>
    <s v="Positivo"/>
    <d v="2025-06-30T00:00:00"/>
    <n v="2025"/>
    <s v="Junio"/>
    <x v="14"/>
    <x v="0"/>
    <n v="4"/>
    <n v="4.08"/>
    <n v="1.02"/>
    <n v="1.02"/>
    <s v="%"/>
    <s v="%"/>
    <s v="148-2025-06-30"/>
    <n v="0"/>
    <n v="1"/>
    <s v="Semestral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148"/>
    <x v="10"/>
    <s v="Formación para la investigación, creación e innovación"/>
    <s v="Semestral"/>
    <s v="Positivo"/>
    <d v="2025-06-30T00:00:00"/>
    <n v="2025"/>
    <s v="Junio"/>
    <x v="14"/>
    <x v="2"/>
    <n v="4"/>
    <n v="4.08"/>
    <n v="1.02"/>
    <n v="1.02"/>
    <s v="%"/>
    <s v="%"/>
    <s v="148-2025-06-30"/>
    <n v="0"/>
    <n v="1"/>
    <s v="Cierre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193"/>
    <x v="11"/>
    <s v="Servicio"/>
    <s v="Semestral"/>
    <s v="Positivo"/>
    <d v="2022-06-30T00:00:00"/>
    <n v="2022"/>
    <s v="Junio"/>
    <x v="8"/>
    <x v="0"/>
    <n v="76"/>
    <n v="91.8"/>
    <n v="1.2078947368421049"/>
    <n v="1.2078947368421049"/>
    <s v="%"/>
    <s v="%"/>
    <s v="193-2022-06-30"/>
    <n v="1"/>
    <n v="1"/>
    <s v="Semestral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2-12-31T00:00:00"/>
    <n v="2022"/>
    <s v="Diciembre"/>
    <x v="9"/>
    <x v="1"/>
    <n v="76"/>
    <n v="92.4"/>
    <n v="1.215789473684211"/>
    <n v="1.215789473684211"/>
    <s v="%"/>
    <s v="%"/>
    <s v="193-2022-12-31"/>
    <n v="1"/>
    <n v="1"/>
    <s v="Semestral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2-12-31T00:00:00"/>
    <n v="2022"/>
    <s v="Diciembre"/>
    <x v="9"/>
    <x v="2"/>
    <n v="76"/>
    <n v="92.4"/>
    <n v="1.215789473684211"/>
    <n v="1.215789473684211"/>
    <s v="%"/>
    <s v="%"/>
    <s v="193-2022-12-31"/>
    <n v="1"/>
    <n v="1"/>
    <s v="Cierre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3-06-30T00:00:00"/>
    <n v="2023"/>
    <s v="Junio"/>
    <x v="10"/>
    <x v="0"/>
    <n v="92"/>
    <n v="91.9"/>
    <n v="0.99891304347826093"/>
    <n v="0.99891304347826093"/>
    <s v="%"/>
    <s v="%"/>
    <s v="193-2023-06-30"/>
    <n v="1"/>
    <n v="1"/>
    <s v="Semestral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3-12-31T00:00:00"/>
    <n v="2023"/>
    <s v="Diciembre"/>
    <x v="11"/>
    <x v="1"/>
    <n v="92"/>
    <n v="91.3"/>
    <n v="0.99239130434782608"/>
    <n v="0.99239130434782608"/>
    <s v="%"/>
    <s v="%"/>
    <s v="193-2023-12-31"/>
    <n v="1"/>
    <n v="1"/>
    <s v="Semestral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3-12-31T00:00:00"/>
    <n v="2023"/>
    <s v="Diciembre"/>
    <x v="11"/>
    <x v="2"/>
    <n v="92"/>
    <n v="91.3"/>
    <n v="0.99239130434782608"/>
    <n v="0.99239130434782608"/>
    <s v="%"/>
    <s v="%"/>
    <s v="193-2023-12-31"/>
    <n v="1"/>
    <n v="1"/>
    <s v="Cierre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4-06-30T00:00:00"/>
    <n v="2024"/>
    <s v="Junio"/>
    <x v="12"/>
    <x v="0"/>
    <n v="90"/>
    <n v="91.7"/>
    <n v="1.018888888888889"/>
    <n v="1.018888888888889"/>
    <s v="%"/>
    <s v="%"/>
    <s v="193-2024-06-30"/>
    <n v="1"/>
    <n v="1"/>
    <s v="Semestral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4-12-31T00:00:00"/>
    <n v="2024"/>
    <s v="Diciembre"/>
    <x v="13"/>
    <x v="1"/>
    <n v="90"/>
    <n v="93.5"/>
    <n v="1.038888888888889"/>
    <n v="1.038888888888889"/>
    <s v="%"/>
    <s v="%"/>
    <s v="193-2024-12-31"/>
    <n v="0"/>
    <n v="0"/>
    <s v="Semestral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4-12-31T00:00:00"/>
    <n v="2024"/>
    <s v="Diciembre"/>
    <x v="13"/>
    <x v="2"/>
    <n v="90"/>
    <n v="93.5"/>
    <n v="1.038888888888889"/>
    <n v="1.038888888888889"/>
    <s v="%"/>
    <s v="%"/>
    <s v="193-2024-12-31"/>
    <n v="1"/>
    <n v="1"/>
    <s v="Cierre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5-06-30T00:00:00"/>
    <n v="2025"/>
    <s v="Junio"/>
    <x v="14"/>
    <x v="0"/>
    <n v="93"/>
    <n v="96.21"/>
    <n v="1.034516129032258"/>
    <n v="1.034516129032258"/>
    <s v="%"/>
    <s v="%"/>
    <s v="193-2025-06-30"/>
    <n v="1"/>
    <n v="1"/>
    <s v="Semestral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3"/>
    <x v="11"/>
    <s v="Servicio"/>
    <s v="Semestral"/>
    <s v="Positivo"/>
    <d v="2025-06-30T00:00:00"/>
    <n v="2025"/>
    <s v="Junio"/>
    <x v="14"/>
    <x v="2"/>
    <n v="93"/>
    <n v="96.21"/>
    <n v="1.034516129032258"/>
    <n v="1.034516129032258"/>
    <s v="%"/>
    <s v="%"/>
    <s v="193-2025-06-30"/>
    <n v="1"/>
    <n v="1"/>
    <s v="Cierre"/>
    <s v="Estratégico"/>
    <s v="Servicio"/>
    <s v="Experiencia"/>
    <s v="Garantizar una experiencia significativa y de valor agregado a la comunidad POLI"/>
    <s v="Alcanzar a una satisfacción del servicio superior al 85%."/>
    <s v="Factor 3. Desarrollo, gestión y sostenibilidad institucional"/>
    <s v="Característica 9: Capacidad de gestión"/>
    <s v="Promedio"/>
    <s v="Semestral"/>
  </r>
  <r>
    <n v="194"/>
    <x v="12"/>
    <s v="Servicio"/>
    <s v="Semestral"/>
    <s v="Positivo"/>
    <d v="2022-06-30T00:00:00"/>
    <n v="2022"/>
    <s v="Junio"/>
    <x v="8"/>
    <x v="0"/>
    <n v="73"/>
    <n v="83.26"/>
    <n v="1.140547945205479"/>
    <n v="1.140547945205479"/>
    <s v="%"/>
    <s v="%"/>
    <s v="194-2022-06-30"/>
    <n v="0"/>
    <n v="0"/>
    <s v="Semestral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2-12-31T00:00:00"/>
    <n v="2022"/>
    <s v="Diciembre"/>
    <x v="9"/>
    <x v="1"/>
    <n v="73"/>
    <n v="83.11"/>
    <n v="1.138493150684931"/>
    <n v="1.138493150684931"/>
    <s v="%"/>
    <s v="%"/>
    <s v="194-2022-12-31"/>
    <n v="0"/>
    <n v="0"/>
    <s v="Semestral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2-12-31T00:00:00"/>
    <n v="2022"/>
    <s v="Diciembre"/>
    <x v="9"/>
    <x v="2"/>
    <n v="73"/>
    <n v="83.11"/>
    <n v="1.138493150684931"/>
    <n v="1.138493150684931"/>
    <s v="%"/>
    <s v="%"/>
    <s v="194-2022-12-31"/>
    <n v="0"/>
    <n v="0"/>
    <s v="Cierre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3-06-30T00:00:00"/>
    <n v="2023"/>
    <s v="Junio"/>
    <x v="10"/>
    <x v="0"/>
    <n v="80"/>
    <n v="79.180000000000007"/>
    <n v="0.98975000000000013"/>
    <n v="0.98975000000000013"/>
    <s v="%"/>
    <s v="%"/>
    <s v="194-2023-06-30"/>
    <n v="0"/>
    <n v="0"/>
    <s v="Semestral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3-12-31T00:00:00"/>
    <n v="2023"/>
    <s v="Diciembre"/>
    <x v="11"/>
    <x v="1"/>
    <n v="80"/>
    <n v="81.91"/>
    <n v="1.0238750000000001"/>
    <n v="1.0238750000000001"/>
    <s v="%"/>
    <s v="%"/>
    <s v="194-2023-12-31"/>
    <n v="0"/>
    <n v="0"/>
    <s v="Semestral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3-12-31T00:00:00"/>
    <n v="2023"/>
    <s v="Diciembre"/>
    <x v="11"/>
    <x v="2"/>
    <n v="80"/>
    <n v="81.91"/>
    <n v="1.0238750000000001"/>
    <n v="1.0238750000000001"/>
    <s v="%"/>
    <s v="%"/>
    <s v="194-2023-12-31"/>
    <n v="0"/>
    <n v="0"/>
    <s v="Cierre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4-06-30T00:00:00"/>
    <n v="2024"/>
    <s v="Junio"/>
    <x v="12"/>
    <x v="0"/>
    <n v="81"/>
    <n v="83.01"/>
    <n v="1.0248148148148151"/>
    <n v="1.0248148148148151"/>
    <s v="%"/>
    <s v="%"/>
    <s v="194-2024-06-30"/>
    <n v="0"/>
    <n v="0"/>
    <s v="Semestral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4-12-31T00:00:00"/>
    <n v="2024"/>
    <s v="Diciembre"/>
    <x v="13"/>
    <x v="1"/>
    <n v="81"/>
    <n v="89"/>
    <n v="1.098765432098765"/>
    <n v="1.098765432098765"/>
    <s v="%"/>
    <s v="%"/>
    <s v="194-2024-12-31"/>
    <n v="0"/>
    <n v="0"/>
    <s v="Semestral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4-12-31T00:00:00"/>
    <n v="2024"/>
    <s v="Diciembre"/>
    <x v="13"/>
    <x v="2"/>
    <n v="81"/>
    <n v="89"/>
    <n v="1.098765432098765"/>
    <n v="1.098765432098765"/>
    <s v="%"/>
    <s v="%"/>
    <s v="194-2024-12-31"/>
    <n v="0"/>
    <n v="0"/>
    <s v="Cierre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5-06-30T00:00:00"/>
    <n v="2025"/>
    <s v="Junio"/>
    <x v="14"/>
    <x v="0"/>
    <n v="80"/>
    <n v="90"/>
    <n v="1.125"/>
    <n v="1.125"/>
    <s v="%"/>
    <s v="%"/>
    <s v="194-2025-06-30"/>
    <n v="0"/>
    <n v="0"/>
    <s v="Semestral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194"/>
    <x v="12"/>
    <s v="Servicio"/>
    <s v="Semestral"/>
    <s v="Positivo"/>
    <d v="2025-06-30T00:00:00"/>
    <n v="2025"/>
    <s v="Junio"/>
    <x v="14"/>
    <x v="2"/>
    <n v="80"/>
    <n v="90"/>
    <n v="1.125"/>
    <n v="1.125"/>
    <s v="%"/>
    <s v="%"/>
    <s v="194-2025-06-30"/>
    <n v="0"/>
    <n v="0"/>
    <s v="Cierre"/>
    <s v="Estratégico"/>
    <s v="Servicio"/>
    <s v="Experiencia"/>
    <s v="Garantizar una experiencia significativa y de valor agregado a la comunidad POLI"/>
    <s v="Alcanzar una tasa de permanencia intersemestral superior al 90%"/>
    <s v="Factor 11. Comunidad de estudiantes"/>
    <s v="Característica 33: Derechos y deberes de los estudiantes"/>
    <s v="Último valor"/>
    <s v="Anual"/>
  </r>
  <r>
    <n v="200"/>
    <x v="13"/>
    <s v="GESTIÓN Y DESARROLLO DEL TALENTO HUMANO"/>
    <s v="Anual"/>
    <s v="Positivo"/>
    <d v="2023-12-31T00:00:00"/>
    <n v="2023"/>
    <s v="Diciembre"/>
    <x v="11"/>
    <x v="1"/>
    <m/>
    <n v="90"/>
    <m/>
    <m/>
    <s v="Linea base"/>
    <s v="%"/>
    <s v="200-2023-12-31"/>
    <n v="0"/>
    <n v="0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Contribuir a la formación permanente del equipo humano"/>
    <s v="Factor 10. Comunidad de profesores"/>
    <s v="Característica 31: Desarrollo profesoral"/>
    <s v="Último valor"/>
    <s v="Anual"/>
  </r>
  <r>
    <n v="200"/>
    <x v="13"/>
    <s v="GESTIÓN Y DESARROLLO DEL TALENTO HUMANO"/>
    <s v="Anual"/>
    <s v="Positivo"/>
    <d v="2023-12-31T00:00:00"/>
    <n v="2023"/>
    <s v="Diciembre"/>
    <x v="11"/>
    <x v="2"/>
    <m/>
    <n v="90"/>
    <m/>
    <m/>
    <s v="Linea base"/>
    <s v="%"/>
    <s v="200-2023-12-31"/>
    <n v="0"/>
    <n v="0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Contribuir a la formación permanente del equipo humano"/>
    <s v="Factor 10. Comunidad de profesores"/>
    <s v="Característica 31: Desarrollo profesoral"/>
    <s v="Último valor"/>
    <s v="Anual"/>
  </r>
  <r>
    <n v="200"/>
    <x v="13"/>
    <s v="GESTIÓN Y DESARROLLO DEL TALENTO HUMANO"/>
    <s v="Anual"/>
    <s v="Positivo"/>
    <d v="2024-12-31T00:00:00"/>
    <n v="2024"/>
    <s v="Diciembre"/>
    <x v="13"/>
    <x v="1"/>
    <n v="80"/>
    <n v="87.4"/>
    <n v="1.0925"/>
    <n v="1.0925"/>
    <m/>
    <m/>
    <s v="200-2024-12-31"/>
    <n v="0"/>
    <n v="0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Contribuir a la formación permanente del equipo humano"/>
    <s v="Factor 10. Comunidad de profesores"/>
    <s v="Característica 31: Desarrollo profesoral"/>
    <s v="Último valor"/>
    <s v="Anual"/>
  </r>
  <r>
    <n v="200"/>
    <x v="13"/>
    <s v="GESTIÓN Y DESARROLLO DEL TALENTO HUMANO"/>
    <s v="Anual"/>
    <s v="Positivo"/>
    <d v="2024-12-31T00:00:00"/>
    <n v="2024"/>
    <s v="Diciembre"/>
    <x v="13"/>
    <x v="2"/>
    <n v="80"/>
    <n v="87.4"/>
    <n v="1.0925"/>
    <n v="1.0925"/>
    <s v="%"/>
    <s v="%"/>
    <s v="200-2024-12-31"/>
    <n v="0"/>
    <n v="1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Contribuir a la formación permanente del equipo humano"/>
    <s v="Factor 10. Comunidad de profesores"/>
    <s v="Característica 31: Desarrollo profesoral"/>
    <s v="Último valor"/>
    <s v="Anual"/>
  </r>
  <r>
    <n v="200"/>
    <x v="13"/>
    <s v="GESTIÓN Y DESARROLLO DEL TALENTO HUMANO"/>
    <s v="Anual"/>
    <s v="Positivo"/>
    <d v="2025-06-30T00:00:00"/>
    <n v="2025"/>
    <s v="Junio"/>
    <x v="14"/>
    <x v="2"/>
    <n v="80"/>
    <n v="87.4"/>
    <n v="1.0925"/>
    <n v="1.0925"/>
    <s v="%"/>
    <s v="%"/>
    <s v="200-2025-06-30"/>
    <n v="0"/>
    <n v="1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Contribuir a la formación permanente del equipo humano"/>
    <s v="Factor 10. Comunidad de profesores"/>
    <s v="Característica 31: Desarrollo profesoral"/>
    <s v="Último valor"/>
    <s v="Anual"/>
  </r>
  <r>
    <n v="202"/>
    <x v="14"/>
    <s v="GESTIÓN Y DESARROLLO DEL TALENTO HUMANO"/>
    <s v="Anual"/>
    <s v="Positivo"/>
    <d v="2017-12-31T00:00:00"/>
    <n v="2017"/>
    <s v="Diciembre"/>
    <x v="16"/>
    <x v="2"/>
    <m/>
    <n v="64.400000000000006"/>
    <m/>
    <m/>
    <s v="DEC"/>
    <s v="DEC"/>
    <s v="202-2017-12-31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2"/>
    <x v="14"/>
    <s v="GESTIÓN Y DESARROLLO DEL TALENTO HUMANO"/>
    <s v="Anual"/>
    <s v="Positivo"/>
    <d v="2017-12-31T00:00:00"/>
    <n v="2017"/>
    <s v="Diciembre"/>
    <x v="16"/>
    <x v="1"/>
    <m/>
    <n v="64.400000000000006"/>
    <m/>
    <m/>
    <s v="DEC"/>
    <s v="DEC"/>
    <s v="202-2017-12-31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2"/>
    <x v="14"/>
    <s v="GESTIÓN Y DESARROLLO DEL TALENTO HUMANO"/>
    <s v="Anual"/>
    <s v="Positivo"/>
    <d v="2019-12-31T00:00:00"/>
    <n v="2019"/>
    <s v="Diciembre"/>
    <x v="3"/>
    <x v="1"/>
    <m/>
    <n v="77.099999999999994"/>
    <m/>
    <m/>
    <s v="DEC"/>
    <s v="DEC"/>
    <s v="202-2019-12-31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2"/>
    <x v="14"/>
    <s v="GESTIÓN Y DESARROLLO DEL TALENTO HUMANO"/>
    <s v="Anual"/>
    <s v="Positivo"/>
    <d v="2019-12-31T00:00:00"/>
    <n v="2019"/>
    <s v="Diciembre"/>
    <x v="3"/>
    <x v="2"/>
    <m/>
    <n v="77.099999999999994"/>
    <m/>
    <m/>
    <s v="DEC"/>
    <s v="DEC"/>
    <s v="202-2019-12-31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2"/>
    <x v="14"/>
    <s v="GESTIÓN Y DESARROLLO DEL TALENTO HUMANO"/>
    <s v="Anual"/>
    <s v="Positivo"/>
    <d v="2021-12-31T00:00:00"/>
    <n v="2021"/>
    <s v="Diciembre"/>
    <x v="7"/>
    <x v="1"/>
    <m/>
    <n v="61.7"/>
    <m/>
    <m/>
    <s v="DEC"/>
    <s v="DEC"/>
    <s v="202-2021-12-31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2"/>
    <x v="14"/>
    <s v="GESTIÓN Y DESARROLLO DEL TALENTO HUMANO"/>
    <s v="Anual"/>
    <s v="Positivo"/>
    <d v="2021-12-31T00:00:00"/>
    <n v="2021"/>
    <s v="Diciembre"/>
    <x v="7"/>
    <x v="2"/>
    <m/>
    <n v="61.7"/>
    <m/>
    <m/>
    <s v="DEC"/>
    <s v="DEC"/>
    <s v="202-2021-12-31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2"/>
    <x v="14"/>
    <s v="GESTIÓN Y DESARROLLO DEL TALENTO HUMANO"/>
    <s v="Anual"/>
    <s v="Positivo"/>
    <d v="2023-12-31T00:00:00"/>
    <n v="2023"/>
    <s v="Diciembre"/>
    <x v="11"/>
    <x v="1"/>
    <n v="66"/>
    <n v="64.7"/>
    <n v="0.98030303030303034"/>
    <n v="0.98030303030303034"/>
    <s v="DEC"/>
    <s v="DEC"/>
    <s v="202-2023-12-31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2"/>
    <x v="14"/>
    <s v="GESTIÓN Y DESARROLLO DEL TALENTO HUMANO"/>
    <s v="Anual"/>
    <s v="Positivo"/>
    <d v="2023-12-31T00:00:00"/>
    <n v="2023"/>
    <s v="Diciembre"/>
    <x v="11"/>
    <x v="2"/>
    <n v="66"/>
    <n v="64.7"/>
    <n v="0.98030303030303034"/>
    <n v="0.98030303030303034"/>
    <s v="ENT"/>
    <s v="DEC"/>
    <s v="202-2023-12-31"/>
    <n v="1"/>
    <n v="1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2"/>
    <x v="14"/>
    <s v="GESTIÓN Y DESARROLLO DEL TALENTO HUMANO"/>
    <s v="Anual"/>
    <s v="Positivo"/>
    <d v="2025-06-30T00:00:00"/>
    <n v="2025"/>
    <s v="Diciembre"/>
    <x v="15"/>
    <x v="1"/>
    <n v="68.7"/>
    <n v="81"/>
    <n v="1.179039301310044"/>
    <n v="1.179039301310044"/>
    <s v="DEC"/>
    <s v="DEC"/>
    <s v="202-2025-06-30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2"/>
    <x v="14"/>
    <s v="GESTIÓN Y DESARROLLO DEL TALENTO HUMANO"/>
    <s v="Anual"/>
    <s v="Positivo"/>
    <d v="2025-12-31T00:00:00"/>
    <n v="2025"/>
    <s v="Diciembre"/>
    <x v="15"/>
    <x v="2"/>
    <n v="68.7"/>
    <n v="81"/>
    <n v="1.179039301310044"/>
    <n v="1.179039301310044"/>
    <s v="DEC"/>
    <s v="DEC"/>
    <s v="202-2025-06-30"/>
    <n v="1"/>
    <n v="1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Estar en el ranking de la 100 mejores empresas para trabajar en Colombia "/>
    <s v="Factor 3. Desarrollo, gestión y sostenibilidad institucional"/>
    <s v="Característica 9: Capacidad de gestión"/>
    <s v="Último valor"/>
    <s v="Anual"/>
  </r>
  <r>
    <n v="203"/>
    <x v="15"/>
    <s v="Planeación Financiera"/>
    <s v="Semestral"/>
    <s v="Positivo"/>
    <d v="2022-06-30T00:00:00"/>
    <n v="2022"/>
    <s v="Junio"/>
    <x v="8"/>
    <x v="0"/>
    <n v="113672"/>
    <n v="119144"/>
    <n v="1.0481385037652191"/>
    <n v="1.0481385037652191"/>
    <s v="$"/>
    <s v="$"/>
    <s v="203-2022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2-12-31T00:00:00"/>
    <n v="2022"/>
    <s v="Diciembre"/>
    <x v="9"/>
    <x v="1"/>
    <n v="110768"/>
    <n v="121738"/>
    <n v="1.099035822620251"/>
    <n v="1.099035822620251"/>
    <s v="$"/>
    <s v="$"/>
    <s v="203-2022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2-12-31T00:00:00"/>
    <n v="2022"/>
    <s v="Diciembre"/>
    <x v="9"/>
    <x v="2"/>
    <n v="224440"/>
    <n v="241706"/>
    <n v="1.0769292461236859"/>
    <n v="1.0769292461236859"/>
    <s v="$"/>
    <s v="$"/>
    <s v="203-2022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3-06-30T00:00:00"/>
    <n v="2023"/>
    <s v="Junio"/>
    <x v="10"/>
    <x v="0"/>
    <n v="123465.69985999999"/>
    <n v="129185.069909"/>
    <n v="1.046323554278519"/>
    <n v="1.046323554278519"/>
    <s v="$"/>
    <s v="$"/>
    <s v="203-2023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3-12-31T00:00:00"/>
    <n v="2023"/>
    <s v="Diciembre"/>
    <x v="11"/>
    <x v="1"/>
    <n v="141378.739416"/>
    <n v="144681.981019"/>
    <n v="1.023364486178366"/>
    <n v="1.023364486178366"/>
    <s v="$"/>
    <s v="$"/>
    <s v="203-2023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3-12-31T00:00:00"/>
    <n v="2023"/>
    <s v="Diciembre"/>
    <x v="11"/>
    <x v="2"/>
    <n v="264844.43927600002"/>
    <n v="273867.05092800001"/>
    <n v="1.0340675895505489"/>
    <n v="1.0340675895505489"/>
    <s v="$"/>
    <s v="$"/>
    <s v="203-2023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4-06-30T00:00:00"/>
    <n v="2024"/>
    <s v="Junio"/>
    <x v="12"/>
    <x v="0"/>
    <n v="142872.2583337345"/>
    <n v="145741.54103414001"/>
    <n v="1.0200828539694751"/>
    <n v="1.0200828539694751"/>
    <s v="$"/>
    <s v="$"/>
    <s v="203-2024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4-12-31T00:00:00"/>
    <n v="2024"/>
    <s v="Diciembre"/>
    <x v="13"/>
    <x v="1"/>
    <n v="146766.19433692191"/>
    <n v="152125.58089486"/>
    <n v="1.036516491976585"/>
    <n v="1.036516491976585"/>
    <s v="$"/>
    <s v="$"/>
    <s v="203-2024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4-12-31T00:00:00"/>
    <n v="2024"/>
    <s v="Diciembre"/>
    <x v="13"/>
    <x v="2"/>
    <n v="289638.45267000003"/>
    <n v="297867.12192900002"/>
    <n v="1.028410140929648"/>
    <n v="1.028410140929648"/>
    <s v="$"/>
    <s v="$"/>
    <s v="203-2024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5-06-30T00:00:00"/>
    <n v="2025"/>
    <s v="Junio"/>
    <x v="14"/>
    <x v="0"/>
    <n v="149950.76733"/>
    <n v="167595.14529690001"/>
    <n v="1.1176678071147821"/>
    <n v="1.1176678071147821"/>
    <s v="$"/>
    <s v="$"/>
    <s v="203-2025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4"/>
    <x v="16"/>
    <s v="Planeación Financiera"/>
    <s v="Semestral"/>
    <s v="Positivo"/>
    <d v="2022-06-30T00:00:00"/>
    <n v="2022"/>
    <s v="Junio"/>
    <x v="8"/>
    <x v="0"/>
    <n v="58804"/>
    <n v="37101"/>
    <n v="0.63092646758723891"/>
    <n v="0.63092646758723891"/>
    <s v="$"/>
    <s v="$"/>
    <s v="204-2022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2-12-30T00:00:00"/>
    <n v="2022"/>
    <s v="Diciembre"/>
    <x v="9"/>
    <x v="1"/>
    <n v="82987"/>
    <n v="18386"/>
    <n v="0.22155277332594259"/>
    <n v="0.22155277332594259"/>
    <s v="$"/>
    <s v="$"/>
    <s v="204-2022-12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2-12-30T00:00:00"/>
    <n v="2022"/>
    <s v="Diciembre"/>
    <x v="9"/>
    <x v="2"/>
    <m/>
    <m/>
    <m/>
    <m/>
    <s v="$"/>
    <s v="$"/>
    <s v="204-2022-12-30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3-06-30T00:00:00"/>
    <n v="2023"/>
    <s v="Junio"/>
    <x v="10"/>
    <x v="0"/>
    <n v="8772.7956340000001"/>
    <n v="17085.606216"/>
    <n v="1.3"/>
    <n v="1.9475668793403469"/>
    <s v="$"/>
    <s v="$"/>
    <s v="204-2023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3-12-31T00:00:00"/>
    <n v="2023"/>
    <s v="Diciembre"/>
    <x v="11"/>
    <x v="1"/>
    <n v="78073.811390316565"/>
    <n v="123931.15668299999"/>
    <n v="1.3"/>
    <n v="1.5873588656179161"/>
    <s v="$"/>
    <s v="$"/>
    <s v="204-2023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3-12-31T00:00:00"/>
    <n v="2023"/>
    <s v="Diciembre"/>
    <x v="11"/>
    <x v="2"/>
    <n v="86846.60702431656"/>
    <n v="141016.76289899999"/>
    <n v="1.3"/>
    <n v="1.6237452185036549"/>
    <s v="$"/>
    <s v="$"/>
    <s v="204-2023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4-06-30T00:00:00"/>
    <n v="2024"/>
    <s v="Junio"/>
    <x v="12"/>
    <x v="0"/>
    <n v="20714.519157999999"/>
    <n v="27665.037063"/>
    <n v="1.3"/>
    <n v="1.335538462273004"/>
    <s v="$"/>
    <s v="$"/>
    <s v="204-2024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4-12-31T00:00:00"/>
    <n v="2024"/>
    <s v="Diciembre"/>
    <x v="13"/>
    <x v="1"/>
    <n v="101459.98229760421"/>
    <n v="149297.71176100001"/>
    <n v="1.3"/>
    <n v="1.335538462273004"/>
    <s v="$"/>
    <s v="$"/>
    <s v="204-2024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4-12-31T00:00:00"/>
    <n v="2024"/>
    <s v="Diciembre"/>
    <x v="13"/>
    <x v="2"/>
    <n v="122440.821151"/>
    <n v="176962.74882400001"/>
    <n v="1.3"/>
    <n v="1.4452920779235949"/>
    <s v="$"/>
    <s v="$"/>
    <s v="204-2024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5-06-30T00:00:00"/>
    <n v="2025"/>
    <s v="Junio"/>
    <x v="14"/>
    <x v="0"/>
    <n v="23623.074006999999"/>
    <n v="20526.599049"/>
    <n v="0.86892159093763788"/>
    <n v="0.86892159093763788"/>
    <s v="$"/>
    <s v="$"/>
    <s v="204-2025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4"/>
    <x v="16"/>
    <s v="Planeación Financiera"/>
    <s v="Semestral"/>
    <s v="Positivo"/>
    <d v="2025-06-30T00:00:00"/>
    <n v="2025"/>
    <s v="Junio"/>
    <x v="14"/>
    <x v="2"/>
    <n v="23623.074006999999"/>
    <n v="20526.599049"/>
    <n v="0.86892159093763788"/>
    <n v="0.86892159093763788"/>
    <s v="$"/>
    <s v="$"/>
    <s v="204-2025-06-30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5"/>
    <x v="17"/>
    <s v="Planeación Financiera"/>
    <s v="Semestral"/>
    <s v="Positivo"/>
    <d v="2023-06-30T00:00:00"/>
    <n v="2023"/>
    <s v="Junio"/>
    <x v="10"/>
    <x v="0"/>
    <n v="2622.5539939999999"/>
    <n v="4338.4199079999999"/>
    <n v="1.3"/>
    <n v="1.654272864515139"/>
    <s v="$"/>
    <s v="$"/>
    <s v="205-2023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5"/>
    <x v="17"/>
    <s v="Planeación Financiera"/>
    <s v="Semestral"/>
    <s v="Positivo"/>
    <d v="2023-12-31T00:00:00"/>
    <n v="2023"/>
    <s v="Diciembre"/>
    <x v="11"/>
    <x v="1"/>
    <n v="2041.786670711695"/>
    <n v="7345.4747770000004"/>
    <n v="1.3"/>
    <n v="3.597572107981108"/>
    <s v="$"/>
    <s v="$"/>
    <s v="205-2023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5"/>
    <x v="17"/>
    <s v="Planeación Financiera"/>
    <s v="Semestral"/>
    <s v="Positivo"/>
    <d v="2023-12-31T00:00:00"/>
    <n v="2023"/>
    <s v="Diciembre"/>
    <x v="11"/>
    <x v="2"/>
    <n v="2041.7866710000001"/>
    <n v="8708.3762700000007"/>
    <n v="1.3"/>
    <n v="4.2650764615555667"/>
    <s v="$"/>
    <s v="$"/>
    <s v="205-2023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5"/>
    <x v="17"/>
    <s v="Planeación Financiera"/>
    <s v="Semestral"/>
    <s v="Positivo"/>
    <d v="2024-06-30T00:00:00"/>
    <n v="2024"/>
    <s v="Junio"/>
    <x v="12"/>
    <x v="0"/>
    <n v="2039.2370430000001"/>
    <n v="4385.721681"/>
    <n v="1.3"/>
    <n v="2.1506679157553932"/>
    <s v="$"/>
    <s v="$"/>
    <s v="205-2024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5"/>
    <x v="17"/>
    <s v="Planeación Financiera"/>
    <s v="Semestral"/>
    <s v="Positivo"/>
    <d v="2024-12-31T00:00:00"/>
    <n v="2024"/>
    <s v="Diciembre"/>
    <x v="13"/>
    <x v="1"/>
    <n v="2783.2196537144901"/>
    <n v="5092.3929009999993"/>
    <n v="1.3"/>
    <n v="1.829676969334304"/>
    <s v="$"/>
    <s v="$"/>
    <s v="205-2024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5"/>
    <x v="17"/>
    <s v="Planeación Financiera"/>
    <s v="Semestral"/>
    <s v="Positivo"/>
    <d v="2024-12-31T00:00:00"/>
    <n v="2024"/>
    <s v="Diciembre"/>
    <x v="13"/>
    <x v="2"/>
    <n v="2783.219654"/>
    <n v="5141.1028649999998"/>
    <n v="1.3"/>
    <n v="1.847178269818297"/>
    <s v="$"/>
    <s v="$"/>
    <s v="205-2024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5"/>
    <x v="17"/>
    <s v="Planeación Financiera"/>
    <s v="Semestral"/>
    <s v="Positivo"/>
    <d v="2025-06-30T00:00:00"/>
    <n v="2025"/>
    <s v="Junio"/>
    <x v="14"/>
    <x v="0"/>
    <n v="4817.8363419999996"/>
    <n v="8976.1202028999996"/>
    <n v="1.3"/>
    <n v="1.8631019332578229"/>
    <s v="$"/>
    <s v="$"/>
    <s v="205-2025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5"/>
    <x v="17"/>
    <s v="Planeación Financiera"/>
    <s v="Semestral"/>
    <s v="Positivo"/>
    <d v="2025-06-30T00:00:00"/>
    <n v="2025"/>
    <s v="Junio"/>
    <x v="14"/>
    <x v="2"/>
    <n v="4817.8363419999996"/>
    <n v="8976.1202028999996"/>
    <n v="1.3"/>
    <n v="1.8631019332578229"/>
    <s v="$"/>
    <s v="$"/>
    <s v="205-2025-06-30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7"/>
    <x v="18"/>
    <s v="Planeación Financiera"/>
    <s v="Semestral"/>
    <s v="Negativo"/>
    <d v="2023-06-30T00:00:00"/>
    <n v="2023"/>
    <s v="Junio"/>
    <x v="10"/>
    <x v="0"/>
    <n v="114640.77968199999"/>
    <n v="116015.126638"/>
    <n v="0.98815372619220287"/>
    <n v="0.98815372619220287"/>
    <s v="$"/>
    <s v="$"/>
    <s v="207-2023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7"/>
    <x v="18"/>
    <s v="Planeación Financiera"/>
    <s v="Semestral"/>
    <s v="Negativo"/>
    <d v="2023-12-31T00:00:00"/>
    <n v="2023"/>
    <s v="Diciembre"/>
    <x v="11"/>
    <x v="1"/>
    <n v="238770.96657245801"/>
    <n v="247359.733075"/>
    <n v="0.96527823507984689"/>
    <n v="0.96527823507984689"/>
    <s v="$"/>
    <s v="$"/>
    <s v="207-2023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7"/>
    <x v="18"/>
    <s v="Planeación Financiera"/>
    <s v="Semestral"/>
    <s v="Negativo"/>
    <d v="2023-12-31T00:00:00"/>
    <n v="2023"/>
    <s v="Diciembre"/>
    <x v="11"/>
    <x v="2"/>
    <n v="238770.96657245801"/>
    <n v="247359.73307500011"/>
    <n v="0.96527823507984656"/>
    <n v="0.96527823507984656"/>
    <s v="$"/>
    <s v="$"/>
    <s v="207-2023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7"/>
    <x v="18"/>
    <s v="Planeación Financiera"/>
    <s v="Semestral"/>
    <s v="Negativo"/>
    <d v="2024-06-30T00:00:00"/>
    <n v="2024"/>
    <s v="Junio"/>
    <x v="12"/>
    <x v="0"/>
    <n v="128735.29679399999"/>
    <n v="131039.3223"/>
    <n v="1.017897387611471"/>
    <n v="1.017897387611471"/>
    <s v="$"/>
    <s v="$"/>
    <s v="207-2024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7"/>
    <x v="18"/>
    <s v="Planeación Financiera"/>
    <s v="Semestral"/>
    <s v="Negativo"/>
    <d v="2024-12-31T00:00:00"/>
    <n v="2024"/>
    <s v="Diciembre"/>
    <x v="13"/>
    <x v="1"/>
    <n v="262628.34438982193"/>
    <n v="268399.19981700002"/>
    <n v="1.017897387611471"/>
    <n v="1.017897387611471"/>
    <s v="$"/>
    <s v="$"/>
    <s v="207-2024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7"/>
    <x v="18"/>
    <s v="Planeación Financiera"/>
    <s v="Semestral"/>
    <s v="Negativo"/>
    <d v="2024-12-31T00:00:00"/>
    <n v="2024"/>
    <s v="Diciembre"/>
    <x v="13"/>
    <x v="2"/>
    <n v="262628.34438999998"/>
    <n v="268399.19981700002"/>
    <n v="1.0219734676407599"/>
    <n v="1.0219734676407599"/>
    <s v="$"/>
    <s v="$"/>
    <s v="207-2024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7"/>
    <x v="18"/>
    <s v="Planeación Financiera"/>
    <s v="Semestral"/>
    <s v="Negativo"/>
    <d v="2025-06-30T00:00:00"/>
    <n v="2025"/>
    <s v="Junio"/>
    <x v="14"/>
    <x v="0"/>
    <n v="131244.07283600001"/>
    <n v="145546.91852800001"/>
    <n v="1.108978983834741"/>
    <n v="1.108978983834741"/>
    <s v="$"/>
    <s v="$"/>
    <s v="207-2025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07"/>
    <x v="18"/>
    <s v="Planeación Financiera"/>
    <s v="Semestral"/>
    <s v="Negativo"/>
    <d v="2025-06-30T00:00:00"/>
    <n v="2025"/>
    <s v="Junio"/>
    <x v="14"/>
    <x v="2"/>
    <n v="131244.07283600001"/>
    <n v="145546.91852800001"/>
    <n v="1.108978983834741"/>
    <n v="1.108978983834741"/>
    <s v="$"/>
    <s v="$"/>
    <s v="207-2025-06-30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Último valor"/>
    <s v="Anual"/>
  </r>
  <r>
    <n v="228"/>
    <x v="19"/>
    <s v="GESTIÓN AMBIENTAL"/>
    <s v="Anual"/>
    <s v="Positivo"/>
    <d v="2022-12-31T00:00:00"/>
    <n v="2022"/>
    <s v="Diciembre"/>
    <x v="9"/>
    <x v="1"/>
    <n v="100"/>
    <n v="100.11"/>
    <n v="1.0011000000000001"/>
    <n v="1.0011000000000001"/>
    <m/>
    <m/>
    <s v="228-2022-12-31"/>
    <n v="1"/>
    <n v="1"/>
    <s v="Semestral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28"/>
    <x v="19"/>
    <s v="GESTIÓN AMBIENTAL"/>
    <s v="Anual"/>
    <s v="Positivo"/>
    <d v="2022-12-31T00:00:00"/>
    <n v="2022"/>
    <s v="Diciembre"/>
    <x v="9"/>
    <x v="2"/>
    <n v="170.99"/>
    <n v="235"/>
    <n v="1"/>
    <n v="1.3743493771565589"/>
    <s v="tCO2e"/>
    <s v="tCO2e"/>
    <s v="228-2022-12-31"/>
    <n v="1"/>
    <n v="0"/>
    <s v="Cierre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28"/>
    <x v="19"/>
    <s v="GESTIÓN AMBIENTAL"/>
    <s v="Anual"/>
    <s v="Positivo"/>
    <d v="2023-12-31T00:00:00"/>
    <n v="2023"/>
    <s v="Diciembre"/>
    <x v="11"/>
    <x v="2"/>
    <n v="622.69000000000005"/>
    <n v="622.68999999999994"/>
    <n v="0.99999999999999978"/>
    <n v="0.99999999999999978"/>
    <s v="tCO2e"/>
    <s v="tCO2e"/>
    <s v="228-2023-12-31"/>
    <n v="1"/>
    <n v="1"/>
    <s v="Cierre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28"/>
    <x v="19"/>
    <s v="GESTIÓN AMBIENTAL"/>
    <s v="Anual"/>
    <s v="Positivo"/>
    <d v="2024-12-31T00:00:00"/>
    <n v="2024"/>
    <s v="Diciembre"/>
    <x v="13"/>
    <x v="1"/>
    <m/>
    <m/>
    <m/>
    <m/>
    <m/>
    <m/>
    <s v="228-2024-12-31"/>
    <n v="0"/>
    <n v="0"/>
    <s v="Semestral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28"/>
    <x v="19"/>
    <s v="GESTIÓN AMBIENTAL"/>
    <s v="Anual"/>
    <s v="Positivo"/>
    <d v="2024-12-31T00:00:00"/>
    <n v="2024"/>
    <s v="Diciembre"/>
    <x v="13"/>
    <x v="2"/>
    <n v="476.48"/>
    <n v="477"/>
    <n v="1"/>
    <n v="1.0010913364674281"/>
    <s v="tCO2e"/>
    <s v="tCO2e"/>
    <s v="228-2024-12-31"/>
    <n v="1"/>
    <n v="0"/>
    <s v="Cierre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28"/>
    <x v="19"/>
    <s v="GESTIÓN AMBIENTAL"/>
    <s v="Anual"/>
    <s v="Positivo"/>
    <d v="2025-06-30T00:00:00"/>
    <n v="2025"/>
    <s v="Junio"/>
    <x v="14"/>
    <x v="2"/>
    <n v="622.69000000000005"/>
    <n v="622.69100000000003"/>
    <n v="1"/>
    <n v="1.0000016059355381"/>
    <s v="tCO2e"/>
    <s v="tCO2e"/>
    <s v="228-2025-06-30"/>
    <n v="1"/>
    <n v="1"/>
    <s v="Cierre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44"/>
    <x v="20"/>
    <s v="GESTIÓN AMBIENTAL"/>
    <s v="Anual"/>
    <s v="Negativo"/>
    <d v="2022-12-31T00:00:00"/>
    <n v="2022"/>
    <s v="Diciembre"/>
    <x v="9"/>
    <x v="2"/>
    <n v="27"/>
    <n v="27"/>
    <n v="1"/>
    <n v="1"/>
    <s v="ENT"/>
    <s v="ENT"/>
    <s v="244-2022-12-31"/>
    <n v="0"/>
    <n v="0"/>
    <s v="Cierre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44"/>
    <x v="20"/>
    <s v="GESTIÓN AMBIENTAL"/>
    <s v="Anual"/>
    <s v="Negativo"/>
    <d v="2023-12-31T00:00:00"/>
    <n v="2023"/>
    <s v="Diciembre"/>
    <x v="11"/>
    <x v="1"/>
    <n v="25"/>
    <n v="24"/>
    <n v="1.041666666666667"/>
    <n v="1.041666666666667"/>
    <m/>
    <m/>
    <s v="244-2023-12-31"/>
    <n v="0"/>
    <n v="0"/>
    <s v="Semestral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44"/>
    <x v="20"/>
    <s v="GESTIÓN AMBIENTAL"/>
    <s v="Anual"/>
    <s v="Negativo"/>
    <d v="2023-12-31T00:00:00"/>
    <n v="2023"/>
    <s v="Diciembre"/>
    <x v="11"/>
    <x v="2"/>
    <n v="25"/>
    <n v="24"/>
    <n v="1.041666666666667"/>
    <n v="1.041666666666667"/>
    <s v="ENT"/>
    <s v="ENT"/>
    <s v="244-2023-12-31"/>
    <n v="0"/>
    <n v="0"/>
    <s v="Cierre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44"/>
    <x v="20"/>
    <s v="GESTIÓN AMBIENTAL"/>
    <s v="Anual"/>
    <s v="Negativo"/>
    <d v="2024-12-31T00:00:00"/>
    <n v="2024"/>
    <s v="Diciembre"/>
    <x v="13"/>
    <x v="1"/>
    <n v="25"/>
    <n v="25"/>
    <n v="1"/>
    <n v="1"/>
    <m/>
    <m/>
    <s v="244-2024-12-31"/>
    <n v="0"/>
    <n v="0"/>
    <s v="Semestral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44"/>
    <x v="20"/>
    <s v="GESTIÓN AMBIENTAL"/>
    <s v="Anual"/>
    <s v="Negativo"/>
    <d v="2024-12-31T00:00:00"/>
    <n v="2024"/>
    <s v="Diciembre"/>
    <x v="13"/>
    <x v="2"/>
    <n v="25"/>
    <n v="25"/>
    <n v="1"/>
    <n v="1"/>
    <s v="ENT"/>
    <s v="ENT"/>
    <s v="244-2024-12-31"/>
    <n v="0"/>
    <n v="0"/>
    <s v="Cierre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44"/>
    <x v="20"/>
    <s v="GESTIÓN AMBIENTAL"/>
    <s v="Anual"/>
    <s v="Negativo"/>
    <d v="2025-06-30T00:00:00"/>
    <n v="2025"/>
    <s v="Junio"/>
    <x v="14"/>
    <x v="2"/>
    <n v="25"/>
    <n v="25"/>
    <n v="1"/>
    <n v="1"/>
    <s v="ENT"/>
    <s v="ENT"/>
    <s v="244-2025-06-30"/>
    <n v="0"/>
    <n v="0"/>
    <s v="Cierre"/>
    <s v="Estratégico"/>
    <s v="GESTIÓN AMBIENTAL"/>
    <s v="Sostenibilidad"/>
    <s v="Contribuir a la inclusión, la proyección social y el cuidado del medio ambiente"/>
    <s v="Promover una cultura de protección y cuidado del medio ambiente"/>
    <s v="Factor 3. Desarrollo, gestión y sostenibilidad institucional"/>
    <s v="Característica 11: Infraestructura física y tecnológica"/>
    <s v="Último valor"/>
    <s v="Anual"/>
  </r>
  <r>
    <n v="245"/>
    <x v="21"/>
    <s v="Permanencia"/>
    <s v="Semestral"/>
    <s v="Positivo"/>
    <d v="2022-06-30T00:00:00"/>
    <n v="2022"/>
    <s v="Junio"/>
    <x v="8"/>
    <x v="0"/>
    <n v="88.5"/>
    <n v="87"/>
    <n v="0.98305084745762716"/>
    <n v="0.98305084745762716"/>
    <s v="%"/>
    <s v="%"/>
    <s v="245-2022-06-30"/>
    <n v="0"/>
    <n v="0"/>
    <s v="Semestral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2-12-31T00:00:00"/>
    <n v="2022"/>
    <s v="Diciembre"/>
    <x v="9"/>
    <x v="1"/>
    <n v="88.5"/>
    <n v="85.9"/>
    <n v="0.97062146892655377"/>
    <n v="0.97062146892655377"/>
    <s v="%"/>
    <s v="%"/>
    <s v="245-2022-12-31"/>
    <n v="0"/>
    <n v="0"/>
    <s v="Semestral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2-12-31T00:00:00"/>
    <n v="2022"/>
    <s v="Diciembre"/>
    <x v="9"/>
    <x v="2"/>
    <n v="88.5"/>
    <n v="85.9"/>
    <n v="0.97062146892655377"/>
    <n v="0.97062146892655377"/>
    <s v="%"/>
    <s v="%"/>
    <s v="245-2022-12-31"/>
    <n v="1"/>
    <n v="0"/>
    <s v="Cierre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3-06-30T00:00:00"/>
    <n v="2023"/>
    <s v="Junio"/>
    <x v="10"/>
    <x v="0"/>
    <n v="87"/>
    <n v="85.12"/>
    <n v="0.97839080459770122"/>
    <n v="0.97839080459770122"/>
    <s v="%"/>
    <s v="%"/>
    <s v="245-2023-06-30"/>
    <n v="0"/>
    <n v="0"/>
    <s v="Semestral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3-12-31T00:00:00"/>
    <n v="2023"/>
    <s v="Diciembre"/>
    <x v="11"/>
    <x v="1"/>
    <n v="87"/>
    <n v="85.38"/>
    <n v="0.9813793103448275"/>
    <n v="0.9813793103448275"/>
    <s v="%"/>
    <s v="%"/>
    <s v="245-2023-12-31"/>
    <n v="0"/>
    <n v="0"/>
    <s v="Semestral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3-12-31T00:00:00"/>
    <n v="2023"/>
    <s v="Diciembre"/>
    <x v="11"/>
    <x v="2"/>
    <n v="87"/>
    <n v="85.38"/>
    <n v="0.9813793103448275"/>
    <n v="0.9813793103448275"/>
    <s v="%"/>
    <s v="%"/>
    <s v="245-2023-12-31"/>
    <n v="0"/>
    <n v="1"/>
    <s v="Cierre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4-06-30T00:00:00"/>
    <n v="2024"/>
    <s v="Junio"/>
    <x v="12"/>
    <x v="0"/>
    <n v="85"/>
    <n v="85.13"/>
    <n v="1.001529411764706"/>
    <n v="1.001529411764706"/>
    <s v="%"/>
    <s v="%"/>
    <s v="245-2024-06-30"/>
    <n v="0"/>
    <n v="0"/>
    <s v="Semestral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4-12-31T00:00:00"/>
    <n v="2024"/>
    <s v="Diciembre"/>
    <x v="13"/>
    <x v="1"/>
    <n v="85"/>
    <n v="85.19"/>
    <n v="1.0022352941176469"/>
    <n v="1.0022352941176469"/>
    <m/>
    <m/>
    <s v="245-2024-12-31"/>
    <n v="0"/>
    <n v="0"/>
    <s v="Semestral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4-12-31T00:00:00"/>
    <n v="2024"/>
    <s v="Diciembre"/>
    <x v="13"/>
    <x v="2"/>
    <n v="85"/>
    <n v="85.19"/>
    <n v="1.0022352941176469"/>
    <n v="1.0022352941176469"/>
    <s v="%"/>
    <s v="%"/>
    <s v="245-2024-12-31"/>
    <n v="0"/>
    <n v="1"/>
    <s v="Cierre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5-06-30T00:00:00"/>
    <n v="2025"/>
    <s v="Junio"/>
    <x v="14"/>
    <x v="0"/>
    <n v="85.7"/>
    <n v="86.5"/>
    <n v="1.009334889148191"/>
    <n v="1.009334889148191"/>
    <s v="%"/>
    <s v="%"/>
    <s v="245-2025-06-30"/>
    <n v="1"/>
    <n v="1"/>
    <s v="Semestral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45"/>
    <x v="21"/>
    <s v="Permanencia"/>
    <s v="Semestral"/>
    <s v="Positivo"/>
    <d v="2025-06-30T00:00:00"/>
    <n v="2025"/>
    <s v="Junio"/>
    <x v="14"/>
    <x v="2"/>
    <n v="85.7"/>
    <n v="86.5"/>
    <n v="1.009334889148191"/>
    <n v="1.009334889148191"/>
    <s v="%"/>
    <s v="%"/>
    <s v="245-2025-06-30"/>
    <n v="1"/>
    <n v="1"/>
    <s v="Cierre"/>
    <s v="Estratégico"/>
    <s v="Permanencia"/>
    <s v="Experiencia"/>
    <s v="Garantizar una experiencia significativa y de valor agregado a la comunidad POLI"/>
    <s v="Alcanzar una tasa de permanencia intersemestral superior al 90%"/>
    <s v="Factor 11. Comunidad de estudiantes"/>
    <s v="Característica 34: Admisión y permanencia de estudiantes"/>
    <s v="Promedio"/>
    <s v="Semestral"/>
  </r>
  <r>
    <n v="274"/>
    <x v="22"/>
    <s v="Rematrícula"/>
    <s v="Semestral"/>
    <s v="Positivo"/>
    <d v="2018-06-30T00:00:00"/>
    <n v="2018"/>
    <s v="Junio"/>
    <x v="0"/>
    <x v="0"/>
    <m/>
    <n v="37269"/>
    <m/>
    <m/>
    <s v="ENT"/>
    <s v="ENT"/>
    <s v="274-2018-06-30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18-12-31T00:00:00"/>
    <n v="2018"/>
    <s v="Diciembre"/>
    <x v="1"/>
    <x v="1"/>
    <m/>
    <n v="39789"/>
    <m/>
    <m/>
    <s v="ENT"/>
    <s v="ENT"/>
    <s v="274-2018-12-31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18-12-31T00:00:00"/>
    <n v="2018"/>
    <s v="Diciembre"/>
    <x v="1"/>
    <x v="2"/>
    <m/>
    <n v="39789"/>
    <m/>
    <m/>
    <s v="ENT"/>
    <s v="ENT"/>
    <s v="274-2018-12-31"/>
    <n v="0"/>
    <n v="0"/>
    <s v="Cierre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19-06-30T00:00:00"/>
    <n v="2019"/>
    <s v="Junio"/>
    <x v="2"/>
    <x v="0"/>
    <m/>
    <n v="41502"/>
    <m/>
    <m/>
    <s v="ENT"/>
    <s v="ENT"/>
    <s v="274-2019-06-30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19-12-31T00:00:00"/>
    <n v="2019"/>
    <s v="Diciembre"/>
    <x v="3"/>
    <x v="1"/>
    <m/>
    <n v="43581"/>
    <m/>
    <m/>
    <s v="ENT"/>
    <s v="ENT"/>
    <s v="274-2019-12-31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19-12-31T00:00:00"/>
    <n v="2019"/>
    <s v="Diciembre"/>
    <x v="3"/>
    <x v="2"/>
    <m/>
    <n v="43581"/>
    <m/>
    <m/>
    <s v="ENT"/>
    <s v="ENT"/>
    <s v="274-2019-12-31"/>
    <n v="0"/>
    <n v="0"/>
    <s v="Cierre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0-06-30T00:00:00"/>
    <n v="2020"/>
    <s v="Junio"/>
    <x v="4"/>
    <x v="0"/>
    <m/>
    <n v="43711"/>
    <m/>
    <m/>
    <s v="ENT"/>
    <s v="ENT"/>
    <s v="274-2020-06-30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0-12-31T00:00:00"/>
    <n v="2020"/>
    <s v="Diciembre"/>
    <x v="5"/>
    <x v="1"/>
    <m/>
    <n v="41013"/>
    <m/>
    <m/>
    <s v="ENT"/>
    <s v="ENT"/>
    <s v="274-2020-12-31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0-12-31T00:00:00"/>
    <n v="2020"/>
    <s v="Diciembre"/>
    <x v="5"/>
    <x v="2"/>
    <m/>
    <n v="41013"/>
    <m/>
    <m/>
    <s v="ENT"/>
    <s v="ENT"/>
    <s v="274-2020-12-31"/>
    <n v="0"/>
    <n v="0"/>
    <s v="Cierre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1-06-30T00:00:00"/>
    <n v="2021"/>
    <s v="Junio"/>
    <x v="6"/>
    <x v="0"/>
    <m/>
    <n v="41394"/>
    <m/>
    <m/>
    <s v="ENT"/>
    <s v="ENT"/>
    <s v="274-2021-06-30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1-12-31T00:00:00"/>
    <n v="2021"/>
    <s v="Diciembre"/>
    <x v="7"/>
    <x v="1"/>
    <m/>
    <n v="40937"/>
    <m/>
    <m/>
    <s v="ENT"/>
    <s v="ENT"/>
    <s v="274-2021-12-31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1-12-31T00:00:00"/>
    <n v="2021"/>
    <s v="Diciembre"/>
    <x v="7"/>
    <x v="2"/>
    <m/>
    <n v="40937"/>
    <m/>
    <m/>
    <s v="ENT"/>
    <s v="ENT"/>
    <s v="274-2021-12-31"/>
    <n v="0"/>
    <n v="0"/>
    <s v="Cierre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2-06-30T00:00:00"/>
    <n v="2022"/>
    <s v="Junio"/>
    <x v="8"/>
    <x v="0"/>
    <n v="39623"/>
    <n v="40000"/>
    <n v="1.0095146758196001"/>
    <n v="1.0095146758196001"/>
    <s v="ENT"/>
    <s v="ENT"/>
    <s v="274-2022-06-30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2-12-31T00:00:00"/>
    <n v="2022"/>
    <s v="Diciembre"/>
    <x v="9"/>
    <x v="1"/>
    <n v="39817"/>
    <n v="40663"/>
    <n v="1.0212472059672999"/>
    <n v="1.0212472059672999"/>
    <s v="ENT"/>
    <s v="ENT"/>
    <s v="274-2022-12-31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2-12-31T00:00:00"/>
    <n v="2022"/>
    <s v="Diciembre"/>
    <x v="9"/>
    <x v="2"/>
    <n v="39817"/>
    <n v="40663"/>
    <n v="1.0212472059672999"/>
    <n v="1.0212472059672999"/>
    <s v="ENT"/>
    <s v="ENT"/>
    <s v="274-2022-12-31"/>
    <n v="0"/>
    <n v="0"/>
    <s v="Cierre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3-06-30T00:00:00"/>
    <n v="2023"/>
    <s v="Junio"/>
    <x v="10"/>
    <x v="0"/>
    <n v="40047"/>
    <n v="39091"/>
    <n v="0.97612804954178845"/>
    <n v="0.97612804954178845"/>
    <s v="ENT"/>
    <s v="ENT"/>
    <s v="274-2023-06-30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3-12-31T00:00:00"/>
    <n v="2023"/>
    <s v="Diciembre"/>
    <x v="11"/>
    <x v="1"/>
    <n v="41811"/>
    <n v="40771"/>
    <n v="0.97512616297146681"/>
    <n v="0.97512616297146681"/>
    <s v="ENT"/>
    <s v="ENT"/>
    <s v="274-2023-12-31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3-12-31T00:00:00"/>
    <n v="2023"/>
    <s v="Diciembre"/>
    <x v="11"/>
    <x v="2"/>
    <n v="41811"/>
    <n v="40770"/>
    <n v="0.97512616297146681"/>
    <n v="0.97512616297146681"/>
    <s v="ENT"/>
    <s v="ENT"/>
    <s v="274-2023-12-31"/>
    <n v="0"/>
    <n v="0"/>
    <s v="Cierre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4-06-30T00:00:00"/>
    <n v="2024"/>
    <s v="Junio"/>
    <x v="12"/>
    <x v="0"/>
    <n v="38813"/>
    <n v="39598"/>
    <n v="1.020225182284286"/>
    <n v="1.020225182284286"/>
    <s v="ENT"/>
    <s v="ENT"/>
    <s v="274-2024-06-30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4-12-31T00:00:00"/>
    <n v="2024"/>
    <s v="Diciembre"/>
    <x v="13"/>
    <x v="1"/>
    <n v="40441"/>
    <n v="41436"/>
    <n v="1.024603743725427"/>
    <n v="1.024603743725427"/>
    <s v="ENT"/>
    <s v="ENT"/>
    <s v="274-2024-12-31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4-12-31T00:00:00"/>
    <n v="2024"/>
    <s v="Diciembre"/>
    <x v="13"/>
    <x v="2"/>
    <n v="40441.334115206948"/>
    <n v="41436"/>
    <n v="1.024595278730408"/>
    <n v="1.024595278730408"/>
    <s v="ENT"/>
    <s v="ENT"/>
    <s v="274-2024-12-31"/>
    <n v="0"/>
    <n v="0"/>
    <s v="Cierre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5-06-30T00:00:00"/>
    <n v="2025"/>
    <s v="Junio"/>
    <x v="14"/>
    <x v="0"/>
    <n v="40026"/>
    <n v="42364"/>
    <n v="1.058412032179084"/>
    <n v="1.058412032179084"/>
    <s v="ENT"/>
    <s v="ENT"/>
    <s v="274-2025-06-30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5-12-31T00:00:00"/>
    <n v="2025"/>
    <s v="Diciembre"/>
    <x v="15"/>
    <x v="2"/>
    <n v="40026"/>
    <n v="45641"/>
    <n v="1.058412032179084"/>
    <n v="1.058412032179084"/>
    <s v="ENT"/>
    <s v="ENT"/>
    <s v="274-2025-06-30"/>
    <n v="0"/>
    <n v="0"/>
    <s v="Cierre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4"/>
    <x v="22"/>
    <s v="Rematrícula"/>
    <s v="Semestral"/>
    <s v="Positivo"/>
    <d v="2025-12-31T00:00:00"/>
    <n v="2025"/>
    <s v="Diciembre"/>
    <x v="15"/>
    <x v="1"/>
    <m/>
    <n v="45641"/>
    <m/>
    <m/>
    <s v="ENT"/>
    <s v="ENT"/>
    <s v="274-2025-12-31"/>
    <n v="0"/>
    <n v="0"/>
    <s v="Semestral"/>
    <s v="Estratégico"/>
    <s v="Rematrícula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276"/>
    <x v="23"/>
    <s v="Gestión Docente"/>
    <s v="Semestral"/>
    <s v="Negativo"/>
    <d v="2022-06-30T00:00:00"/>
    <n v="2022"/>
    <s v="Junio"/>
    <x v="8"/>
    <x v="0"/>
    <n v="93"/>
    <n v="106"/>
    <n v="0.87735849056603776"/>
    <n v="0.87735849056603776"/>
    <m/>
    <m/>
    <s v="276-2022-06-30"/>
    <n v="0"/>
    <n v="0"/>
    <s v="Semestral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2-12-31T00:00:00"/>
    <n v="2022"/>
    <s v="Diciembre"/>
    <x v="9"/>
    <x v="1"/>
    <n v="88"/>
    <n v="88"/>
    <n v="1"/>
    <n v="1"/>
    <m/>
    <m/>
    <s v="276-2022-12-31"/>
    <n v="0"/>
    <n v="0"/>
    <s v="Semestral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2-12-31T00:00:00"/>
    <n v="2022"/>
    <s v="Diciembre"/>
    <x v="9"/>
    <x v="2"/>
    <n v="88"/>
    <n v="88"/>
    <n v="1"/>
    <n v="1"/>
    <s v="ENT"/>
    <s v="ENT"/>
    <s v="276-2022-12-31"/>
    <n v="0"/>
    <n v="0"/>
    <s v="Cierre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3-06-30T00:00:00"/>
    <n v="2023"/>
    <s v="Junio"/>
    <x v="10"/>
    <x v="0"/>
    <n v="85"/>
    <n v="89.99"/>
    <n v="0.94454939437715302"/>
    <n v="0.94454939437715302"/>
    <m/>
    <m/>
    <s v="276-2023-06-30"/>
    <n v="0"/>
    <n v="0"/>
    <s v="Semestral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3-12-31T00:00:00"/>
    <n v="2023"/>
    <s v="Diciembre"/>
    <x v="11"/>
    <x v="1"/>
    <n v="85"/>
    <n v="84.5"/>
    <n v="1.0059171597633141"/>
    <n v="1.0059171597633141"/>
    <m/>
    <m/>
    <s v="276-2023-12-31"/>
    <n v="0"/>
    <n v="0"/>
    <s v="Semestral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3-12-31T00:00:00"/>
    <n v="2023"/>
    <s v="Diciembre"/>
    <x v="11"/>
    <x v="2"/>
    <n v="85"/>
    <n v="84.5"/>
    <n v="1"/>
    <n v="1.0059171597633141"/>
    <s v="ENT"/>
    <s v="DEC"/>
    <s v="276-2023-12-31"/>
    <n v="0"/>
    <n v="1"/>
    <s v="Cierre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4-06-30T00:00:00"/>
    <n v="2024"/>
    <s v="Junio"/>
    <x v="12"/>
    <x v="0"/>
    <n v="75"/>
    <n v="83.65"/>
    <n v="0.89659294680215174"/>
    <n v="0.89659294680215174"/>
    <m/>
    <m/>
    <s v="276-2024-06-30"/>
    <n v="1"/>
    <n v="1"/>
    <s v="Semestral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4-12-31T00:00:00"/>
    <n v="2024"/>
    <s v="Diciembre"/>
    <x v="13"/>
    <x v="1"/>
    <n v="75"/>
    <n v="82.68"/>
    <n v="1.1024"/>
    <n v="1.1024"/>
    <m/>
    <m/>
    <s v="276-2024-12-31"/>
    <n v="0"/>
    <n v="0"/>
    <s v="Semestral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4-12-31T00:00:00"/>
    <n v="2024"/>
    <s v="Diciembre"/>
    <x v="13"/>
    <x v="2"/>
    <n v="75"/>
    <n v="82.68"/>
    <n v="0.90711175616835982"/>
    <n v="0.90711175616835982"/>
    <s v="ENT"/>
    <s v="DEC"/>
    <s v="276-2024-12-31"/>
    <n v="0"/>
    <n v="1"/>
    <s v="Cierre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5-06-30T00:00:00"/>
    <n v="2025"/>
    <s v="Junio"/>
    <x v="14"/>
    <x v="0"/>
    <n v="81"/>
    <n v="84.18"/>
    <n v="1.0392592592592591"/>
    <n v="1.0392592592592591"/>
    <s v="ENT"/>
    <s v="DEC"/>
    <s v="276-2025-06-30"/>
    <n v="0"/>
    <n v="1"/>
    <s v="Semestral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6"/>
    <x v="23"/>
    <s v="Gestión Docente"/>
    <s v="Semestral"/>
    <s v="Negativo"/>
    <d v="2025-06-30T00:00:00"/>
    <n v="2025"/>
    <s v="Junio"/>
    <x v="14"/>
    <x v="2"/>
    <n v="81"/>
    <n v="84.18"/>
    <n v="0.96222380612972191"/>
    <n v="0.96222380612972191"/>
    <s v="ENT"/>
    <s v="DEC"/>
    <s v="276-2025-06-30"/>
    <n v="0"/>
    <n v="1"/>
    <s v="Cierre"/>
    <s v="Estratégico"/>
    <s v="Gestión Docente"/>
    <s v="Calidad"/>
    <s v="Asegurar la alta calidad a nivel institucional"/>
    <s v="Al 2025 alcanzar la acreditación institucional en alta calidad de la sede Bogotá "/>
    <s v="Factor 5. Estructura y procesos académicos"/>
    <s v="Característica 19: Componente de interacción y relevancia social"/>
    <s v="Promedio"/>
    <s v="Semestral"/>
  </r>
  <r>
    <n v="277"/>
    <x v="24"/>
    <s v="Gestión Docente"/>
    <s v="Semestral"/>
    <s v="Negativo"/>
    <d v="2023-06-30T00:00:00"/>
    <n v="2023"/>
    <s v="Junio"/>
    <x v="10"/>
    <x v="0"/>
    <n v="85"/>
    <n v="76.48"/>
    <n v="1.1114016736401671"/>
    <n v="1.1114016736401671"/>
    <m/>
    <m/>
    <s v="277-2023-06-30"/>
    <n v="1"/>
    <n v="1"/>
    <s v="Semestral"/>
    <s v="Estratégico"/>
    <s v="Gestión Docente"/>
    <s v="Calidad"/>
    <s v="Asegurar la alta calidad a nivel institucional"/>
    <m/>
    <s v="Factor 5. Estructura y procesos académicos"/>
    <s v="Característica 19: Componente de interacción y relevancia social"/>
    <s v="Promedio"/>
    <s v="Semestral"/>
  </r>
  <r>
    <n v="277"/>
    <x v="24"/>
    <s v="Gestión Docente"/>
    <s v="Semestral"/>
    <s v="Negativo"/>
    <d v="2023-12-31T00:00:00"/>
    <n v="2023"/>
    <s v="Diciembre"/>
    <x v="11"/>
    <x v="1"/>
    <n v="85"/>
    <n v="73.290000000000006"/>
    <n v="1.1597762314094691"/>
    <n v="1.1597762314094691"/>
    <m/>
    <m/>
    <s v="277-2023-12-31"/>
    <n v="1"/>
    <n v="1"/>
    <s v="Semestral"/>
    <s v="Estratégico"/>
    <s v="Gestión Docente"/>
    <s v="Calidad"/>
    <s v="Asegurar la alta calidad a nivel institucional"/>
    <m/>
    <s v="Factor 5. Estructura y procesos académicos"/>
    <s v="Característica 19: Componente de interacción y relevancia social"/>
    <s v="Promedio"/>
    <s v="Semestral"/>
  </r>
  <r>
    <n v="277"/>
    <x v="24"/>
    <s v="Gestión Docente"/>
    <s v="Semestral"/>
    <s v="Negativo"/>
    <d v="2023-12-31T00:00:00"/>
    <n v="2023"/>
    <s v="Diciembre"/>
    <x v="11"/>
    <x v="2"/>
    <n v="85"/>
    <n v="73.290000000000006"/>
    <n v="1.1597762314094691"/>
    <n v="1.1597762314094691"/>
    <s v="ENT"/>
    <s v="DEC"/>
    <s v="277-2023-12-31"/>
    <n v="1"/>
    <n v="1"/>
    <s v="Cierre"/>
    <s v="Estratégico"/>
    <s v="Gestión Docente"/>
    <s v="Calidad"/>
    <s v="Asegurar la alta calidad a nivel institucional"/>
    <m/>
    <s v="Factor 5. Estructura y procesos académicos"/>
    <s v="Característica 19: Componente de interacción y relevancia social"/>
    <s v="Promedio"/>
    <s v="Semestral"/>
  </r>
  <r>
    <n v="277"/>
    <x v="24"/>
    <s v="Gestión Docente"/>
    <s v="Semestral"/>
    <s v="Negativo"/>
    <d v="2024-06-30T00:00:00"/>
    <n v="2024"/>
    <s v="Junio"/>
    <x v="12"/>
    <x v="0"/>
    <n v="73"/>
    <n v="71.180000000000007"/>
    <n v="1.0255689800505761"/>
    <n v="1.0255689800505761"/>
    <m/>
    <m/>
    <s v="277-2024-06-30"/>
    <n v="1"/>
    <n v="1"/>
    <s v="Semestral"/>
    <s v="Estratégico"/>
    <s v="Gestión Docente"/>
    <s v="Calidad"/>
    <s v="Asegurar la alta calidad a nivel institucional"/>
    <m/>
    <s v="Factor 5. Estructura y procesos académicos"/>
    <s v="Característica 19: Componente de interacción y relevancia social"/>
    <s v="Promedio"/>
    <s v="Semestral"/>
  </r>
  <r>
    <n v="277"/>
    <x v="24"/>
    <s v="Gestión Docente"/>
    <s v="Semestral"/>
    <s v="Negativo"/>
    <d v="2024-12-31T00:00:00"/>
    <n v="2024"/>
    <s v="Diciembre"/>
    <x v="13"/>
    <x v="1"/>
    <n v="73"/>
    <n v="71.239999999999995"/>
    <n v="0.97589041095890405"/>
    <n v="0.97589041095890405"/>
    <m/>
    <m/>
    <s v="277-2024-12-31"/>
    <n v="0"/>
    <n v="0"/>
    <s v="Semestral"/>
    <s v="Estratégico"/>
    <s v="Gestión Docente"/>
    <s v="Calidad"/>
    <s v="Asegurar la alta calidad a nivel institucional"/>
    <m/>
    <s v="Factor 5. Estructura y procesos académicos"/>
    <s v="Característica 19: Componente de interacción y relevancia social"/>
    <s v="Promedio"/>
    <s v="Semestral"/>
  </r>
  <r>
    <n v="277"/>
    <x v="24"/>
    <s v="Gestión Docente"/>
    <s v="Semestral"/>
    <s v="Negativo"/>
    <d v="2024-12-31T00:00:00"/>
    <n v="2024"/>
    <s v="Diciembre"/>
    <x v="13"/>
    <x v="2"/>
    <n v="73"/>
    <n v="71.239999999999995"/>
    <n v="0.97589041095890405"/>
    <n v="0.97589041095890405"/>
    <s v="ENT"/>
    <s v="DEC"/>
    <s v="277-2024-12-31"/>
    <n v="1"/>
    <n v="1"/>
    <s v="Cierre"/>
    <s v="Estratégico"/>
    <s v="Gestión Docente"/>
    <s v="Calidad"/>
    <s v="Asegurar la alta calidad a nivel institucional"/>
    <m/>
    <s v="Factor 5. Estructura y procesos académicos"/>
    <s v="Característica 19: Componente de interacción y relevancia social"/>
    <s v="Promedio"/>
    <s v="Semestral"/>
  </r>
  <r>
    <n v="277"/>
    <x v="24"/>
    <s v="Gestión Docente"/>
    <s v="Semestral"/>
    <s v="Negativo"/>
    <d v="2025-06-30T00:00:00"/>
    <n v="2025"/>
    <s v="Junio"/>
    <x v="14"/>
    <x v="0"/>
    <n v="71"/>
    <n v="69.39"/>
    <n v="0.97732394366197184"/>
    <n v="0.97732394366197184"/>
    <s v="ENT"/>
    <s v="DEC"/>
    <s v="277-2025-06-30"/>
    <n v="1"/>
    <n v="1"/>
    <s v="Semestral"/>
    <s v="Estratégico"/>
    <s v="Gestión Docente"/>
    <s v="Calidad"/>
    <s v="Asegurar la alta calidad a nivel institucional"/>
    <m/>
    <s v="Factor 5. Estructura y procesos académicos"/>
    <s v="Característica 19: Componente de interacción y relevancia social"/>
    <s v="Promedio"/>
    <s v="Semestral"/>
  </r>
  <r>
    <n v="277"/>
    <x v="24"/>
    <s v="Gestión Docente"/>
    <s v="Semestral"/>
    <s v="Negativo"/>
    <d v="2025-06-30T00:00:00"/>
    <n v="2025"/>
    <s v="Junio"/>
    <x v="14"/>
    <x v="2"/>
    <n v="71"/>
    <n v="69.39"/>
    <n v="1.0232021905173661"/>
    <n v="1.0232021905173661"/>
    <s v="ENT"/>
    <s v="DEC"/>
    <s v="277-2025-06-30"/>
    <n v="1"/>
    <n v="1"/>
    <s v="Cierre"/>
    <s v="Estratégico"/>
    <s v="Gestión Docente"/>
    <s v="Calidad"/>
    <s v="Asegurar la alta calidad a nivel institucional"/>
    <m/>
    <s v="Factor 5. Estructura y procesos académicos"/>
    <s v="Característica 19: Componente de interacción y relevancia social"/>
    <s v="Promedio"/>
    <s v="Semestral"/>
  </r>
  <r>
    <n v="323"/>
    <x v="25"/>
    <s v="Creación, modificación y cierre de programas académicos"/>
    <s v="Semestral"/>
    <s v="Positivo"/>
    <d v="2022-12-31T00:00:00"/>
    <n v="2022"/>
    <s v="Diciembre"/>
    <x v="9"/>
    <x v="1"/>
    <n v="3"/>
    <n v="3"/>
    <n v="1"/>
    <n v="1"/>
    <m/>
    <m/>
    <s v="323-2022-12-31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3"/>
    <x v="25"/>
    <s v="Creación, modificación y cierre de programas académicos"/>
    <s v="Semestral"/>
    <s v="Positivo"/>
    <d v="2022-12-31T00:00:00"/>
    <n v="2022"/>
    <s v="Diciembre"/>
    <x v="9"/>
    <x v="2"/>
    <n v="3"/>
    <n v="3"/>
    <n v="1"/>
    <n v="1"/>
    <s v="ENT"/>
    <s v="ENT"/>
    <s v="323-2022-12-31"/>
    <n v="0"/>
    <n v="0"/>
    <s v="Cierre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3"/>
    <x v="25"/>
    <s v="Creación, modificación y cierre de programas académicos"/>
    <s v="Semestral"/>
    <s v="Positivo"/>
    <d v="2023-06-30T00:00:00"/>
    <n v="2023"/>
    <s v="Junio"/>
    <x v="10"/>
    <x v="0"/>
    <n v="2"/>
    <n v="2"/>
    <n v="1"/>
    <n v="1"/>
    <m/>
    <m/>
    <s v="323-2023-06-30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3"/>
    <x v="25"/>
    <s v="Creación, modificación y cierre de programas académicos"/>
    <s v="Semestral"/>
    <s v="Positivo"/>
    <d v="2023-12-31T00:00:00"/>
    <n v="2023"/>
    <s v="Diciembre"/>
    <x v="11"/>
    <x v="1"/>
    <n v="6"/>
    <n v="6"/>
    <n v="1"/>
    <n v="1"/>
    <m/>
    <m/>
    <s v="323-2023-12-31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3"/>
    <x v="25"/>
    <s v="Creación, modificación y cierre de programas académicos"/>
    <s v="Semestral"/>
    <s v="Positivo"/>
    <d v="2023-12-31T00:00:00"/>
    <n v="2023"/>
    <s v="Diciembre"/>
    <x v="11"/>
    <x v="2"/>
    <n v="8"/>
    <n v="8"/>
    <n v="1"/>
    <n v="1"/>
    <s v="ENT"/>
    <s v="ENT"/>
    <s v="323-2023-12-31"/>
    <n v="0"/>
    <n v="0"/>
    <s v="Cierre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3"/>
    <x v="25"/>
    <s v="Creación, modificación y cierre de programas académicos"/>
    <s v="Semestral"/>
    <s v="Positivo"/>
    <d v="2024-06-30T00:00:00"/>
    <n v="2024"/>
    <s v="Junio"/>
    <x v="12"/>
    <x v="0"/>
    <n v="3"/>
    <n v="3"/>
    <n v="1"/>
    <n v="1"/>
    <m/>
    <m/>
    <s v="323-2024-06-30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3"/>
    <x v="25"/>
    <s v="Creación, modificación y cierre de programas académicos"/>
    <s v="Semestral"/>
    <s v="Positivo"/>
    <d v="2024-12-31T00:00:00"/>
    <n v="2024"/>
    <s v="Diciembre"/>
    <x v="13"/>
    <x v="1"/>
    <n v="0"/>
    <n v="0"/>
    <m/>
    <m/>
    <m/>
    <m/>
    <s v="323-2024-12-31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3"/>
    <x v="25"/>
    <s v="Creación, modificación y cierre de programas académicos"/>
    <s v="Semestral"/>
    <s v="Positivo"/>
    <d v="2024-12-31T00:00:00"/>
    <n v="2024"/>
    <s v="Diciembre"/>
    <x v="13"/>
    <x v="2"/>
    <n v="3"/>
    <n v="3"/>
    <n v="1"/>
    <n v="1"/>
    <s v="ENT"/>
    <s v="ENT"/>
    <s v="323-2024-12-31"/>
    <n v="0"/>
    <n v="0"/>
    <s v="Cierre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3"/>
    <x v="25"/>
    <s v="Creación, modificación y cierre de programas académicos"/>
    <s v="Semestral"/>
    <s v="Positivo"/>
    <d v="2025-06-30T00:00:00"/>
    <n v="2025"/>
    <s v="Junio"/>
    <x v="14"/>
    <x v="0"/>
    <n v="1"/>
    <n v="1"/>
    <n v="1"/>
    <n v="1"/>
    <s v="ENT"/>
    <s v="ENT"/>
    <s v="323-2025-06-30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3"/>
    <x v="25"/>
    <s v="Creación, modificación y cierre de programas académicos"/>
    <s v="Semestral"/>
    <s v="Positivo"/>
    <d v="2025-06-30T00:00:00"/>
    <n v="2025"/>
    <s v="Junio"/>
    <x v="14"/>
    <x v="2"/>
    <n v="1"/>
    <n v="1"/>
    <n v="1"/>
    <n v="1"/>
    <s v="ENT"/>
    <s v="ENT"/>
    <s v="323-2025-06-30"/>
    <n v="0"/>
    <n v="0"/>
    <s v="Cierre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2-06-30T00:00:00"/>
    <n v="2022"/>
    <s v="Junio"/>
    <x v="8"/>
    <x v="0"/>
    <n v="3"/>
    <n v="3"/>
    <n v="1"/>
    <n v="1"/>
    <s v="ENT"/>
    <s v="ENT"/>
    <s v="325-2022-06-30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2-12-31T00:00:00"/>
    <n v="2022"/>
    <s v="Diciembre"/>
    <x v="9"/>
    <x v="1"/>
    <n v="3"/>
    <n v="3"/>
    <n v="1"/>
    <n v="1"/>
    <s v="ENT"/>
    <s v="ENT"/>
    <s v="325-2022-12-31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2-12-31T00:00:00"/>
    <n v="2022"/>
    <s v="Diciembre"/>
    <x v="9"/>
    <x v="2"/>
    <n v="6"/>
    <n v="6"/>
    <n v="1"/>
    <n v="1"/>
    <s v="ENT"/>
    <s v="ENT"/>
    <s v="325-2022-12-31"/>
    <n v="0"/>
    <n v="0"/>
    <s v="Cierre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3-06-30T00:00:00"/>
    <n v="2023"/>
    <s v="Junio"/>
    <x v="10"/>
    <x v="0"/>
    <n v="1"/>
    <n v="1"/>
    <n v="1"/>
    <n v="1"/>
    <s v="ENT"/>
    <s v="ENT"/>
    <s v="325-2023-06-30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3-12-31T00:00:00"/>
    <n v="2023"/>
    <s v="Diciembre"/>
    <x v="11"/>
    <x v="1"/>
    <n v="0"/>
    <n v="0"/>
    <m/>
    <m/>
    <m/>
    <m/>
    <s v="325-2023-12-31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3-12-31T00:00:00"/>
    <n v="2023"/>
    <s v="Diciembre"/>
    <x v="11"/>
    <x v="2"/>
    <n v="1"/>
    <n v="1"/>
    <n v="1"/>
    <n v="1"/>
    <s v="ENT"/>
    <s v="ENT"/>
    <s v="325-2023-12-31"/>
    <n v="0"/>
    <n v="0"/>
    <s v="Cierre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4-06-30T00:00:00"/>
    <n v="2024"/>
    <s v="Junio"/>
    <x v="12"/>
    <x v="0"/>
    <n v="5"/>
    <n v="5"/>
    <n v="1"/>
    <n v="1"/>
    <s v="ENT"/>
    <s v="ENT"/>
    <s v="325-2024-06-30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4-12-31T00:00:00"/>
    <n v="2024"/>
    <s v="Diciembre"/>
    <x v="13"/>
    <x v="1"/>
    <n v="3"/>
    <n v="3"/>
    <n v="1"/>
    <n v="1"/>
    <s v="ENT"/>
    <s v="ENT"/>
    <s v="325-2024-12-31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4-12-31T00:00:00"/>
    <n v="2024"/>
    <s v="Diciembre"/>
    <x v="13"/>
    <x v="2"/>
    <n v="8"/>
    <n v="8"/>
    <n v="1"/>
    <n v="1"/>
    <s v="ENT"/>
    <s v="ENT"/>
    <s v="325-2024-12-31"/>
    <n v="0"/>
    <n v="0"/>
    <s v="Cierre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5-06-30T00:00:00"/>
    <n v="2025"/>
    <s v="Junio"/>
    <x v="14"/>
    <x v="0"/>
    <n v="8"/>
    <n v="8"/>
    <n v="1"/>
    <n v="1"/>
    <s v="ENT"/>
    <s v="ENT"/>
    <s v="325-2025-06-30"/>
    <n v="0"/>
    <n v="0"/>
    <s v="Semestral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25"/>
    <x v="26"/>
    <s v="Creación, modificación y cierre de programas académicos"/>
    <s v="Semestral"/>
    <s v="Positivo"/>
    <d v="2025-06-30T00:00:00"/>
    <n v="2025"/>
    <s v="Junio"/>
    <x v="14"/>
    <x v="2"/>
    <n v="8"/>
    <n v="8"/>
    <n v="1"/>
    <n v="1"/>
    <s v="ENT"/>
    <s v="ENT"/>
    <s v="325-2025-06-30"/>
    <n v="0"/>
    <n v="0"/>
    <s v="Cierre"/>
    <s v="Estratégico"/>
    <s v="Creación, modificación y cierre de programas académicos"/>
    <s v="Calidad"/>
    <s v="Fortalecer la oferta educativa y la innovación curricular"/>
    <s v="Contar con un portafolio de programas académicos innovador de calidad, pertinente y flexible, que responda a las necesidades del estudiante y del entorno."/>
    <s v="Factor 5. Estructura y procesos académicos"/>
    <s v="Característica 20: Procesos de creación, modificación y ampliación de programas académicos"/>
    <s v="Acumulativo"/>
    <s v="Anual"/>
  </r>
  <r>
    <n v="331"/>
    <x v="27"/>
    <s v="Gestión de Graduados"/>
    <s v="Anual"/>
    <s v="Positivo"/>
    <d v="2023-12-31T00:00:00"/>
    <n v="2023"/>
    <s v="Diciembre"/>
    <x v="11"/>
    <x v="1"/>
    <n v="0"/>
    <n v="81"/>
    <m/>
    <m/>
    <s v="Metrica"/>
    <s v="%"/>
    <s v="331-2023-12-31"/>
    <n v="0"/>
    <n v="0"/>
    <s v="Semestral"/>
    <s v="Estratégico"/>
    <s v="Gestión de Graduados"/>
    <s v="Sostenibilidad"/>
    <s v="Contribuir a la inclusión, la proyección social y el cuidado del medio ambiente"/>
    <s v="Mejorar la empleabilidad de nuestros graduados"/>
    <s v="Factor 12. Comunidad de egresados"/>
    <s v="Característica 37: Egresados y programas académicos"/>
    <s v="Último valor"/>
    <s v="Anual"/>
  </r>
  <r>
    <n v="331"/>
    <x v="27"/>
    <s v="Gestión de Graduados"/>
    <s v="Anual"/>
    <s v="Positivo"/>
    <d v="2023-12-31T00:00:00"/>
    <n v="2023"/>
    <s v="Diciembre"/>
    <x v="11"/>
    <x v="2"/>
    <m/>
    <n v="81"/>
    <m/>
    <m/>
    <s v="No Aplica"/>
    <s v="%"/>
    <s v="331-2023-12-31"/>
    <n v="0"/>
    <n v="0"/>
    <s v="Cierre"/>
    <s v="Estratégico"/>
    <s v="Gestión de Graduados"/>
    <s v="Sostenibilidad"/>
    <s v="Contribuir a la inclusión, la proyección social y el cuidado del medio ambiente"/>
    <s v="Mejorar la empleabilidad de nuestros graduados"/>
    <s v="Factor 12. Comunidad de egresados"/>
    <s v="Característica 37: Egresados y programas académicos"/>
    <s v="Último valor"/>
    <s v="Anual"/>
  </r>
  <r>
    <n v="331"/>
    <x v="27"/>
    <s v="Gestión de Graduados"/>
    <s v="Anual"/>
    <s v="Positivo"/>
    <d v="2024-12-31T00:00:00"/>
    <n v="2024"/>
    <s v="Diciembre"/>
    <x v="13"/>
    <x v="1"/>
    <n v="0"/>
    <n v="82"/>
    <m/>
    <m/>
    <s v="Metrica"/>
    <s v="%"/>
    <s v="331-2024-12-31"/>
    <n v="0"/>
    <n v="0"/>
    <s v="Semestral"/>
    <s v="Estratégico"/>
    <s v="Gestión de Graduados"/>
    <s v="Sostenibilidad"/>
    <s v="Contribuir a la inclusión, la proyección social y el cuidado del medio ambiente"/>
    <s v="Mejorar la empleabilidad de nuestros graduados"/>
    <s v="Factor 12. Comunidad de egresados"/>
    <s v="Característica 37: Egresados y programas académicos"/>
    <s v="Último valor"/>
    <s v="Anual"/>
  </r>
  <r>
    <n v="331"/>
    <x v="27"/>
    <s v="Gestión de Graduados"/>
    <s v="Anual"/>
    <s v="Positivo"/>
    <d v="2024-12-31T00:00:00"/>
    <n v="2024"/>
    <s v="Diciembre"/>
    <x v="13"/>
    <x v="2"/>
    <m/>
    <n v="82"/>
    <m/>
    <m/>
    <s v="No Aplica"/>
    <s v="%"/>
    <s v="331-2024-12-31"/>
    <n v="0"/>
    <n v="0"/>
    <s v="Cierre"/>
    <s v="Estratégico"/>
    <s v="Gestión de Graduados"/>
    <s v="Sostenibilidad"/>
    <s v="Contribuir a la inclusión, la proyección social y el cuidado del medio ambiente"/>
    <s v="Mejorar la empleabilidad de nuestros graduados"/>
    <s v="Factor 12. Comunidad de egresados"/>
    <s v="Característica 37: Egresados y programas académicos"/>
    <s v="Último valor"/>
    <s v="Anual"/>
  </r>
  <r>
    <n v="331"/>
    <x v="27"/>
    <s v="Gestión de Graduados"/>
    <s v="Anual"/>
    <s v="Positivo"/>
    <d v="2025-06-30T00:00:00"/>
    <n v="2025"/>
    <s v="Junio"/>
    <x v="14"/>
    <x v="0"/>
    <m/>
    <n v="82"/>
    <m/>
    <m/>
    <s v="No Aplica"/>
    <s v="%"/>
    <s v="331-2025-06-30"/>
    <n v="0"/>
    <n v="0"/>
    <s v="Semestral"/>
    <s v="Estratégico"/>
    <s v="Gestión de Graduados"/>
    <s v="Sostenibilidad"/>
    <s v="Contribuir a la inclusión, la proyección social y el cuidado del medio ambiente"/>
    <s v="Mejorar la empleabilidad de nuestros graduados"/>
    <s v="Factor 12. Comunidad de egresados"/>
    <s v="Característica 37: Egresados y programas académicos"/>
    <s v="Último valor"/>
    <s v="Anual"/>
  </r>
  <r>
    <n v="331"/>
    <x v="27"/>
    <s v="Gestión de Graduados"/>
    <s v="Anual"/>
    <s v="Positivo"/>
    <d v="2025-06-30T00:00:00"/>
    <n v="2025"/>
    <s v="Junio"/>
    <x v="14"/>
    <x v="2"/>
    <m/>
    <n v="82"/>
    <m/>
    <m/>
    <s v="No Aplica"/>
    <s v="%"/>
    <s v="331-2025-06-30"/>
    <n v="0"/>
    <n v="0"/>
    <s v="Cierre"/>
    <s v="Estratégico"/>
    <s v="Gestión de Graduados"/>
    <s v="Sostenibilidad"/>
    <s v="Contribuir a la inclusión, la proyección social y el cuidado del medio ambiente"/>
    <s v="Mejorar la empleabilidad de nuestros graduados"/>
    <s v="Factor 12. Comunidad de egresados"/>
    <s v="Característica 37: Egresados y programas académicos"/>
    <s v="Último valor"/>
    <s v="Anual"/>
  </r>
  <r>
    <n v="332"/>
    <x v="28"/>
    <s v="GESTIÓN Y DESARROLLO DEL TALENTO HUMANO"/>
    <s v="Semestral"/>
    <s v="Negativo"/>
    <d v="2022-06-30T00:00:00"/>
    <n v="2022"/>
    <s v="Junio"/>
    <x v="8"/>
    <x v="0"/>
    <n v="1.6"/>
    <n v="1.8"/>
    <n v="0.88888888888888895"/>
    <n v="0.88888888888888895"/>
    <m/>
    <m/>
    <s v="332-2022-06-30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2-12-31T00:00:00"/>
    <n v="2022"/>
    <s v="Diciembre"/>
    <x v="9"/>
    <x v="1"/>
    <n v="1.6"/>
    <n v="1.75"/>
    <n v="0.91428571428571437"/>
    <n v="0.91428571428571437"/>
    <m/>
    <m/>
    <s v="332-2022-12-31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2-12-31T00:00:00"/>
    <n v="2022"/>
    <s v="Diciembre"/>
    <x v="9"/>
    <x v="2"/>
    <n v="1.6"/>
    <n v="1.75"/>
    <n v="0.91428571428571437"/>
    <n v="0.91428571428571437"/>
    <s v="DEC"/>
    <s v="DEC"/>
    <s v="332-2022-12-31"/>
    <n v="1"/>
    <n v="1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3-06-30T00:00:00"/>
    <n v="2023"/>
    <s v="Junio"/>
    <x v="10"/>
    <x v="0"/>
    <n v="1.8"/>
    <n v="1.57"/>
    <n v="1.1464968152866239"/>
    <n v="1.1464968152866239"/>
    <m/>
    <m/>
    <s v="332-2023-06-30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3-12-31T00:00:00"/>
    <n v="2023"/>
    <s v="Diciembre"/>
    <x v="11"/>
    <x v="1"/>
    <n v="1.8"/>
    <n v="1.3"/>
    <n v="1.3"/>
    <n v="1.384615384615385"/>
    <m/>
    <m/>
    <s v="332-2023-12-31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3-12-31T00:00:00"/>
    <n v="2023"/>
    <s v="Diciembre"/>
    <x v="11"/>
    <x v="2"/>
    <n v="1.8"/>
    <n v="1.4"/>
    <n v="1.285714285714286"/>
    <n v="1.285714285714286"/>
    <s v="DEC"/>
    <s v="DEC"/>
    <s v="332-2023-12-31"/>
    <n v="1"/>
    <n v="1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4-06-30T00:00:00"/>
    <n v="2024"/>
    <s v="Junio"/>
    <x v="12"/>
    <x v="0"/>
    <n v="1.5"/>
    <n v="1.48"/>
    <n v="1.013513513513514"/>
    <n v="1.013513513513514"/>
    <s v="DEC"/>
    <s v="DEC"/>
    <s v="332-2024-06-30"/>
    <n v="1"/>
    <n v="1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4-12-31T00:00:00"/>
    <n v="2024"/>
    <s v="Diciembre"/>
    <x v="13"/>
    <x v="1"/>
    <n v="1.8"/>
    <n v="0.82"/>
    <n v="0.45555555555555549"/>
    <n v="0.45555555555555549"/>
    <m/>
    <m/>
    <s v="332-2024-12-31"/>
    <n v="0"/>
    <n v="0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4-12-31T00:00:00"/>
    <n v="2024"/>
    <s v="Diciembre"/>
    <x v="13"/>
    <x v="2"/>
    <n v="1.5"/>
    <n v="1.1499999999999999"/>
    <n v="1.3"/>
    <n v="1.304347826086957"/>
    <s v="DEC"/>
    <s v="DEC"/>
    <s v="332-2024-12-31"/>
    <n v="1"/>
    <n v="2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5-06-30T00:00:00"/>
    <n v="2025"/>
    <s v="Junio"/>
    <x v="14"/>
    <x v="0"/>
    <n v="1.4"/>
    <n v="0.85"/>
    <n v="1.3"/>
    <n v="1.6470588235294119"/>
    <s v="DEC"/>
    <s v="DEC"/>
    <s v="332-2025-06-30"/>
    <n v="2"/>
    <n v="2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2"/>
    <x v="28"/>
    <s v="GESTIÓN Y DESARROLLO DEL TALENTO HUMANO"/>
    <s v="Semestral"/>
    <s v="Negativo"/>
    <d v="2025-06-30T00:00:00"/>
    <n v="2025"/>
    <s v="Junio"/>
    <x v="14"/>
    <x v="2"/>
    <n v="1.5"/>
    <n v="1.1499999999999999"/>
    <n v="1.3"/>
    <n v="1.304347826086957"/>
    <s v="DEC"/>
    <s v="DEC"/>
    <s v="332-2025-06-30"/>
    <n v="2"/>
    <n v="2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1: Desarrollo profesoral"/>
    <s v="Promedio"/>
    <s v="Anual"/>
  </r>
  <r>
    <n v="334"/>
    <x v="29"/>
    <s v="GESTIÓN Y DESARROLLO DEL TALENTO HUMANO"/>
    <s v="Anual"/>
    <s v="Positivo"/>
    <d v="2022-12-31T00:00:00"/>
    <n v="2022"/>
    <s v="Diciembre"/>
    <x v="9"/>
    <x v="2"/>
    <n v="86"/>
    <n v="86"/>
    <n v="1"/>
    <n v="1"/>
    <s v="ENT"/>
    <s v="ENT"/>
    <s v="334-2022-12-31"/>
    <n v="0"/>
    <n v="0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2: Interacción académica de los profesores"/>
    <s v="Último valor"/>
    <s v="Anual"/>
  </r>
  <r>
    <n v="334"/>
    <x v="29"/>
    <s v="GESTIÓN Y DESARROLLO DEL TALENTO HUMANO"/>
    <s v="Anual"/>
    <s v="Positivo"/>
    <d v="2023-12-31T00:00:00"/>
    <n v="2023"/>
    <s v="Diciembre"/>
    <x v="11"/>
    <x v="1"/>
    <n v="88"/>
    <n v="88.39"/>
    <n v="1.0044318181818179"/>
    <n v="1.0044318181818179"/>
    <m/>
    <m/>
    <s v="334-2023-12-31"/>
    <n v="0"/>
    <n v="0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2: Interacción académica de los profesores"/>
    <s v="Último valor"/>
    <s v="Anual"/>
  </r>
  <r>
    <n v="334"/>
    <x v="29"/>
    <s v="GESTIÓN Y DESARROLLO DEL TALENTO HUMANO"/>
    <s v="Anual"/>
    <s v="Positivo"/>
    <d v="2023-12-31T00:00:00"/>
    <n v="2023"/>
    <s v="Diciembre"/>
    <x v="11"/>
    <x v="2"/>
    <n v="88"/>
    <n v="88.39"/>
    <n v="1.0044318181818179"/>
    <n v="1.0044318181818179"/>
    <s v="ENT"/>
    <s v="DEC"/>
    <s v="334-2023-12-31"/>
    <n v="0"/>
    <n v="1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2: Interacción académica de los profesores"/>
    <s v="Último valor"/>
    <s v="Anual"/>
  </r>
  <r>
    <n v="334"/>
    <x v="29"/>
    <s v="GESTIÓN Y DESARROLLO DEL TALENTO HUMANO"/>
    <s v="Anual"/>
    <s v="Positivo"/>
    <d v="2024-12-31T00:00:00"/>
    <n v="2024"/>
    <s v="Diciembre"/>
    <x v="13"/>
    <x v="1"/>
    <n v="88"/>
    <n v="88.84"/>
    <n v="1.009545454545455"/>
    <n v="1.009545454545455"/>
    <m/>
    <m/>
    <s v="334-2024-12-31"/>
    <n v="0"/>
    <n v="0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2: Interacción académica de los profesores"/>
    <s v="Último valor"/>
    <s v="Anual"/>
  </r>
  <r>
    <n v="334"/>
    <x v="29"/>
    <s v="GESTIÓN Y DESARROLLO DEL TALENTO HUMANO"/>
    <s v="Anual"/>
    <s v="Positivo"/>
    <d v="2024-12-31T00:00:00"/>
    <n v="2024"/>
    <s v="Diciembre"/>
    <x v="13"/>
    <x v="2"/>
    <n v="88"/>
    <n v="88.84"/>
    <n v="1.009545454545455"/>
    <n v="1.009545454545455"/>
    <s v="ENT"/>
    <s v="DEC"/>
    <s v="334-2024-12-31"/>
    <n v="0"/>
    <n v="1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2: Interacción académica de los profesores"/>
    <s v="Último valor"/>
    <s v="Anual"/>
  </r>
  <r>
    <n v="334"/>
    <x v="29"/>
    <s v="GESTIÓN Y DESARROLLO DEL TALENTO HUMANO"/>
    <s v="Anual"/>
    <s v="Positivo"/>
    <d v="2025-06-30T00:00:00"/>
    <n v="2025"/>
    <s v="Junio"/>
    <x v="14"/>
    <x v="2"/>
    <n v="88"/>
    <n v="88.84"/>
    <n v="1.009545454545455"/>
    <n v="1.009545454545455"/>
    <s v="ENT"/>
    <s v="DEC"/>
    <s v="334-2025-06-30"/>
    <n v="0"/>
    <n v="1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s v="Implementar el Plan Talento para colaboradores alineado con la estrategia."/>
    <s v="Factor 10. Comunidad de profesores"/>
    <s v="Característica 32: Interacción académica de los profesores"/>
    <s v="Último valor"/>
    <s v="Anual"/>
  </r>
  <r>
    <n v="335"/>
    <x v="30"/>
    <s v="GESTIÓN Y DESARROLLO DEL TALENTO HUMANO"/>
    <s v="Anual"/>
    <s v="Positivo"/>
    <d v="2023-12-31T00:00:00"/>
    <n v="2023"/>
    <s v="Diciembre"/>
    <x v="11"/>
    <x v="1"/>
    <n v="80"/>
    <n v="93.85"/>
    <n v="1.173125"/>
    <n v="1.173125"/>
    <s v="%"/>
    <s v="%"/>
    <s v="335-2023-12-31"/>
    <n v="0"/>
    <n v="0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m/>
    <s v="Factor 10. Comunidad de profesores"/>
    <s v="Característica 31: Desarrollo profesoral"/>
    <s v="Último valor"/>
    <s v="Anual"/>
  </r>
  <r>
    <n v="335"/>
    <x v="30"/>
    <s v="GESTIÓN Y DESARROLLO DEL TALENTO HUMANO"/>
    <s v="Anual"/>
    <s v="Positivo"/>
    <d v="2023-12-31T00:00:00"/>
    <n v="2023"/>
    <s v="Diciembre"/>
    <x v="11"/>
    <x v="2"/>
    <n v="80"/>
    <n v="93.85"/>
    <n v="1.173125"/>
    <n v="1.173125"/>
    <s v="%"/>
    <s v="%"/>
    <s v="335-2023-12-31"/>
    <n v="0"/>
    <n v="0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m/>
    <s v="Factor 10. Comunidad de profesores"/>
    <s v="Característica 31: Desarrollo profesoral"/>
    <s v="Último valor"/>
    <s v="Anual"/>
  </r>
  <r>
    <n v="335"/>
    <x v="30"/>
    <s v="GESTIÓN Y DESARROLLO DEL TALENTO HUMANO"/>
    <s v="Anual"/>
    <s v="Positivo"/>
    <d v="2024-12-31T00:00:00"/>
    <n v="2024"/>
    <s v="Diciembre"/>
    <x v="13"/>
    <x v="1"/>
    <n v="82"/>
    <n v="80.95"/>
    <n v="0.9871951219512195"/>
    <n v="0.9871951219512195"/>
    <s v="%"/>
    <s v="%"/>
    <s v="335-2024-12-31"/>
    <n v="0"/>
    <n v="0"/>
    <s v="Semestral"/>
    <s v="Estratégico"/>
    <s v="GESTIÓN Y DESARROLLO DEL TALENTO HUMANO"/>
    <s v="Transformación_Organizacional"/>
    <s v="Contar con un equipo humano feliz y apasionado, que trabaja de forma colaborativa para alcanzar las metas institucionales"/>
    <m/>
    <s v="Factor 10. Comunidad de profesores"/>
    <s v="Característica 31: Desarrollo profesoral"/>
    <s v="Último valor"/>
    <s v="Anual"/>
  </r>
  <r>
    <n v="335"/>
    <x v="30"/>
    <s v="GESTIÓN Y DESARROLLO DEL TALENTO HUMANO"/>
    <s v="Anual"/>
    <s v="Positivo"/>
    <d v="2024-12-31T00:00:00"/>
    <n v="2024"/>
    <s v="Diciembre"/>
    <x v="13"/>
    <x v="2"/>
    <n v="82"/>
    <n v="80.95"/>
    <n v="0.9871951219512195"/>
    <n v="0.9871951219512195"/>
    <s v="%"/>
    <s v="%"/>
    <s v="335-2024-12-31"/>
    <n v="0"/>
    <n v="0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m/>
    <s v="Factor 10. Comunidad de profesores"/>
    <s v="Característica 31: Desarrollo profesoral"/>
    <s v="Último valor"/>
    <s v="Anual"/>
  </r>
  <r>
    <n v="335"/>
    <x v="30"/>
    <s v="GESTIÓN Y DESARROLLO DEL TALENTO HUMANO"/>
    <s v="Anual"/>
    <s v="Positivo"/>
    <d v="2025-12-31T00:00:00"/>
    <n v="2025"/>
    <s v="Diciembre"/>
    <x v="15"/>
    <x v="2"/>
    <n v="82"/>
    <n v="80.95"/>
    <n v="0.9871951219512195"/>
    <n v="0.9871951219512195"/>
    <s v="%"/>
    <s v="%"/>
    <s v="335-2025-12-31"/>
    <n v="0"/>
    <n v="0"/>
    <s v="Cierre"/>
    <s v="Estratégico"/>
    <s v="GESTIÓN Y DESARROLLO DEL TALENTO HUMANO"/>
    <s v="Transformación_Organizacional"/>
    <s v="Contar con un equipo humano feliz y apasionado, que trabaja de forma colaborativa para alcanzar las metas institucionales"/>
    <m/>
    <s v="Factor 10. Comunidad de profesores"/>
    <s v="Característica 31: Desarrollo profesoral"/>
    <s v="Último valor"/>
    <s v="Anual"/>
  </r>
  <r>
    <n v="339"/>
    <x v="31"/>
    <s v="Autoevaluación institucional"/>
    <s v="Anual"/>
    <s v="Positivo"/>
    <d v="2023-12-31T00:00:00"/>
    <n v="2023"/>
    <s v="Diciembre"/>
    <x v="11"/>
    <x v="1"/>
    <n v="30"/>
    <n v="28.57"/>
    <n v="0.95233333333333337"/>
    <n v="0.95233333333333337"/>
    <s v="%"/>
    <s v="%"/>
    <s v="339-2023-12-31"/>
    <n v="0"/>
    <n v="1"/>
    <s v="Semestral"/>
    <s v="Estratégico"/>
    <s v="Autoevaluación institucional"/>
    <s v="Calidad"/>
    <s v="Asegurar la alta calidad a nivel institucional"/>
    <s v="Al 2025 alcanzar la acreditación institucional en alta calidad de la sede Bogotá "/>
    <s v="Factor 5. Estructura y procesos académicos"/>
    <s v="Característica 20: Procesos de creación, modificación y ampliación de programas académicos"/>
    <s v="Último valor"/>
    <s v="Anual"/>
  </r>
  <r>
    <n v="339"/>
    <x v="31"/>
    <s v="Autoevaluación institucional"/>
    <s v="Anual"/>
    <s v="Positivo"/>
    <d v="2023-12-31T00:00:00"/>
    <n v="2023"/>
    <s v="Diciembre"/>
    <x v="11"/>
    <x v="2"/>
    <n v="30"/>
    <n v="28.57"/>
    <n v="0.95233333333333337"/>
    <n v="0.95233333333333337"/>
    <s v="%"/>
    <s v="%"/>
    <s v="339-2023-12-31"/>
    <n v="0"/>
    <n v="1"/>
    <s v="Cierre"/>
    <s v="Estratégico"/>
    <s v="Autoevaluación institucional"/>
    <s v="Calidad"/>
    <s v="Asegurar la alta calidad a nivel institucional"/>
    <s v="Al 2025 alcanzar la acreditación institucional en alta calidad de la sede Bogotá "/>
    <s v="Factor 5. Estructura y procesos académicos"/>
    <s v="Característica 20: Procesos de creación, modificación y ampliación de programas académicos"/>
    <s v="Último valor"/>
    <s v="Anual"/>
  </r>
  <r>
    <n v="339"/>
    <x v="31"/>
    <s v="Autoevaluación institucional"/>
    <s v="Anual"/>
    <s v="Positivo"/>
    <d v="2024-12-31T00:00:00"/>
    <n v="2024"/>
    <s v="Diciembre"/>
    <x v="13"/>
    <x v="1"/>
    <n v="30"/>
    <n v="30.3"/>
    <n v="1.01"/>
    <n v="1.01"/>
    <s v="%"/>
    <s v="%"/>
    <s v="339-2024-12-31"/>
    <n v="0"/>
    <n v="1"/>
    <s v="Semestral"/>
    <s v="Estratégico"/>
    <s v="Autoevaluación institucional"/>
    <s v="Calidad"/>
    <s v="Asegurar la alta calidad a nivel institucional"/>
    <s v="Al 2025 alcanzar la acreditación institucional en alta calidad de la sede Bogotá "/>
    <s v="Factor 5. Estructura y procesos académicos"/>
    <s v="Característica 20: Procesos de creación, modificación y ampliación de programas académicos"/>
    <s v="Último valor"/>
    <s v="Anual"/>
  </r>
  <r>
    <n v="339"/>
    <x v="31"/>
    <s v="Autoevaluación institucional"/>
    <s v="Anual"/>
    <s v="Positivo"/>
    <d v="2024-12-31T00:00:00"/>
    <n v="2024"/>
    <s v="Diciembre"/>
    <x v="13"/>
    <x v="2"/>
    <n v="30"/>
    <n v="30.3"/>
    <n v="1.01"/>
    <n v="1.01"/>
    <s v="%"/>
    <s v="%"/>
    <s v="339-2024-12-31"/>
    <n v="0"/>
    <n v="1"/>
    <s v="Cierre"/>
    <s v="Estratégico"/>
    <s v="Autoevaluación institucional"/>
    <s v="Calidad"/>
    <s v="Asegurar la alta calidad a nivel institucional"/>
    <s v="Al 2025 alcanzar la acreditación institucional en alta calidad de la sede Bogotá "/>
    <s v="Factor 5. Estructura y procesos académicos"/>
    <s v="Característica 20: Procesos de creación, modificación y ampliación de programas académicos"/>
    <s v="Último valor"/>
    <s v="Anual"/>
  </r>
  <r>
    <n v="339"/>
    <x v="31"/>
    <s v="Autoevaluación institucional"/>
    <s v="Anual"/>
    <s v="Positivo"/>
    <d v="2025-06-30T00:00:00"/>
    <n v="2025"/>
    <s v="Junio"/>
    <x v="14"/>
    <x v="0"/>
    <n v="30"/>
    <n v="33.299999999999997"/>
    <n v="1.1100000000000001"/>
    <n v="1.1100000000000001"/>
    <s v="%"/>
    <s v="%"/>
    <s v="339-2025-06-30"/>
    <n v="0"/>
    <n v="1"/>
    <s v="Semestral"/>
    <s v="Estratégico"/>
    <s v="Autoevaluación institucional"/>
    <s v="Calidad"/>
    <s v="Asegurar la alta calidad a nivel institucional"/>
    <s v="Al 2025 alcanzar la acreditación institucional en alta calidad de la sede Bogotá "/>
    <s v="Factor 5. Estructura y procesos académicos"/>
    <s v="Característica 20: Procesos de creación, modificación y ampliación de programas académicos"/>
    <s v="Último valor"/>
    <s v="Anual"/>
  </r>
  <r>
    <n v="339"/>
    <x v="31"/>
    <s v="Autoevaluación institucional"/>
    <s v="Anual"/>
    <s v="Positivo"/>
    <d v="2025-06-30T00:00:00"/>
    <n v="2025"/>
    <s v="Junio"/>
    <x v="14"/>
    <x v="2"/>
    <n v="30"/>
    <n v="33.299999999999997"/>
    <n v="1.1100000000000001"/>
    <n v="1.1100000000000001"/>
    <s v="%"/>
    <s v="%"/>
    <s v="339-2025-06-30"/>
    <n v="0"/>
    <n v="1"/>
    <s v="Cierre"/>
    <s v="Estratégico"/>
    <s v="Autoevaluación institucional"/>
    <s v="Calidad"/>
    <s v="Asegurar la alta calidad a nivel institucional"/>
    <s v="Al 2025 alcanzar la acreditación institucional en alta calidad de la sede Bogotá "/>
    <s v="Factor 5. Estructura y procesos académicos"/>
    <s v="Característica 20: Procesos de creación, modificación y ampliación de programas académicos"/>
    <s v="Último valor"/>
    <s v="Anual"/>
  </r>
  <r>
    <n v="361"/>
    <x v="32"/>
    <s v="Gestión de la Responsabilidad Social"/>
    <s v="Anual"/>
    <s v="Positivo"/>
    <d v="2021-12-31T00:00:00"/>
    <n v="2021"/>
    <s v="Diciembre"/>
    <x v="7"/>
    <x v="2"/>
    <m/>
    <n v="4.4000000000000004"/>
    <m/>
    <m/>
    <s v="DEC"/>
    <s v="DEC"/>
    <s v="361-2021-12-31"/>
    <n v="1"/>
    <n v="2"/>
    <s v="Semestral"/>
    <s v="Estratégico"/>
    <s v="Gestión de la Responsabilidad Social"/>
    <s v="Sostenibilidad"/>
    <s v="Contribuir a la inclusión, la proyección social y el cuidado del medio ambiente"/>
    <s v="Mantener altos índices de inclusión institucional"/>
    <s v="Factor 11. Comunidad de estudiantes"/>
    <s v="Característica 33: Derechos y deberes de los estudiantes"/>
    <s v="Último valor"/>
    <s v="Anual"/>
  </r>
  <r>
    <n v="361"/>
    <x v="32"/>
    <s v="Gestión de la Responsabilidad Social"/>
    <s v="Anual"/>
    <s v="Positivo"/>
    <d v="2023-12-31T00:00:00"/>
    <n v="2023"/>
    <s v="Diciembre"/>
    <x v="11"/>
    <x v="1"/>
    <n v="4.5"/>
    <n v="4.5599999999999996"/>
    <n v="1.013333333333333"/>
    <n v="1.013333333333333"/>
    <s v="DEC"/>
    <s v="DEC"/>
    <s v="361-2023-12-31"/>
    <n v="2"/>
    <n v="2"/>
    <s v="Semestral"/>
    <s v="Estratégico"/>
    <s v="Gestión de la Responsabilidad Social"/>
    <s v="Sostenibilidad"/>
    <s v="Contribuir a la inclusión, la proyección social y el cuidado del medio ambiente"/>
    <s v="Mantener altos índices de inclusión institucional"/>
    <s v="Factor 11. Comunidad de estudiantes"/>
    <s v="Característica 33: Derechos y deberes de los estudiantes"/>
    <s v="Último valor"/>
    <s v="Anual"/>
  </r>
  <r>
    <n v="361"/>
    <x v="32"/>
    <s v="Gestión de la Responsabilidad Social"/>
    <s v="Anual"/>
    <s v="Positivo"/>
    <d v="2023-12-31T00:00:00"/>
    <n v="2023"/>
    <s v="Diciembre"/>
    <x v="11"/>
    <x v="2"/>
    <n v="4.5"/>
    <n v="4.5599999999999996"/>
    <n v="1.013333333333333"/>
    <n v="1.013333333333333"/>
    <s v="DEC"/>
    <s v="DEC"/>
    <s v="361-2023-12-31"/>
    <n v="2"/>
    <n v="2"/>
    <s v="Cierre"/>
    <s v="Estratégico"/>
    <s v="Gestión de la Responsabilidad Social"/>
    <s v="Sostenibilidad"/>
    <s v="Contribuir a la inclusión, la proyección social y el cuidado del medio ambiente"/>
    <s v="Mantener altos índices de inclusión institucional"/>
    <s v="Factor 11. Comunidad de estudiantes"/>
    <s v="Característica 33: Derechos y deberes de los estudiantes"/>
    <s v="Último valor"/>
    <s v="Anual"/>
  </r>
  <r>
    <n v="361"/>
    <x v="32"/>
    <s v="Gestión de la Responsabilidad Social"/>
    <s v="Anual"/>
    <s v="Positivo"/>
    <d v="2025-12-31T00:00:00"/>
    <n v="2025"/>
    <s v="Diciembre"/>
    <x v="15"/>
    <x v="1"/>
    <n v="4.5999999999999996"/>
    <n v="4.78"/>
    <n v="1.0391304347826089"/>
    <n v="1.013333333333333"/>
    <s v="DEC"/>
    <s v="DEC"/>
    <s v="361-2025-06-30"/>
    <n v="1"/>
    <n v="2"/>
    <s v="Semestral"/>
    <s v="Estratégico"/>
    <s v="Gestión de la Responsabilidad Social"/>
    <s v="Sostenibilidad"/>
    <s v="Contribuir a la inclusión, la proyección social y el cuidado del medio ambiente"/>
    <s v="Mantener altos índices de inclusión institucional"/>
    <s v="Factor 11. Comunidad de estudiantes"/>
    <s v="Característica 33: Derechos y deberes de los estudiantes"/>
    <s v="Último valor"/>
    <s v="Anual"/>
  </r>
  <r>
    <n v="361"/>
    <x v="32"/>
    <s v="Gestión de la Responsabilidad Social"/>
    <s v="Anual"/>
    <s v="Positivo"/>
    <d v="2025-12-31T00:00:00"/>
    <n v="2025"/>
    <s v="Diciembre"/>
    <x v="15"/>
    <x v="2"/>
    <n v="4.5"/>
    <n v="4.78"/>
    <n v="1.0622222222222222"/>
    <n v="1.013333333333333"/>
    <s v="DEC"/>
    <s v="DEC"/>
    <s v="361-2025-06-30"/>
    <n v="1"/>
    <n v="2"/>
    <s v="Cierre"/>
    <s v="Estratégico"/>
    <s v="Gestión de la Responsabilidad Social"/>
    <s v="Sostenibilidad"/>
    <s v="Contribuir a la inclusión, la proyección social y el cuidado del medio ambiente"/>
    <s v="Mantener altos índices de inclusión institucional"/>
    <s v="Factor 11. Comunidad de estudiantes"/>
    <s v="Característica 33: Derechos y deberes de los estudiantes"/>
    <s v="Último valor"/>
    <s v="Anual"/>
  </r>
  <r>
    <n v="364"/>
    <x v="33"/>
    <s v="Gestión de la Responsabilidad Social"/>
    <s v="Semestral"/>
    <s v="Negativo"/>
    <d v="2023-06-30T00:00:00"/>
    <n v="2023"/>
    <s v="Junio"/>
    <x v="10"/>
    <x v="0"/>
    <n v="0"/>
    <n v="30173"/>
    <n v="0"/>
    <n v="0"/>
    <s v="Linea base"/>
    <s v="ENT"/>
    <s v="364-2023-06-30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8. Visibilidad nacional e internacional"/>
    <s v="Característica 25: Inserción de la institución en contextos académicos nacionales e internacionales"/>
    <s v="Acumulativo"/>
    <s v="Anual"/>
  </r>
  <r>
    <n v="364"/>
    <x v="33"/>
    <s v="Gestión de la Responsabilidad Social"/>
    <s v="Semestral"/>
    <s v="Negativo"/>
    <d v="2023-12-31T00:00:00"/>
    <n v="2023"/>
    <s v="Diciembre"/>
    <x v="11"/>
    <x v="1"/>
    <n v="0"/>
    <n v="48277"/>
    <n v="0"/>
    <n v="0"/>
    <s v="Linea base"/>
    <s v="ENT"/>
    <s v="364-2023-12-31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8. Visibilidad nacional e internacional"/>
    <s v="Característica 25: Inserción de la institución en contextos académicos nacionales e internacionales"/>
    <s v="Acumulativo"/>
    <s v="Anual"/>
  </r>
  <r>
    <n v="364"/>
    <x v="33"/>
    <s v="Gestión de la Responsabilidad Social"/>
    <s v="Semestral"/>
    <s v="Negativo"/>
    <d v="2023-12-31T00:00:00"/>
    <n v="2023"/>
    <s v="Diciembre"/>
    <x v="11"/>
    <x v="2"/>
    <m/>
    <n v="78450"/>
    <m/>
    <m/>
    <s v="Linea base"/>
    <s v="ENT"/>
    <s v="364-2023-12-31"/>
    <n v="0"/>
    <n v="0"/>
    <s v="Cierre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8. Visibilidad nacional e internacional"/>
    <s v="Característica 25: Inserción de la institución en contextos académicos nacionales e internacionales"/>
    <s v="Acumulativo"/>
    <s v="Anual"/>
  </r>
  <r>
    <n v="364"/>
    <x v="33"/>
    <s v="Gestión de la Responsabilidad Social"/>
    <s v="Semestral"/>
    <s v="Negativo"/>
    <d v="2024-06-30T00:00:00"/>
    <n v="2024"/>
    <s v="Junio"/>
    <x v="12"/>
    <x v="0"/>
    <n v="31694"/>
    <n v="42069"/>
    <n v="1.013513513513514"/>
    <n v="1.013513513513514"/>
    <s v="ENT"/>
    <s v="ENT"/>
    <s v="364-2024-06-30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8. Visibilidad nacional e internacional"/>
    <s v="Característica 25: Inserción de la institución en contextos académicos nacionales e internacionales"/>
    <s v="Acumulativo"/>
    <s v="Anual"/>
  </r>
  <r>
    <n v="364"/>
    <x v="33"/>
    <s v="Gestión de la Responsabilidad Social"/>
    <s v="Semestral"/>
    <s v="Negativo"/>
    <d v="2024-12-31T00:00:00"/>
    <n v="2024"/>
    <s v="Diciembre"/>
    <x v="13"/>
    <x v="1"/>
    <n v="47541"/>
    <n v="46635"/>
    <n v="0.98094276519214996"/>
    <n v="0.98094276519214996"/>
    <s v="ENT"/>
    <s v="ENT"/>
    <s v="364-2024-12-31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8. Visibilidad nacional e internacional"/>
    <s v="Característica 25: Inserción de la institución en contextos académicos nacionales e internacionales"/>
    <s v="Acumulativo"/>
    <s v="Anual"/>
  </r>
  <r>
    <n v="364"/>
    <x v="33"/>
    <s v="Gestión de la Responsabilidad Social"/>
    <s v="Semestral"/>
    <s v="Negativo"/>
    <d v="2024-12-31T00:00:00"/>
    <n v="2024"/>
    <s v="Diciembre"/>
    <x v="13"/>
    <x v="2"/>
    <n v="79235"/>
    <n v="88704"/>
    <n v="1.119505269136114"/>
    <n v="1.119505269136114"/>
    <s v="ENT"/>
    <s v="ENT"/>
    <s v="364-2024-12-31"/>
    <n v="0"/>
    <n v="0"/>
    <s v="Cierre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8. Visibilidad nacional e internacional"/>
    <s v="Característica 25: Inserción de la institución en contextos académicos nacionales e internacionales"/>
    <s v="Acumulativo"/>
    <s v="Anual"/>
  </r>
  <r>
    <n v="364"/>
    <x v="33"/>
    <s v="Gestión de la Responsabilidad Social"/>
    <s v="Semestral"/>
    <s v="Negativo"/>
    <d v="2025-06-30T00:00:00"/>
    <n v="2025"/>
    <s v="Junio"/>
    <x v="14"/>
    <x v="0"/>
    <n v="33279"/>
    <n v="131244"/>
    <n v="1.3"/>
    <n v="3.9437483097448842"/>
    <s v="ENT"/>
    <s v="ENT"/>
    <s v="364-2025-06-30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8. Visibilidad nacional e internacional"/>
    <s v="Característica 25: Inserción de la institución en contextos académicos nacionales e internacionales"/>
    <s v="Acumulativo"/>
    <s v="Anual"/>
  </r>
  <r>
    <n v="364"/>
    <x v="33"/>
    <s v="Gestión de la Responsabilidad Social"/>
    <s v="Semestral"/>
    <s v="Negativo"/>
    <d v="2025-06-30T00:00:00"/>
    <n v="2025"/>
    <s v="Junio"/>
    <x v="14"/>
    <x v="2"/>
    <n v="33279"/>
    <n v="131244"/>
    <n v="1.3"/>
    <n v="3.9437483097448842"/>
    <s v="ENT"/>
    <s v="ENT"/>
    <s v="364-2025-06-30"/>
    <n v="0"/>
    <n v="0"/>
    <s v="Cierre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8. Visibilidad nacional e internacional"/>
    <s v="Característica 25: Inserción de la institución en contextos académicos nacionales e internacionales"/>
    <s v="Acumulativo"/>
    <s v="Anual"/>
  </r>
  <r>
    <n v="367"/>
    <x v="34"/>
    <s v="Gestión de la Responsabilidad Social"/>
    <s v="Anual"/>
    <s v="Positivo"/>
    <d v="2022-12-31T00:00:00"/>
    <n v="2022"/>
    <s v="Diciembre"/>
    <x v="9"/>
    <x v="2"/>
    <n v="5.7"/>
    <n v="6.7"/>
    <n v="1.1754385964912279"/>
    <n v="1.1754385964912279"/>
    <s v="%"/>
    <s v="%"/>
    <s v="367-2022-12-31"/>
    <n v="1"/>
    <n v="1"/>
    <s v="Cierre"/>
    <s v="Estratégico"/>
    <s v="Gestión de la Responsabilidad Social"/>
    <s v="Sostenibilidad"/>
    <s v="Contribuir a la inclusión, la proyección social y el cuidado del medio ambiente"/>
    <s v="Mantener hasta el 5% de estudiantes becados, sobre el total de estudiantes"/>
    <s v="Factor 11. Comunidad de estudiantes"/>
    <s v="Característica 34: Admisión y permanencia de estudiantes"/>
    <s v="Último valor"/>
    <s v="Anual"/>
  </r>
  <r>
    <n v="367"/>
    <x v="34"/>
    <s v="Gestión de la Responsabilidad Social"/>
    <s v="Anual"/>
    <s v="Positivo"/>
    <d v="2023-12-31T00:00:00"/>
    <n v="2023"/>
    <s v="Diciembre"/>
    <x v="11"/>
    <x v="1"/>
    <n v="5"/>
    <n v="6.25"/>
    <n v="1.25"/>
    <n v="1.25"/>
    <s v="%"/>
    <s v="%"/>
    <s v="367-2023-12-31"/>
    <n v="2"/>
    <n v="2"/>
    <s v="Semestral"/>
    <s v="Estratégico"/>
    <s v="Gestión de la Responsabilidad Social"/>
    <s v="Sostenibilidad"/>
    <s v="Contribuir a la inclusión, la proyección social y el cuidado del medio ambiente"/>
    <s v="Mantener hasta el 5% de estudiantes becados, sobre el total de estudiantes"/>
    <s v="Factor 11. Comunidad de estudiantes"/>
    <s v="Característica 34: Admisión y permanencia de estudiantes"/>
    <s v="Último valor"/>
    <s v="Anual"/>
  </r>
  <r>
    <n v="367"/>
    <x v="34"/>
    <s v="Gestión de la Responsabilidad Social"/>
    <s v="Anual"/>
    <s v="Positivo"/>
    <d v="2023-12-31T00:00:00"/>
    <n v="2023"/>
    <s v="Diciembre"/>
    <x v="11"/>
    <x v="2"/>
    <n v="5"/>
    <n v="6.25"/>
    <n v="1.25"/>
    <n v="1.25"/>
    <s v="%"/>
    <s v="%"/>
    <s v="367-2023-12-31"/>
    <n v="0"/>
    <n v="2"/>
    <s v="Cierre"/>
    <s v="Estratégico"/>
    <s v="Gestión de la Responsabilidad Social"/>
    <s v="Sostenibilidad"/>
    <s v="Contribuir a la inclusión, la proyección social y el cuidado del medio ambiente"/>
    <s v="Mantener hasta el 5% de estudiantes becados, sobre el total de estudiantes"/>
    <s v="Factor 11. Comunidad de estudiantes"/>
    <s v="Característica 34: Admisión y permanencia de estudiantes"/>
    <s v="Último valor"/>
    <s v="Anual"/>
  </r>
  <r>
    <n v="367"/>
    <x v="34"/>
    <s v="Gestión de la Responsabilidad Social"/>
    <s v="Anual"/>
    <s v="Positivo"/>
    <d v="2024-12-31T00:00:00"/>
    <n v="2024"/>
    <s v="Diciembre"/>
    <x v="13"/>
    <x v="1"/>
    <n v="5"/>
    <n v="4.96"/>
    <n v="0.99199999999999999"/>
    <n v="0.99199999999999999"/>
    <s v="%"/>
    <s v="%"/>
    <s v="367-2024-12-31"/>
    <n v="2"/>
    <n v="2"/>
    <s v="Semestral"/>
    <s v="Estratégico"/>
    <s v="Gestión de la Responsabilidad Social"/>
    <s v="Sostenibilidad"/>
    <s v="Contribuir a la inclusión, la proyección social y el cuidado del medio ambiente"/>
    <s v="Mantener hasta el 5% de estudiantes becados, sobre el total de estudiantes"/>
    <s v="Factor 11. Comunidad de estudiantes"/>
    <s v="Característica 34: Admisión y permanencia de estudiantes"/>
    <s v="Último valor"/>
    <s v="Anual"/>
  </r>
  <r>
    <n v="367"/>
    <x v="34"/>
    <s v="Gestión de la Responsabilidad Social"/>
    <s v="Anual"/>
    <s v="Positivo"/>
    <d v="2024-12-31T00:00:00"/>
    <n v="2024"/>
    <s v="Diciembre"/>
    <x v="13"/>
    <x v="2"/>
    <n v="5"/>
    <n v="4.96"/>
    <n v="0.99199999999999999"/>
    <n v="0.99199999999999999"/>
    <s v="%"/>
    <s v="%"/>
    <s v="367-2024-12-31"/>
    <n v="0"/>
    <n v="2"/>
    <s v="Cierre"/>
    <s v="Estratégico"/>
    <s v="Gestión de la Responsabilidad Social"/>
    <s v="Sostenibilidad"/>
    <s v="Contribuir a la inclusión, la proyección social y el cuidado del medio ambiente"/>
    <s v="Mantener hasta el 5% de estudiantes becados, sobre el total de estudiantes"/>
    <s v="Factor 11. Comunidad de estudiantes"/>
    <s v="Característica 34: Admisión y permanencia de estudiantes"/>
    <s v="Último valor"/>
    <s v="Anual"/>
  </r>
  <r>
    <n v="367"/>
    <x v="34"/>
    <s v="Gestión de la Responsabilidad Social"/>
    <s v="Anual"/>
    <s v="Positivo"/>
    <d v="2025-06-30T00:00:00"/>
    <n v="2025"/>
    <s v="Junio"/>
    <x v="14"/>
    <x v="2"/>
    <n v="5"/>
    <n v="4.96"/>
    <n v="0.99199999999999999"/>
    <n v="0.99199999999999999"/>
    <s v="%"/>
    <s v="%"/>
    <s v="367-2025-06-30"/>
    <n v="1"/>
    <n v="2"/>
    <s v="Cierre"/>
    <s v="Estratégico"/>
    <s v="Gestión de la Responsabilidad Social"/>
    <s v="Sostenibilidad"/>
    <s v="Contribuir a la inclusión, la proyección social y el cuidado del medio ambiente"/>
    <s v="Mantener hasta el 5% de estudiantes becados, sobre el total de estudiantes"/>
    <s v="Factor 11. Comunidad de estudiantes"/>
    <s v="Característica 34: Admisión y permanencia de estudiantes"/>
    <s v="Último valor"/>
    <s v="Anual"/>
  </r>
  <r>
    <n v="369"/>
    <x v="35"/>
    <s v="Gestión de la Responsabilidad Social"/>
    <s v="Semestral"/>
    <s v="Positivo"/>
    <d v="2023-06-30T00:00:00"/>
    <n v="2023"/>
    <s v="Junio"/>
    <x v="10"/>
    <x v="0"/>
    <n v="0"/>
    <n v="78"/>
    <m/>
    <m/>
    <s v="Linea base"/>
    <s v="ENT"/>
    <s v="369-2023-06-30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11. Comunidad de estudiantes"/>
    <s v="Característica 34: Admisión y permanencia de estudiantes"/>
    <s v="Acumulativo"/>
    <s v="Anual"/>
  </r>
  <r>
    <n v="369"/>
    <x v="35"/>
    <s v="Gestión de la Responsabilidad Social"/>
    <s v="Semestral"/>
    <s v="Positivo"/>
    <d v="2023-12-31T00:00:00"/>
    <n v="2023"/>
    <s v="Diciembre"/>
    <x v="11"/>
    <x v="1"/>
    <n v="0"/>
    <n v="96"/>
    <m/>
    <m/>
    <s v="Linea base"/>
    <s v="ENT"/>
    <s v="369-2023-12-31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11. Comunidad de estudiantes"/>
    <s v="Característica 34: Admisión y permanencia de estudiantes"/>
    <s v="Acumulativo"/>
    <s v="Anual"/>
  </r>
  <r>
    <n v="369"/>
    <x v="35"/>
    <s v="Gestión de la Responsabilidad Social"/>
    <s v="Semestral"/>
    <s v="Positivo"/>
    <d v="2023-12-31T00:00:00"/>
    <n v="2023"/>
    <s v="Diciembre"/>
    <x v="11"/>
    <x v="2"/>
    <m/>
    <n v="174"/>
    <m/>
    <m/>
    <s v="Linea base"/>
    <s v="ENT"/>
    <s v="369-2023-12-31"/>
    <n v="0"/>
    <n v="0"/>
    <s v="Cierre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11. Comunidad de estudiantes"/>
    <s v="Característica 34: Admisión y permanencia de estudiantes"/>
    <s v="Acumulativo"/>
    <s v="Anual"/>
  </r>
  <r>
    <n v="369"/>
    <x v="35"/>
    <s v="Gestión de la Responsabilidad Social"/>
    <s v="Semestral"/>
    <s v="Positivo"/>
    <d v="2024-06-30T00:00:00"/>
    <n v="2024"/>
    <s v="Junio"/>
    <x v="12"/>
    <x v="0"/>
    <n v="80"/>
    <n v="61"/>
    <n v="0.76249999999999996"/>
    <n v="0.76249999999999996"/>
    <s v="ENT"/>
    <s v="ENT"/>
    <s v="369-2024-06-30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11. Comunidad de estudiantes"/>
    <s v="Característica 34: Admisión y permanencia de estudiantes"/>
    <s v="Acumulativo"/>
    <s v="Anual"/>
  </r>
  <r>
    <n v="369"/>
    <x v="35"/>
    <s v="Gestión de la Responsabilidad Social"/>
    <s v="Semestral"/>
    <s v="Positivo"/>
    <d v="2024-12-31T00:00:00"/>
    <n v="2024"/>
    <s v="Diciembre"/>
    <x v="13"/>
    <x v="1"/>
    <n v="108"/>
    <n v="77"/>
    <n v="0.71296296296296291"/>
    <n v="0.71296296296296291"/>
    <s v="ENT"/>
    <s v="ENT"/>
    <s v="369-2024-12-31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11. Comunidad de estudiantes"/>
    <s v="Característica 34: Admisión y permanencia de estudiantes"/>
    <s v="Acumulativo"/>
    <s v="Anual"/>
  </r>
  <r>
    <n v="369"/>
    <x v="35"/>
    <s v="Gestión de la Responsabilidad Social"/>
    <s v="Semestral"/>
    <s v="Positivo"/>
    <d v="2024-12-31T00:00:00"/>
    <n v="2024"/>
    <s v="Diciembre"/>
    <x v="13"/>
    <x v="2"/>
    <n v="188"/>
    <n v="138"/>
    <n v="0.73404255319148937"/>
    <n v="0.73404255319148937"/>
    <s v="ENT"/>
    <s v="ENT"/>
    <s v="369-2024-12-31"/>
    <n v="0"/>
    <n v="0"/>
    <s v="Cierre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11. Comunidad de estudiantes"/>
    <s v="Característica 34: Admisión y permanencia de estudiantes"/>
    <s v="Acumulativo"/>
    <s v="Anual"/>
  </r>
  <r>
    <n v="369"/>
    <x v="35"/>
    <s v="Gestión de la Responsabilidad Social"/>
    <s v="Semestral"/>
    <s v="Positivo"/>
    <d v="2025-06-30T00:00:00"/>
    <n v="2025"/>
    <s v="Junio"/>
    <x v="14"/>
    <x v="0"/>
    <n v="81"/>
    <n v="72"/>
    <n v="0.88888888888888884"/>
    <n v="0.88888888888888884"/>
    <s v="ENT"/>
    <s v="ENT"/>
    <s v="369-2025-06-30"/>
    <n v="0"/>
    <n v="0"/>
    <s v="Semestral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11. Comunidad de estudiantes"/>
    <s v="Característica 34: Admisión y permanencia de estudiantes"/>
    <s v="Acumulativo"/>
    <s v="Anual"/>
  </r>
  <r>
    <n v="369"/>
    <x v="35"/>
    <s v="Gestión de la Responsabilidad Social"/>
    <s v="Semestral"/>
    <s v="Positivo"/>
    <d v="2025-06-30T00:00:00"/>
    <n v="2025"/>
    <s v="Junio"/>
    <x v="14"/>
    <x v="2"/>
    <n v="81"/>
    <n v="72"/>
    <n v="0.88888888888888884"/>
    <n v="0.88888888888888884"/>
    <s v="ENT"/>
    <s v="ENT"/>
    <s v="369-2025-06-30"/>
    <n v="0"/>
    <n v="0"/>
    <s v="Cierre"/>
    <s v="Estratégico"/>
    <s v="Gestión de la Responsabilidad Social"/>
    <s v="Sostenibilidad"/>
    <s v="Contribuir a la inclusión, la proyección social y el cuidado del medio ambiente"/>
    <s v="Propiciar espacios de interacción con la comunidad del entorno "/>
    <s v="Factor 11. Comunidad de estudiantes"/>
    <s v="Característica 34: Admisión y permanencia de estudiantes"/>
    <s v="Acumulativo"/>
    <s v="Anual"/>
  </r>
  <r>
    <n v="376"/>
    <x v="36"/>
    <s v="Planeación Financiera"/>
    <s v="Semestral"/>
    <s v="Positivo"/>
    <d v="2022-12-30T00:00:00"/>
    <n v="2022"/>
    <s v="Diciembre"/>
    <x v="9"/>
    <x v="1"/>
    <n v="16064"/>
    <n v="24140"/>
    <n v="1.3"/>
    <n v="1.5027390438247012"/>
    <s v="$"/>
    <s v="$"/>
    <s v="376-2022-12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6"/>
    <x v="36"/>
    <s v="Planeación Financiera"/>
    <s v="Semestral"/>
    <s v="Positivo"/>
    <d v="2022-12-30T00:00:00"/>
    <n v="2022"/>
    <s v="Diciembre"/>
    <x v="9"/>
    <x v="2"/>
    <n v="16064"/>
    <n v="24140"/>
    <n v="1.3"/>
    <n v="1.502739043824701"/>
    <s v="$"/>
    <s v="$"/>
    <s v="376-2022-12-30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6"/>
    <x v="36"/>
    <s v="Planeación Financiera"/>
    <s v="Semestral"/>
    <s v="Positivo"/>
    <d v="2023-12-31T00:00:00"/>
    <n v="2023"/>
    <s v="Diciembre"/>
    <x v="11"/>
    <x v="1"/>
    <n v="26073.47270271854"/>
    <n v="26403.087925999898"/>
    <n v="1.012641784507939"/>
    <n v="1.012641784507939"/>
    <s v="$"/>
    <s v="$"/>
    <s v="376-2023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6"/>
    <x v="36"/>
    <s v="Planeación Financiera"/>
    <s v="Semestral"/>
    <s v="Positivo"/>
    <d v="2023-12-31T00:00:00"/>
    <n v="2023"/>
    <s v="Diciembre"/>
    <x v="11"/>
    <x v="2"/>
    <n v="26073.47270271854"/>
    <n v="26403.087925999949"/>
    <n v="1.012641784507939"/>
    <n v="1.012641784507939"/>
    <s v="$"/>
    <s v="$"/>
    <s v="376-2023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6"/>
    <x v="36"/>
    <s v="Planeación Financiera"/>
    <s v="Semestral"/>
    <s v="Positivo"/>
    <d v="2024-12-31T00:00:00"/>
    <n v="2024"/>
    <s v="Diciembre"/>
    <x v="13"/>
    <x v="1"/>
    <n v="27010.108280834509"/>
    <n v="29467.922112"/>
    <n v="1.0909960747143497"/>
    <n v="1.0909960747143497"/>
    <s v="$"/>
    <s v="$"/>
    <s v="376-2024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6"/>
    <x v="36"/>
    <s v="Planeación Financiera"/>
    <s v="Semestral"/>
    <s v="Positivo"/>
    <d v="2024-12-31T00:00:00"/>
    <n v="2024"/>
    <s v="Diciembre"/>
    <x v="13"/>
    <x v="2"/>
    <n v="27010.108280834509"/>
    <n v="29467.922112"/>
    <n v="1.0909960747143499"/>
    <n v="1.0909960747143499"/>
    <s v="$"/>
    <s v="$"/>
    <s v="376-2024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6"/>
    <x v="36"/>
    <s v="Planeación Financiera"/>
    <s v="Semestral"/>
    <s v="Positivo"/>
    <d v="2025-06-30T00:00:00"/>
    <n v="2025"/>
    <s v="Junio"/>
    <x v="14"/>
    <x v="0"/>
    <n v="18705.796225999999"/>
    <n v="22048.226769000001"/>
    <n v="1.178684216518632"/>
    <n v="1.178684216518632"/>
    <s v="$"/>
    <s v="$"/>
    <s v="376-2025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6"/>
    <x v="36"/>
    <s v="Planeación Financiera"/>
    <s v="Semestral"/>
    <s v="Positivo"/>
    <d v="2025-06-30T00:00:00"/>
    <n v="2025"/>
    <s v="Junio"/>
    <x v="14"/>
    <x v="2"/>
    <n v="32126.483745582696"/>
    <n v="32126.483745582696"/>
    <n v="1"/>
    <n v="1"/>
    <s v="$"/>
    <s v="$"/>
    <s v="376-2025-06-30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7"/>
    <x v="37"/>
    <s v="Planeación Financiera"/>
    <s v="Semestral"/>
    <s v="Positivo"/>
    <d v="2023-06-30T00:00:00"/>
    <n v="2023"/>
    <s v="Junio"/>
    <x v="10"/>
    <x v="0"/>
    <n v="7200.908222"/>
    <n v="1606.8681489999999"/>
    <n v="1.3"/>
    <n v="4.4813311076464686"/>
    <s v="$"/>
    <s v="$"/>
    <s v="377-2023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7"/>
    <x v="37"/>
    <s v="Planeación Financiera"/>
    <s v="Semestral"/>
    <s v="Positivo"/>
    <d v="2023-12-31T00:00:00"/>
    <n v="2023"/>
    <s v="Diciembre"/>
    <x v="11"/>
    <x v="1"/>
    <n v="12518.005306706251"/>
    <n v="7607.1384189999999"/>
    <n v="1.3"/>
    <n v="1.6455603430904591"/>
    <s v="$"/>
    <s v="$"/>
    <s v="377-2023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7"/>
    <x v="37"/>
    <s v="Planeación Financiera"/>
    <s v="Semestral"/>
    <s v="Positivo"/>
    <d v="2023-12-31T00:00:00"/>
    <n v="2023"/>
    <s v="Diciembre"/>
    <x v="11"/>
    <x v="2"/>
    <n v="12518.005306706251"/>
    <n v="7607.138418999999"/>
    <n v="1.3"/>
    <n v="1.64556034309046"/>
    <s v="$"/>
    <s v="$"/>
    <s v="377-2023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7"/>
    <x v="37"/>
    <s v="Planeación Financiera"/>
    <s v="Semestral"/>
    <s v="Positivo"/>
    <d v="2024-06-30T00:00:00"/>
    <n v="2024"/>
    <s v="Junio"/>
    <x v="12"/>
    <x v="0"/>
    <n v="4468.4024010000003"/>
    <n v="2155.4775049999998"/>
    <n v="1.3"/>
    <n v="2.0730452489690911"/>
    <s v="$"/>
    <s v="$"/>
    <s v="377-2024-06-30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7"/>
    <x v="37"/>
    <s v="Planeación Financiera"/>
    <s v="Semestral"/>
    <s v="Positivo"/>
    <d v="2024-12-31T00:00:00"/>
    <n v="2024"/>
    <s v="Diciembre"/>
    <x v="13"/>
    <x v="1"/>
    <n v="9557.1950106811255"/>
    <n v="11947.626618"/>
    <n v="1.2501185342192269"/>
    <n v="1.2501185342192269"/>
    <s v="$"/>
    <s v="$"/>
    <s v="377-2024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7"/>
    <x v="37"/>
    <s v="Planeación Financiera"/>
    <s v="Semestral"/>
    <s v="Positivo"/>
    <d v="2024-12-31T00:00:00"/>
    <n v="2024"/>
    <s v="Diciembre"/>
    <x v="13"/>
    <x v="2"/>
    <n v="9557.1950106811255"/>
    <n v="11947.626618"/>
    <n v="1.2501185342192269"/>
    <n v="1.2501185342192269"/>
    <s v="$"/>
    <s v="$"/>
    <s v="377-2024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7"/>
    <x v="37"/>
    <s v="Planeación Financiera"/>
    <s v="Semestral"/>
    <s v="Positivo"/>
    <d v="2025-06-30T00:00:00"/>
    <n v="2025"/>
    <s v="Junio"/>
    <x v="14"/>
    <x v="2"/>
    <n v="9557.1950106811255"/>
    <n v="11947.626618"/>
    <n v="1.2501185342192269"/>
    <n v="1.2501185342192269"/>
    <s v="$"/>
    <s v="$"/>
    <s v="377-2025-06-30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379"/>
    <x v="38"/>
    <s v="Inscripción, admisión y matrícula de estudiantes nuevos"/>
    <s v="Semestral"/>
    <s v="Positivo"/>
    <d v="2018-06-30T00:00:00"/>
    <n v="2018"/>
    <s v="Junio"/>
    <x v="0"/>
    <x v="0"/>
    <m/>
    <n v="11960"/>
    <m/>
    <m/>
    <s v="ENT"/>
    <s v="ENT"/>
    <s v="379-2018-06-30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18-12-31T00:00:00"/>
    <n v="2018"/>
    <s v="Diciembre"/>
    <x v="1"/>
    <x v="2"/>
    <m/>
    <n v="22872"/>
    <m/>
    <m/>
    <s v="ENT"/>
    <s v="ENT"/>
    <s v="379-2018-12-31"/>
    <n v="0"/>
    <n v="0"/>
    <s v="Cierre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18-12-31T00:00:00"/>
    <n v="2018"/>
    <s v="Diciembre"/>
    <x v="1"/>
    <x v="1"/>
    <m/>
    <n v="10912"/>
    <m/>
    <m/>
    <s v="ENT"/>
    <s v="ENT"/>
    <s v="379-2018-12-31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19-06-30T00:00:00"/>
    <n v="2019"/>
    <s v="Junio"/>
    <x v="2"/>
    <x v="0"/>
    <m/>
    <n v="12993"/>
    <m/>
    <m/>
    <s v="ENT"/>
    <s v="ENT"/>
    <s v="379-2019-06-30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19-12-31T00:00:00"/>
    <n v="2019"/>
    <s v="Diciembre"/>
    <x v="3"/>
    <x v="1"/>
    <m/>
    <n v="9616"/>
    <m/>
    <m/>
    <s v="ENT"/>
    <s v="ENT"/>
    <s v="379-2019-12-31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19-12-31T00:00:00"/>
    <n v="2019"/>
    <s v="Diciembre"/>
    <x v="3"/>
    <x v="2"/>
    <m/>
    <n v="22609"/>
    <m/>
    <m/>
    <s v="ENT"/>
    <s v="ENT"/>
    <s v="379-2019-12-31"/>
    <n v="0"/>
    <n v="0"/>
    <s v="Cierre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0-06-30T00:00:00"/>
    <n v="2020"/>
    <s v="Junio"/>
    <x v="4"/>
    <x v="0"/>
    <m/>
    <n v="11830"/>
    <m/>
    <m/>
    <s v="ENT"/>
    <s v="ENT"/>
    <s v="379-2020-06-30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0-12-31T00:00:00"/>
    <n v="2020"/>
    <s v="Diciembre"/>
    <x v="5"/>
    <x v="1"/>
    <m/>
    <n v="10182"/>
    <m/>
    <m/>
    <s v="ENT"/>
    <s v="ENT"/>
    <s v="379-2020-12-31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0-12-31T00:00:00"/>
    <n v="2020"/>
    <s v="Diciembre"/>
    <x v="5"/>
    <x v="2"/>
    <m/>
    <n v="22012"/>
    <m/>
    <m/>
    <s v="ENT"/>
    <s v="ENT"/>
    <s v="379-2020-12-31"/>
    <n v="0"/>
    <n v="0"/>
    <s v="Cierre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1-06-30T00:00:00"/>
    <n v="2021"/>
    <s v="Junio"/>
    <x v="6"/>
    <x v="0"/>
    <m/>
    <n v="10300"/>
    <m/>
    <m/>
    <s v="ENT"/>
    <s v="ENT"/>
    <s v="379-2021-06-30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1-12-31T00:00:00"/>
    <n v="2021"/>
    <s v="Diciembre"/>
    <x v="7"/>
    <x v="1"/>
    <m/>
    <n v="8229"/>
    <m/>
    <m/>
    <s v="ENT"/>
    <s v="ENT"/>
    <s v="379-2021-12-31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1-12-31T00:00:00"/>
    <n v="2021"/>
    <s v="Diciembre"/>
    <x v="7"/>
    <x v="2"/>
    <m/>
    <n v="18529"/>
    <m/>
    <m/>
    <s v="ENT"/>
    <s v="ENT"/>
    <s v="379-2021-12-31"/>
    <n v="0"/>
    <n v="0"/>
    <s v="Cierre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2-06-30T00:00:00"/>
    <n v="2022"/>
    <s v="Junio"/>
    <x v="8"/>
    <x v="0"/>
    <n v="10808"/>
    <n v="11012"/>
    <n v="1.0189674315321979"/>
    <n v="1.0189674315321979"/>
    <s v="ENT"/>
    <s v="ENT"/>
    <s v="379-2022-06-30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2-12-31T00:00:00"/>
    <n v="2022"/>
    <s v="Diciembre"/>
    <x v="9"/>
    <x v="1"/>
    <n v="9192"/>
    <n v="9578"/>
    <n v="1.0528720626631849"/>
    <n v="1.0528720626631849"/>
    <s v="ENT"/>
    <s v="ENT"/>
    <s v="379-2022-12-31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2-12-31T00:00:00"/>
    <n v="2022"/>
    <s v="Diciembre"/>
    <x v="9"/>
    <x v="2"/>
    <n v="20000"/>
    <n v="20590"/>
    <n v="1.02955"/>
    <n v="1.02955"/>
    <s v="ENT"/>
    <s v="ENT"/>
    <s v="379-2022-12-31"/>
    <n v="0"/>
    <n v="0"/>
    <s v="Cierre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3-06-30T00:00:00"/>
    <n v="2023"/>
    <s v="Junio"/>
    <x v="10"/>
    <x v="0"/>
    <n v="12130"/>
    <n v="12382"/>
    <n v="1.020774938169827"/>
    <n v="1.020774938169827"/>
    <s v="ENT"/>
    <s v="ENT"/>
    <s v="379-2023-06-30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3-12-31T00:00:00"/>
    <n v="2023"/>
    <s v="Diciembre"/>
    <x v="11"/>
    <x v="1"/>
    <n v="9876"/>
    <n v="10605"/>
    <n v="1.0737140542729851"/>
    <n v="1.0737140542729851"/>
    <s v="ENT"/>
    <s v="ENT"/>
    <s v="379-2023-12-31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3-12-31T00:00:00"/>
    <n v="2023"/>
    <s v="Diciembre"/>
    <x v="11"/>
    <x v="2"/>
    <n v="22006"/>
    <n v="22987"/>
    <n v="1.0445333090975191"/>
    <n v="1.0445333090975191"/>
    <s v="ENT"/>
    <s v="ENT"/>
    <s v="379-2023-12-31"/>
    <n v="0"/>
    <n v="0"/>
    <s v="Cierre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4-06-30T00:00:00"/>
    <n v="2024"/>
    <s v="Junio"/>
    <x v="12"/>
    <x v="0"/>
    <n v="13590"/>
    <n v="12987"/>
    <n v="0.95562913907284763"/>
    <n v="0.95562913907284763"/>
    <s v="ENT"/>
    <s v="ENT"/>
    <s v="379-2024-06-30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4-12-31T00:00:00"/>
    <n v="2024"/>
    <s v="Diciembre"/>
    <x v="13"/>
    <x v="1"/>
    <n v="10675"/>
    <n v="10569"/>
    <n v="0.99007025761124123"/>
    <n v="0.99007025761124123"/>
    <s v="ENT"/>
    <s v="ENT"/>
    <s v="379-2024-12-31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4-12-31T00:00:00"/>
    <n v="2024"/>
    <s v="Diciembre"/>
    <x v="13"/>
    <x v="2"/>
    <n v="24265"/>
    <n v="23556"/>
    <n v="0.97078096023078508"/>
    <n v="0.97078096023078508"/>
    <s v="ENT"/>
    <s v="ENT"/>
    <s v="379-2024-12-31"/>
    <n v="0"/>
    <n v="0"/>
    <s v="Cierre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5-06-30T00:00:00"/>
    <n v="2025"/>
    <s v="Junio"/>
    <x v="14"/>
    <x v="0"/>
    <n v="13609"/>
    <n v="14141"/>
    <n v="1.039091777500184"/>
    <n v="1.039091777500184"/>
    <s v="ENT"/>
    <s v="ENT"/>
    <s v="379-2025-06-30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5-12-31T00:00:00"/>
    <n v="2025"/>
    <s v="Diciembre"/>
    <x v="15"/>
    <x v="2"/>
    <m/>
    <n v="25435"/>
    <m/>
    <m/>
    <s v="ENT"/>
    <s v="ENT"/>
    <s v="379-2025-12-31"/>
    <n v="0"/>
    <n v="0"/>
    <s v="Cierre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79"/>
    <x v="38"/>
    <s v="Inscripción, admisión y matrícula de estudiantes nuevos"/>
    <s v="Semestral"/>
    <s v="Positivo"/>
    <d v="2025-12-31T00:00:00"/>
    <n v="2025"/>
    <s v="Diciembre"/>
    <x v="15"/>
    <x v="1"/>
    <m/>
    <n v="11294"/>
    <m/>
    <m/>
    <s v="ENT"/>
    <s v="ENT"/>
    <s v="379-2025-12-31"/>
    <n v="0"/>
    <n v="0"/>
    <s v="Semestral"/>
    <s v="Estratégico"/>
    <s v="Inscripción, admisión y matrícula de estudiantes nuevos"/>
    <s v="Expansión"/>
    <s v="Crecer con compromiso social "/>
    <s v="En el 2026, alcanzar una población estudiantil superior a 70.000 estudiantes "/>
    <s v="Factor 11. Comunidad de estudiantes"/>
    <s v="Característica 34: Admisión y permanencia de estudiantes"/>
    <s v="Acumulativo"/>
    <s v="Semestral"/>
  </r>
  <r>
    <n v="385"/>
    <x v="39"/>
    <s v="Mercadeo y venta de educación para la vida"/>
    <s v="Semestral"/>
    <s v="Positivo"/>
    <d v="2022-12-31T00:00:00"/>
    <n v="2022"/>
    <s v="Diciembre"/>
    <x v="9"/>
    <x v="1"/>
    <n v="13361"/>
    <n v="10035.311890999999"/>
    <m/>
    <m/>
    <s v="$"/>
    <s v="$"/>
    <s v="385-2022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Último valor"/>
    <s v="Anual"/>
  </r>
  <r>
    <n v="385"/>
    <x v="39"/>
    <s v="Mercadeo y venta de educación para la vida"/>
    <s v="Semestral"/>
    <s v="Positivo"/>
    <d v="2022-12-31T00:00:00"/>
    <n v="2022"/>
    <s v="Diciembre"/>
    <x v="9"/>
    <x v="2"/>
    <n v="13361"/>
    <n v="10035.311890999999"/>
    <m/>
    <m/>
    <s v="$"/>
    <s v="$"/>
    <s v="385-2022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Último valor"/>
    <s v="Anual"/>
  </r>
  <r>
    <n v="385"/>
    <x v="39"/>
    <s v="Mercadeo y venta de educación para la vida"/>
    <s v="Semestral"/>
    <s v="Positivo"/>
    <d v="2023-12-31T00:00:00"/>
    <n v="2023"/>
    <s v="Diciembre"/>
    <x v="11"/>
    <x v="1"/>
    <n v="14097.721"/>
    <n v="17697.080526999998"/>
    <m/>
    <m/>
    <s v="$"/>
    <s v="$"/>
    <s v="385-2023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Último valor"/>
    <s v="Anual"/>
  </r>
  <r>
    <n v="385"/>
    <x v="39"/>
    <s v="Mercadeo y venta de educación para la vida"/>
    <s v="Semestral"/>
    <s v="Positivo"/>
    <d v="2023-12-31T00:00:00"/>
    <n v="2023"/>
    <s v="Diciembre"/>
    <x v="11"/>
    <x v="2"/>
    <n v="14097.721"/>
    <n v="17697.080526999998"/>
    <m/>
    <m/>
    <s v="$"/>
    <s v="$"/>
    <s v="385-2023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Último valor"/>
    <s v="Anual"/>
  </r>
  <r>
    <n v="385"/>
    <x v="39"/>
    <s v="Mercadeo y venta de educación para la vida"/>
    <s v="Semestral"/>
    <s v="Positivo"/>
    <d v="2024-12-31T00:00:00"/>
    <n v="2024"/>
    <s v="Diciembre"/>
    <x v="13"/>
    <x v="1"/>
    <n v="15507.493100000003"/>
    <n v="13243.138849000001"/>
    <m/>
    <m/>
    <s v="$"/>
    <s v="$"/>
    <s v="385-2024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Último valor"/>
    <s v="Anual"/>
  </r>
  <r>
    <n v="385"/>
    <x v="39"/>
    <s v="Mercadeo y venta de educación para la vida"/>
    <s v="Semestral"/>
    <s v="Positivo"/>
    <d v="2024-12-31T00:00:00"/>
    <n v="2024"/>
    <s v="Diciembre"/>
    <x v="13"/>
    <x v="2"/>
    <n v="15507.493100000003"/>
    <n v="13243.138849000001"/>
    <m/>
    <m/>
    <s v="$"/>
    <s v="$"/>
    <s v="385-2024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Último valor"/>
    <s v="Anual"/>
  </r>
  <r>
    <n v="385"/>
    <x v="39"/>
    <s v="Mercadeo y venta de educación para la vida"/>
    <s v="Semestral"/>
    <s v="Positivo"/>
    <d v="2025-12-31T00:00:00"/>
    <n v="2025"/>
    <s v="Diciembre"/>
    <x v="15"/>
    <x v="1"/>
    <m/>
    <n v="17058.242410999999"/>
    <m/>
    <m/>
    <s v="$"/>
    <s v="$"/>
    <s v="385-2025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m/>
    <m/>
    <s v="Último valor"/>
    <s v="Anual"/>
  </r>
  <r>
    <n v="386.1"/>
    <x v="40"/>
    <s v="Mercadeo y venta de educación para la vida"/>
    <s v="Semestral"/>
    <s v="Positivo"/>
    <d v="2022-12-31T00:00:00"/>
    <n v="2022"/>
    <s v="Diciembre"/>
    <x v="9"/>
    <x v="1"/>
    <m/>
    <n v="894.40692300000001"/>
    <m/>
    <m/>
    <s v="$"/>
    <s v="$"/>
    <s v="386.1-2022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1"/>
    <x v="40"/>
    <s v="Mercadeo y venta de educación para la vida"/>
    <s v="Semestral"/>
    <s v="Positivo"/>
    <d v="2022-12-31T00:00:00"/>
    <n v="2022"/>
    <s v="Diciembre"/>
    <x v="9"/>
    <x v="2"/>
    <m/>
    <n v="894.40692300000001"/>
    <m/>
    <m/>
    <s v="$"/>
    <s v="$"/>
    <s v="386.1-2022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1"/>
    <x v="40"/>
    <s v="Mercadeo y venta de educación para la vida"/>
    <s v="Semestral"/>
    <s v="Positivo"/>
    <d v="2023-12-31T00:00:00"/>
    <n v="2023"/>
    <s v="Diciembre"/>
    <x v="11"/>
    <x v="1"/>
    <m/>
    <n v="3779.9283479999999"/>
    <m/>
    <m/>
    <s v="$"/>
    <s v="$"/>
    <s v="386.1-2023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1"/>
    <x v="40"/>
    <s v="Mercadeo y venta de educación para la vida"/>
    <s v="Semestral"/>
    <s v="Positivo"/>
    <d v="2023-12-31T00:00:00"/>
    <n v="2023"/>
    <s v="Diciembre"/>
    <x v="11"/>
    <x v="2"/>
    <m/>
    <n v="3779.9283479999999"/>
    <m/>
    <m/>
    <s v="$"/>
    <s v="$"/>
    <s v="386.1-2023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1"/>
    <x v="40"/>
    <s v="Mercadeo y venta de educación para la vida"/>
    <s v="Semestral"/>
    <s v="Positivo"/>
    <d v="2024-12-31T00:00:00"/>
    <n v="2024"/>
    <s v="Diciembre"/>
    <x v="13"/>
    <x v="1"/>
    <m/>
    <n v="4694.2130900000002"/>
    <m/>
    <m/>
    <s v="$"/>
    <s v="$"/>
    <s v="386.1-2024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1"/>
    <x v="40"/>
    <s v="Mercadeo y venta de educación para la vida"/>
    <s v="Semestral"/>
    <s v="Positivo"/>
    <d v="2024-12-31T00:00:00"/>
    <n v="2024"/>
    <s v="Diciembre"/>
    <x v="13"/>
    <x v="2"/>
    <m/>
    <n v="4694.2130900000002"/>
    <m/>
    <m/>
    <s v="$"/>
    <s v="$"/>
    <s v="386.1-2024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1"/>
    <x v="40"/>
    <s v="Mercadeo y venta de educación para la vida"/>
    <s v="Semestral"/>
    <s v="Positivo"/>
    <d v="2025-12-31T00:00:00"/>
    <n v="2025"/>
    <s v="Diciembre"/>
    <x v="15"/>
    <x v="1"/>
    <m/>
    <n v="4042.632396"/>
    <m/>
    <m/>
    <s v="$"/>
    <s v="$"/>
    <s v="386.1-2025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m/>
    <m/>
    <s v="Acumulativo"/>
    <s v="Anual"/>
  </r>
  <r>
    <n v="386.2"/>
    <x v="41"/>
    <s v="Mercadeo y venta de educación para la vida"/>
    <s v="Semestral"/>
    <s v="Positivo"/>
    <d v="2022-12-31T00:00:00"/>
    <n v="2022"/>
    <s v="Diciembre"/>
    <x v="9"/>
    <x v="1"/>
    <m/>
    <n v="5335.242827"/>
    <m/>
    <m/>
    <s v="$"/>
    <s v="$"/>
    <s v="386.2-2023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2"/>
    <x v="41"/>
    <s v="Mercadeo y venta de educación para la vida"/>
    <s v="Semestral"/>
    <s v="Positivo"/>
    <d v="2022-12-31T00:00:00"/>
    <n v="2022"/>
    <s v="Diciembre"/>
    <x v="9"/>
    <x v="2"/>
    <m/>
    <n v="5335.242827"/>
    <m/>
    <m/>
    <s v="$"/>
    <s v="$"/>
    <s v="386.2-2023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2"/>
    <x v="41"/>
    <s v="Mercadeo y venta de educación para la vida"/>
    <s v="Semestral"/>
    <s v="Positivo"/>
    <d v="2023-12-31T00:00:00"/>
    <n v="2023"/>
    <s v="Diciembre"/>
    <x v="11"/>
    <x v="1"/>
    <m/>
    <n v="9868.4183169999997"/>
    <m/>
    <m/>
    <s v="$"/>
    <s v="$"/>
    <s v="386.2-2023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2"/>
    <x v="41"/>
    <s v="Mercadeo y venta de educación para la vida"/>
    <s v="Semestral"/>
    <s v="Positivo"/>
    <d v="2023-12-31T00:00:00"/>
    <n v="2023"/>
    <s v="Diciembre"/>
    <x v="11"/>
    <x v="2"/>
    <m/>
    <n v="9868.4183169999997"/>
    <m/>
    <m/>
    <s v="$"/>
    <s v="$"/>
    <s v="386.2-2023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2"/>
    <x v="41"/>
    <s v="Mercadeo y venta de educación para la vida"/>
    <s v="Semestral"/>
    <s v="Positivo"/>
    <d v="2024-12-31T00:00:00"/>
    <n v="2024"/>
    <s v="Diciembre"/>
    <x v="13"/>
    <x v="1"/>
    <m/>
    <n v="4170.686009"/>
    <m/>
    <m/>
    <s v="$"/>
    <s v="$"/>
    <s v="386.2-2024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2"/>
    <x v="41"/>
    <s v="Mercadeo y venta de educación para la vida"/>
    <s v="Semestral"/>
    <s v="Positivo"/>
    <d v="2024-12-31T00:00:00"/>
    <n v="2024"/>
    <s v="Diciembre"/>
    <x v="13"/>
    <x v="2"/>
    <m/>
    <n v="4170.686009"/>
    <m/>
    <m/>
    <s v="$"/>
    <s v="$"/>
    <s v="386.2-2024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2"/>
    <x v="41"/>
    <s v="Mercadeo y venta de educación para la vida"/>
    <s v="Semestral"/>
    <s v="Positivo"/>
    <d v="2025-12-31T00:00:00"/>
    <n v="2025"/>
    <s v="Diciembre"/>
    <x v="15"/>
    <x v="1"/>
    <m/>
    <n v="7446.830696"/>
    <m/>
    <m/>
    <s v="$"/>
    <s v="$"/>
    <s v="386.2-2025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m/>
    <m/>
    <s v="Acumulativo"/>
    <s v="Anual"/>
  </r>
  <r>
    <n v="386.2"/>
    <x v="41"/>
    <s v="Mercadeo y venta de educación para la vida"/>
    <s v="Semestral"/>
    <s v="Positivo"/>
    <d v="2025-12-31T00:00:00"/>
    <n v="2025"/>
    <s v="Diciembre"/>
    <x v="15"/>
    <x v="2"/>
    <m/>
    <n v="7446.830696"/>
    <m/>
    <m/>
    <s v="$"/>
    <s v="$"/>
    <s v="386.2-2025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m/>
    <m/>
    <s v="Acumulativo"/>
    <s v="Anual"/>
  </r>
  <r>
    <n v="386.3"/>
    <x v="42"/>
    <s v="Mercadeo y venta de educación para la vida"/>
    <s v="Semestral"/>
    <s v="Positivo"/>
    <d v="2022-12-31T00:00:00"/>
    <n v="2022"/>
    <s v="Diciembre"/>
    <x v="9"/>
    <x v="1"/>
    <m/>
    <n v="3805.6621409999998"/>
    <m/>
    <m/>
    <s v="$"/>
    <s v="$"/>
    <s v="386.3-2022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3"/>
    <x v="42"/>
    <s v="Mercadeo y venta de educación para la vida"/>
    <s v="Semestral"/>
    <s v="Positivo"/>
    <d v="2022-12-31T00:00:00"/>
    <n v="2022"/>
    <s v="Diciembre"/>
    <x v="9"/>
    <x v="2"/>
    <m/>
    <n v="3805.6621409999998"/>
    <m/>
    <m/>
    <s v="$"/>
    <s v="$"/>
    <s v="386.3-2022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3"/>
    <x v="42"/>
    <s v="Mercadeo y venta de educación para la vida"/>
    <s v="Semestral"/>
    <s v="Positivo"/>
    <d v="2023-12-31T00:00:00"/>
    <n v="2023"/>
    <s v="Diciembre"/>
    <x v="11"/>
    <x v="1"/>
    <m/>
    <n v="4048.733862"/>
    <m/>
    <m/>
    <s v="$"/>
    <s v="$"/>
    <s v="386.3-2023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3"/>
    <x v="42"/>
    <s v="Mercadeo y venta de educación para la vida"/>
    <s v="Semestral"/>
    <s v="Positivo"/>
    <d v="2023-12-31T00:00:00"/>
    <n v="2023"/>
    <s v="Diciembre"/>
    <x v="11"/>
    <x v="2"/>
    <m/>
    <n v="4048.733862"/>
    <m/>
    <m/>
    <s v="$"/>
    <s v="$"/>
    <s v="386.3-2023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3"/>
    <x v="42"/>
    <s v="Mercadeo y venta de educación para la vida"/>
    <s v="Semestral"/>
    <s v="Positivo"/>
    <d v="2024-12-31T00:00:00"/>
    <n v="2024"/>
    <s v="Diciembre"/>
    <x v="13"/>
    <x v="1"/>
    <m/>
    <n v="4378.2397499999997"/>
    <m/>
    <m/>
    <s v="$"/>
    <s v="$"/>
    <s v="386.3-2024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3"/>
    <x v="42"/>
    <s v="Mercadeo y venta de educación para la vida"/>
    <s v="Semestral"/>
    <s v="Positivo"/>
    <d v="2024-12-31T00:00:00"/>
    <n v="2024"/>
    <s v="Diciembre"/>
    <x v="13"/>
    <x v="2"/>
    <m/>
    <n v="4378.2397499999997"/>
    <m/>
    <m/>
    <s v="$"/>
    <s v="$"/>
    <s v="386.3-2024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s v="Factor 3. Desarrollo, gestión y sostenibilidad institucional"/>
    <s v="Característica 12: Recursos y gestión financiera"/>
    <s v="Acumulativo"/>
    <s v="Anual"/>
  </r>
  <r>
    <n v="386.3"/>
    <x v="42"/>
    <s v="Mercadeo y venta de educación para la vida"/>
    <s v="Semestral"/>
    <s v="Positivo"/>
    <d v="2025-12-31T00:00:00"/>
    <n v="2025"/>
    <s v="Diciembre"/>
    <x v="15"/>
    <x v="1"/>
    <m/>
    <n v="5568.7793190000002"/>
    <m/>
    <m/>
    <s v="$"/>
    <s v="$"/>
    <s v="386.3-2025-12-31"/>
    <n v="0"/>
    <n v="0"/>
    <s v="Semestral"/>
    <s v="Estratégico"/>
    <s v="Mercadeo y venta de educación para la vida"/>
    <s v="Educación_para_toda_la_vida"/>
    <s v="Impulsar y potenciar la educación continua"/>
    <s v="Incrementar en más del 50% los ingresos de B2B Y B2G para el año 2026"/>
    <m/>
    <m/>
    <s v="Acumulativo"/>
    <s v="Anual"/>
  </r>
  <r>
    <n v="386.3"/>
    <x v="42"/>
    <s v="Mercadeo y venta de educación para la vida"/>
    <s v="Semestral"/>
    <s v="Positivo"/>
    <d v="2025-12-31T00:00:00"/>
    <n v="2025"/>
    <s v="Diciembre"/>
    <x v="15"/>
    <x v="2"/>
    <m/>
    <n v="5568.7793190000002"/>
    <m/>
    <m/>
    <s v="$"/>
    <s v="$"/>
    <s v="386.3-2025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m/>
    <m/>
    <s v="Acumulativo"/>
    <s v="Anual"/>
  </r>
  <r>
    <n v="423"/>
    <x v="43"/>
    <s v="Mercadeo de programas académicos"/>
    <s v="Anual"/>
    <s v="Positivo"/>
    <d v="2022-12-31T00:00:00"/>
    <n v="2022"/>
    <s v="Diciembre"/>
    <x v="9"/>
    <x v="1"/>
    <n v="8.8000000000000007"/>
    <n v="7.8"/>
    <n v="0.88636363636363624"/>
    <n v="0.88636363636363624"/>
    <m/>
    <m/>
    <s v="423-2022-12-31"/>
    <n v="1"/>
    <n v="1"/>
    <s v="Semestral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3"/>
    <x v="43"/>
    <s v="Mercadeo de programas académicos"/>
    <s v="Anual"/>
    <s v="Positivo"/>
    <d v="2022-12-31T00:00:00"/>
    <n v="2022"/>
    <s v="Diciembre"/>
    <x v="9"/>
    <x v="2"/>
    <n v="8.8000000000000007"/>
    <n v="7.8"/>
    <n v="0.88636363636363624"/>
    <n v="0.88636363636363624"/>
    <s v="DEC"/>
    <s v="DEC"/>
    <s v="423-2022-12-31"/>
    <n v="1"/>
    <n v="1"/>
    <s v="Cierre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3"/>
    <x v="43"/>
    <s v="Mercadeo de programas académicos"/>
    <s v="Anual"/>
    <s v="Positivo"/>
    <d v="2023-12-31T00:00:00"/>
    <n v="2023"/>
    <s v="Diciembre"/>
    <x v="11"/>
    <x v="1"/>
    <n v="8.4"/>
    <n v="7.9"/>
    <n v="0.94047619047619047"/>
    <n v="0.94047619047619047"/>
    <m/>
    <m/>
    <s v="423-2023-12-31"/>
    <n v="1"/>
    <n v="1"/>
    <s v="Semestral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3"/>
    <x v="43"/>
    <s v="Mercadeo de programas académicos"/>
    <s v="Anual"/>
    <s v="Positivo"/>
    <d v="2023-12-31T00:00:00"/>
    <n v="2023"/>
    <s v="Diciembre"/>
    <x v="11"/>
    <x v="2"/>
    <n v="8.4"/>
    <n v="7.9"/>
    <n v="0.94047619047619047"/>
    <n v="0.94047619047619047"/>
    <s v="DEC"/>
    <s v="DEC"/>
    <s v="423-2023-12-31"/>
    <n v="1"/>
    <n v="1"/>
    <s v="Cierre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3"/>
    <x v="43"/>
    <s v="Mercadeo de programas académicos"/>
    <s v="Anual"/>
    <s v="Positivo"/>
    <d v="2024-12-31T00:00:00"/>
    <n v="2024"/>
    <s v="Diciembre"/>
    <x v="13"/>
    <x v="1"/>
    <n v="8.3000000000000007"/>
    <n v="12.4"/>
    <n v="1.3"/>
    <n v="1.481927710843373"/>
    <m/>
    <m/>
    <s v="423-2024-12-31"/>
    <n v="1"/>
    <n v="1"/>
    <s v="Semestral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3"/>
    <x v="43"/>
    <s v="Mercadeo de programas académicos"/>
    <s v="Anual"/>
    <s v="Positivo"/>
    <d v="2024-12-31T00:00:00"/>
    <n v="2024"/>
    <s v="Diciembre"/>
    <x v="13"/>
    <x v="2"/>
    <n v="8.3000000000000007"/>
    <n v="12.4"/>
    <n v="1.3"/>
    <n v="1.481927710843373"/>
    <s v="DEC"/>
    <s v="DEC"/>
    <s v="423-2024-12-31"/>
    <n v="1"/>
    <n v="1"/>
    <s v="Cierre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3"/>
    <x v="43"/>
    <s v="Mercadeo de programas académicos"/>
    <s v="Anual"/>
    <s v="Positivo"/>
    <d v="2025-12-31T00:00:00"/>
    <n v="2025"/>
    <s v="Diciembre"/>
    <x v="15"/>
    <x v="1"/>
    <n v="12"/>
    <n v="15.1"/>
    <m/>
    <m/>
    <s v="DEC"/>
    <s v="DEC"/>
    <s v="423-2025-06-30"/>
    <n v="1"/>
    <n v="1"/>
    <s v="Semestral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4"/>
    <x v="44"/>
    <s v="Mercadeo de programas académicos"/>
    <s v="Anual"/>
    <s v="Positivo"/>
    <d v="2022-12-31T00:00:00"/>
    <n v="2022"/>
    <s v="Diciembre"/>
    <x v="9"/>
    <x v="1"/>
    <n v="6.5"/>
    <n v="5"/>
    <n v="0.76923076923076927"/>
    <n v="0.76923076923076927"/>
    <m/>
    <m/>
    <s v="424-2022-12-31"/>
    <n v="0"/>
    <n v="0"/>
    <s v="Semestral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4"/>
    <x v="44"/>
    <s v="Mercadeo de programas académicos"/>
    <s v="Anual"/>
    <s v="Positivo"/>
    <d v="2022-12-31T00:00:00"/>
    <n v="2022"/>
    <s v="Diciembre"/>
    <x v="9"/>
    <x v="2"/>
    <n v="6.5"/>
    <n v="5"/>
    <n v="0.76923076923076927"/>
    <n v="0.76923076923076927"/>
    <s v="DEC"/>
    <s v="ENT"/>
    <s v="424-2022-12-31"/>
    <n v="1"/>
    <n v="0"/>
    <s v="Cierre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4"/>
    <x v="44"/>
    <s v="Mercadeo de programas académicos"/>
    <s v="Anual"/>
    <s v="Positivo"/>
    <d v="2023-12-31T00:00:00"/>
    <n v="2023"/>
    <s v="Diciembre"/>
    <x v="11"/>
    <x v="1"/>
    <n v="6"/>
    <n v="6"/>
    <n v="1"/>
    <n v="1"/>
    <m/>
    <m/>
    <s v="424-2023-12-31"/>
    <n v="0"/>
    <n v="0"/>
    <s v="Semestral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4"/>
    <x v="44"/>
    <s v="Mercadeo de programas académicos"/>
    <s v="Anual"/>
    <s v="Positivo"/>
    <d v="2023-12-31T00:00:00"/>
    <n v="2023"/>
    <s v="Diciembre"/>
    <x v="11"/>
    <x v="2"/>
    <n v="6"/>
    <n v="6"/>
    <n v="1"/>
    <n v="1"/>
    <s v="ENT"/>
    <s v="ENT"/>
    <s v="424-2023-12-31"/>
    <n v="0"/>
    <n v="0"/>
    <s v="Cierre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4"/>
    <x v="44"/>
    <s v="Mercadeo de programas académicos"/>
    <s v="Anual"/>
    <s v="Positivo"/>
    <d v="2024-12-31T00:00:00"/>
    <n v="2024"/>
    <s v="Diciembre"/>
    <x v="13"/>
    <x v="1"/>
    <n v="7"/>
    <n v="9"/>
    <n v="1.285714285714286"/>
    <n v="1.285714285714286"/>
    <m/>
    <m/>
    <s v="424-2024-12-31"/>
    <n v="0"/>
    <n v="0"/>
    <s v="Semestral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4"/>
    <x v="44"/>
    <s v="Mercadeo de programas académicos"/>
    <s v="Anual"/>
    <s v="Positivo"/>
    <d v="2024-12-31T00:00:00"/>
    <n v="2024"/>
    <s v="Diciembre"/>
    <x v="13"/>
    <x v="2"/>
    <n v="7"/>
    <n v="9"/>
    <n v="1.285714285714286"/>
    <n v="1.285714285714286"/>
    <s v="ENT"/>
    <s v="ENT"/>
    <s v="424-2024-12-31"/>
    <n v="0"/>
    <n v="0"/>
    <s v="Cierre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4"/>
    <x v="44"/>
    <s v="Mercadeo de programas académicos"/>
    <s v="Anual"/>
    <s v="Positivo"/>
    <d v="2025-12-31T00:00:00"/>
    <n v="2025"/>
    <s v="Diciembre"/>
    <x v="15"/>
    <x v="1"/>
    <n v="9"/>
    <n v="11"/>
    <m/>
    <m/>
    <s v="ENT"/>
    <s v="ENT"/>
    <s v="424-2025-12-31"/>
    <n v="0"/>
    <n v="0"/>
    <s v="Semestral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60"/>
    <x v="45"/>
    <s v="GESTIÓN Y DESARROLLO DEL TALENTO HUMANO"/>
    <s v="Anual"/>
    <s v="Positivo"/>
    <d v="2023-12-31T00:00:00"/>
    <n v="2023"/>
    <s v="Diciembre"/>
    <x v="11"/>
    <x v="2"/>
    <m/>
    <n v="94.85"/>
    <m/>
    <m/>
    <s v="Linea base"/>
    <s v="%"/>
    <s v="460-2023-12-31"/>
    <n v="0"/>
    <n v="0"/>
    <s v="Cierre"/>
    <s v="Estratégico"/>
    <s v="GESTIÓN Y DESARROLLO DEL TALENTO HUMANO"/>
    <s v="Calidad"/>
    <s v="Fortalecer la oferta educativa y la innovación curricular"/>
    <s v="Avanzar en la construcción de una cultura de buena docencia centrada en el estudiante, su aprendizaje y en la excelencia pedagógica del equipo de profesores."/>
    <s v="Factor 10. Comunidad de profesores"/>
    <s v="Característica 31: Desarrollo profesoral"/>
    <s v="Último valor"/>
    <s v="Anual"/>
  </r>
  <r>
    <n v="460"/>
    <x v="45"/>
    <s v="GESTIÓN Y DESARROLLO DEL TALENTO HUMANO"/>
    <s v="Anual"/>
    <s v="Positivo"/>
    <d v="2024-12-31T00:00:00"/>
    <n v="2024"/>
    <s v="Diciembre"/>
    <x v="13"/>
    <x v="1"/>
    <n v="80"/>
    <n v="91.44"/>
    <n v="1.143"/>
    <n v="1.143"/>
    <s v="%"/>
    <s v="%"/>
    <s v="460-2024-12-31"/>
    <n v="0"/>
    <n v="0"/>
    <s v="Semestral"/>
    <s v="Estratégico"/>
    <s v="GESTIÓN Y DESARROLLO DEL TALENTO HUMANO"/>
    <s v="Calidad"/>
    <s v="Fortalecer la oferta educativa y la innovación curricular"/>
    <s v="Avanzar en la construcción de una cultura de buena docencia centrada en el estudiante, su aprendizaje y en la excelencia pedagógica del equipo de profesores."/>
    <s v="Factor 10. Comunidad de profesores"/>
    <s v="Característica 31: Desarrollo profesoral"/>
    <s v="Último valor"/>
    <s v="Anual"/>
  </r>
  <r>
    <n v="460"/>
    <x v="45"/>
    <s v="GESTIÓN Y DESARROLLO DEL TALENTO HUMANO"/>
    <s v="Anual"/>
    <s v="Positivo"/>
    <d v="2024-12-31T00:00:00"/>
    <n v="2024"/>
    <s v="Diciembre"/>
    <x v="13"/>
    <x v="1"/>
    <m/>
    <n v="94.85"/>
    <m/>
    <m/>
    <s v="Linea base"/>
    <s v="%"/>
    <s v="460-2024-12-31"/>
    <n v="0"/>
    <n v="0"/>
    <s v="Semestral"/>
    <s v="Estratégico"/>
    <s v="GESTIÓN Y DESARROLLO DEL TALENTO HUMANO"/>
    <s v="Calidad"/>
    <s v="Fortalecer la oferta educativa y la innovación curricular"/>
    <s v="Avanzar en la construcción de una cultura de buena docencia centrada en el estudiante, su aprendizaje y en la excelencia pedagógica del equipo de profesores."/>
    <s v="Factor 10. Comunidad de profesores"/>
    <s v="Característica 31: Desarrollo profesoral"/>
    <s v="Último valor"/>
    <s v="Anual"/>
  </r>
  <r>
    <n v="460"/>
    <x v="45"/>
    <s v="GESTIÓN Y DESARROLLO DEL TALENTO HUMANO"/>
    <s v="Anual"/>
    <s v="Positivo"/>
    <d v="2024-12-31T00:00:00"/>
    <n v="2024"/>
    <s v="Diciembre"/>
    <x v="13"/>
    <x v="2"/>
    <n v="80"/>
    <n v="91.44"/>
    <n v="1.143"/>
    <n v="1.143"/>
    <s v="%"/>
    <s v="%"/>
    <s v="460-2024-12-31"/>
    <n v="0"/>
    <n v="1"/>
    <s v="Cierre"/>
    <s v="Estratégico"/>
    <s v="GESTIÓN Y DESARROLLO DEL TALENTO HUMANO"/>
    <s v="Calidad"/>
    <s v="Fortalecer la oferta educativa y la innovación curricular"/>
    <s v="Avanzar en la construcción de una cultura de buena docencia centrada en el estudiante, su aprendizaje y en la excelencia pedagógica del equipo de profesores."/>
    <s v="Factor 10. Comunidad de profesores"/>
    <s v="Característica 31: Desarrollo profesoral"/>
    <s v="Último valor"/>
    <s v="Anual"/>
  </r>
  <r>
    <n v="460"/>
    <x v="45"/>
    <s v="GESTIÓN Y DESARROLLO DEL TALENTO HUMANO"/>
    <s v="Anual"/>
    <s v="Positivo"/>
    <d v="2025-06-30T00:00:00"/>
    <n v="2025"/>
    <s v="Junio"/>
    <x v="14"/>
    <x v="2"/>
    <n v="80"/>
    <n v="91.44"/>
    <n v="1.143"/>
    <n v="1.143"/>
    <s v="%"/>
    <s v="%"/>
    <s v="460-2025-06-30"/>
    <n v="0"/>
    <n v="1"/>
    <s v="Cierre"/>
    <s v="Estratégico"/>
    <s v="GESTIÓN Y DESARROLLO DEL TALENTO HUMANO"/>
    <s v="Calidad"/>
    <s v="Fortalecer la oferta educativa y la innovación curricular"/>
    <s v="Avanzar en la construcción de una cultura de buena docencia centrada en el estudiante, su aprendizaje y en la excelencia pedagógica del equipo de profesores."/>
    <s v="Factor 10. Comunidad de profesores"/>
    <s v="Característica 31: Desarrollo profesoral"/>
    <s v="Último valor"/>
    <s v="Anual"/>
  </r>
  <r>
    <n v="466"/>
    <x v="46"/>
    <s v="Servicio"/>
    <s v="Semestral"/>
    <s v="Positivo"/>
    <d v="2022-12-31T00:00:00"/>
    <n v="2022"/>
    <s v="Diciembre"/>
    <x v="9"/>
    <x v="1"/>
    <n v="25"/>
    <n v="43.56"/>
    <n v="1.3"/>
    <n v="1.7423999999999999"/>
    <s v="ENT"/>
    <s v="DEC"/>
    <s v="466-2022-12-31"/>
    <n v="1"/>
    <n v="1"/>
    <s v="Semestral"/>
    <s v="Estratégico"/>
    <s v="EXPERIENCIA INSTITUCIONAL"/>
    <s v="Experiencia"/>
    <s v="Garantizar una experiencia significativa y de valor agregado a la comunidad POLI"/>
    <s v="Alcanzar a una satisfacción del servicio superior al 85%."/>
    <s v="Factor 11. Comunidad de estudiantes"/>
    <s v="Característica 26: Satisfacción del estudiante y del cliente"/>
    <s v="Último valor"/>
    <s v="Anual"/>
  </r>
  <r>
    <n v="466"/>
    <x v="46"/>
    <s v="Servicio"/>
    <s v="Semestral"/>
    <s v="Positivo"/>
    <d v="2023-12-31T00:00:00"/>
    <n v="2023"/>
    <s v="Diciembre"/>
    <x v="11"/>
    <x v="1"/>
    <n v="42"/>
    <n v="53.34"/>
    <n v="1.27"/>
    <n v="1.27"/>
    <s v="ENT"/>
    <s v="DEC"/>
    <s v="466-2023-12-31"/>
    <n v="1"/>
    <n v="1"/>
    <s v="Semestral"/>
    <s v="Estratégico"/>
    <s v="EXPERIENCIA INSTITUCIONAL"/>
    <s v="Experiencia"/>
    <s v="Garantizar una experiencia significativa y de valor agregado a la comunidad POLI"/>
    <s v="Alcanzar a una satisfacción del servicio superior al 85%."/>
    <s v="Factor 11. Comunidad de estudiantes"/>
    <s v="Característica 26: Satisfacción del estudiante y del cliente"/>
    <s v="Último valor"/>
    <s v="Anual"/>
  </r>
  <r>
    <n v="466"/>
    <x v="46"/>
    <s v="Servicio"/>
    <s v="Semestral"/>
    <s v="Positivo"/>
    <d v="2022-12-31T00:00:00"/>
    <n v="2022"/>
    <s v="Diciembre"/>
    <x v="9"/>
    <x v="2"/>
    <n v="25"/>
    <n v="43.56"/>
    <n v="1.3"/>
    <n v="1.7423999999999999"/>
    <s v="ENT"/>
    <s v="DEC"/>
    <s v="466-2022-12-31"/>
    <n v="1"/>
    <n v="1"/>
    <s v="Cierre"/>
    <s v="Estratégico"/>
    <s v="EXPERIENCIA INSTITUCIONAL"/>
    <s v="Experiencia"/>
    <s v="Garantizar una experiencia significativa y de valor agregado a la comunidad POLI"/>
    <s v="Alcanzar a una satisfacción del servicio superior al 85%."/>
    <s v="Factor 11. Comunidad de estudiantes"/>
    <s v="Característica 26: Satisfacción del estudiante y del cliente"/>
    <s v="Último valor"/>
    <s v="Anual"/>
  </r>
  <r>
    <n v="466"/>
    <x v="46"/>
    <s v="Servicio"/>
    <s v="Semestral"/>
    <s v="Positivo"/>
    <d v="2023-12-31T00:00:00"/>
    <n v="2023"/>
    <s v="Diciembre"/>
    <x v="11"/>
    <x v="2"/>
    <n v="42"/>
    <n v="53.34"/>
    <n v="1.27"/>
    <n v="1.27"/>
    <s v="ENT"/>
    <s v="DEC"/>
    <s v="466-2023-12-31"/>
    <n v="1"/>
    <n v="1"/>
    <s v="Cierre"/>
    <s v="Estratégico"/>
    <s v="EXPERIENCIA INSTITUCIONAL"/>
    <s v="Experiencia"/>
    <s v="Garantizar una experiencia significativa y de valor agregado a la comunidad POLI"/>
    <s v="Alcanzar a una satisfacción del servicio superior al 85%."/>
    <s v="Factor 11. Comunidad de estudiantes"/>
    <s v="Característica 26: Satisfacción del estudiante y del cliente"/>
    <s v="Último valor"/>
    <s v="Anual"/>
  </r>
  <r>
    <n v="466"/>
    <x v="46"/>
    <s v="EXPERIENCIA INSTITUCIONAL"/>
    <s v="Semestral"/>
    <s v="Positivo"/>
    <d v="2024-06-30T00:00:00"/>
    <n v="2024"/>
    <s v="Junio"/>
    <x v="12"/>
    <x v="0"/>
    <n v="50"/>
    <n v="59.6"/>
    <n v="1.1919999999999999"/>
    <n v="1.1919999999999999"/>
    <s v="ENT"/>
    <s v="DEC"/>
    <s v="466-2024-06-30"/>
    <n v="0"/>
    <n v="0"/>
    <s v="Semestral"/>
    <s v="Estratégico"/>
    <s v="EXPERIENCIA INSTITUCIONAL"/>
    <s v="Experiencia"/>
    <s v="Garantizar una experiencia significativa y de valor agregado a la comunidad POLI"/>
    <s v="Alcanzar a una satisfacción del servicio superior al 85%."/>
    <s v="Factor 11. Comunidad de estudiantes"/>
    <s v="Característica 26: Satisfacción del estudiante y del cliente"/>
    <s v="Último valor"/>
    <s v="Anual"/>
  </r>
  <r>
    <n v="466"/>
    <x v="46"/>
    <s v="EXPERIENCIA INSTITUCIONAL"/>
    <s v="Semestral"/>
    <s v="Positivo"/>
    <d v="2024-12-31T00:00:00"/>
    <n v="2024"/>
    <s v="Diciembre"/>
    <x v="13"/>
    <x v="2"/>
    <n v="50"/>
    <n v="53.8"/>
    <n v="1.0760000000000001"/>
    <n v="1.0760000000000001"/>
    <s v="ENT"/>
    <s v="DEC"/>
    <s v="466-2024-12-31"/>
    <n v="0"/>
    <n v="0"/>
    <s v="Cierre"/>
    <s v="Estratégico"/>
    <s v="EXPERIENCIA INSTITUCIONAL"/>
    <s v="Experiencia"/>
    <s v="Garantizar una experiencia significativa y de valor agregado a la comunidad POLI"/>
    <s v="Alcanzar a una satisfacción del servicio superior al 85%."/>
    <s v="Factor 11. Comunidad de estudiantes"/>
    <s v="Característica 26: Satisfacción del estudiante y del cliente"/>
    <s v="Último valor"/>
    <s v="Anual"/>
  </r>
  <r>
    <n v="466"/>
    <x v="46"/>
    <s v="Servicio"/>
    <s v="Semestral"/>
    <s v="Positivo"/>
    <d v="2024-12-31T00:00:00"/>
    <n v="2024"/>
    <s v="Diciembre"/>
    <x v="13"/>
    <x v="1"/>
    <n v="50"/>
    <n v="53.8"/>
    <n v="1.0760000000000001"/>
    <n v="1.0760000000000001"/>
    <s v="ENT"/>
    <s v="DEC"/>
    <s v="466-2024-12-31"/>
    <n v="1"/>
    <n v="1"/>
    <s v="Semestral"/>
    <s v="Estratégico"/>
    <s v="EXPERIENCIA INSTITUCIONAL"/>
    <s v="Experiencia"/>
    <s v="Garantizar una experiencia significativa y de valor agregado a la comunidad POLI"/>
    <s v="Alcanzar a una satisfacción del servicio superior al 85%."/>
    <s v="Factor 11. Comunidad de estudiantes"/>
    <s v="Característica 26: Satisfacción del estudiante y del cliente"/>
    <s v="Último valor"/>
    <s v="Anual"/>
  </r>
  <r>
    <n v="466"/>
    <x v="46"/>
    <s v="Servicio"/>
    <s v="Semestral"/>
    <s v="Positivo"/>
    <d v="2025-12-31T00:00:00"/>
    <n v="2025"/>
    <s v="Diciembre"/>
    <x v="15"/>
    <x v="1"/>
    <n v="50"/>
    <n v="58.6"/>
    <n v="1.1719999999999999"/>
    <n v="1.0760000000000001"/>
    <s v="ENT"/>
    <s v="DEC"/>
    <s v="466-2025-06-30"/>
    <n v="1"/>
    <n v="1"/>
    <s v="Semestral"/>
    <s v="Estratégico"/>
    <s v="EXPERIENCIA INSTITUCIONAL"/>
    <s v="Experiencia"/>
    <s v="Garantizar una experiencia significativa y de valor agregado a la comunidad POLI"/>
    <s v="Alcanzar a una satisfacción del servicio superior al 85%."/>
    <s v="Factor 11. Comunidad de estudiantes"/>
    <s v="Característica 26: Satisfacción del estudiante y del cliente"/>
    <s v="Último valor"/>
    <s v="Anual"/>
  </r>
  <r>
    <n v="203"/>
    <x v="15"/>
    <s v="Planeación Financiera"/>
    <s v="Semestral"/>
    <s v="Positivo"/>
    <d v="2025-12-31T00:00:00"/>
    <n v="2025"/>
    <s v="Diciembre"/>
    <x v="15"/>
    <x v="1"/>
    <m/>
    <n v="159354.82822823568"/>
    <m/>
    <m/>
    <s v="$"/>
    <s v="$"/>
    <s v="203-2025-12-31"/>
    <n v="0"/>
    <n v="0"/>
    <s v="Semestral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203"/>
    <x v="15"/>
    <s v="Planeación Financiera"/>
    <s v="Semestral"/>
    <s v="Positivo"/>
    <d v="2025-12-31T00:00:00"/>
    <n v="2025"/>
    <s v="Diciembre"/>
    <x v="15"/>
    <x v="2"/>
    <m/>
    <n v="309304.69728996162"/>
    <m/>
    <m/>
    <s v="$"/>
    <s v="$"/>
    <s v="203-2025-12-31"/>
    <n v="0"/>
    <n v="0"/>
    <s v="Cierre"/>
    <s v="Estratégico"/>
    <s v="Planeación Financiera"/>
    <s v="Sostenibilidad"/>
    <s v="Promover una cultura de optimización de recursos financieros como apalancador de la estrategia"/>
    <s v="Incrementar los ingresos y el presupuesto de inversión en proyectos institucionales"/>
    <s v="Factor 3. Desarrollo, gestión y sostenibilidad institucional"/>
    <s v="Característica 12: Recursos y gestión financiera"/>
    <s v="Acumulativo"/>
    <s v="Anual"/>
  </r>
  <r>
    <n v="148"/>
    <x v="10"/>
    <s v="Formación para la investigación, creación e innovación"/>
    <s v="Semestral"/>
    <s v="Positivo"/>
    <d v="2025-12-31T00:00:00"/>
    <n v="2025"/>
    <s v="Diciembre"/>
    <x v="15"/>
    <x v="1"/>
    <n v="5.2"/>
    <n v="5.2"/>
    <n v="1.02"/>
    <n v="1.02"/>
    <s v="%"/>
    <s v="%"/>
    <s v="148-2025-06-30"/>
    <n v="0"/>
    <n v="1"/>
    <s v="Semestral"/>
    <s v="Estratégico"/>
    <s v="Formación para la investigación, creación e innovación"/>
    <s v="Calidad"/>
    <s v="Asegurar la alta calidad a nivel institucional"/>
    <s v="Al 2025 alcanzar la acreditación institucional en alta calidad de la sede Bogotá "/>
    <s v="Factor 6. Aportes de la investigación, la innovación, el desarrollo tecnológico y la creación al entorno"/>
    <s v="Característica 21: Formación para la investigación, creación e innovación"/>
    <s v="Último valor"/>
    <s v="Semestral"/>
  </r>
  <r>
    <n v="466"/>
    <x v="46"/>
    <s v="Servicio"/>
    <s v="Semestral"/>
    <s v="Positivo"/>
    <d v="2025-12-31T00:00:00"/>
    <n v="2025"/>
    <s v="Diciembre"/>
    <x v="15"/>
    <x v="2"/>
    <n v="55"/>
    <n v="58.6"/>
    <n v="1.0654545454545454"/>
    <n v="1.0760000000000001"/>
    <s v="ENT"/>
    <s v="DEC"/>
    <s v="466-2025-12-31"/>
    <n v="1"/>
    <n v="1"/>
    <s v="Cierre"/>
    <s v="Estratégico"/>
    <s v="EXPERIENCIA INSTITUCIONAL"/>
    <s v="Experiencia"/>
    <s v="Garantizar una experiencia significativa y de valor agregado a la comunidad POLI"/>
    <s v="Alcanzar a una satisfacción del servicio superior al 85%."/>
    <s v="Factor 11. Comunidad de estudiantes"/>
    <s v="Característica 26: Satisfacción del estudiante y del cliente"/>
    <s v="Último valor"/>
    <s v="Anual"/>
  </r>
  <r>
    <n v="109"/>
    <x v="9"/>
    <s v="Comunicaciones Internas"/>
    <s v="Anual"/>
    <s v="Positivo"/>
    <d v="2025-12-31T00:00:00"/>
    <n v="2024"/>
    <s v="Diciembre"/>
    <x v="15"/>
    <x v="1"/>
    <n v="80"/>
    <n v="94"/>
    <n v="1.175"/>
    <n v="1.0625"/>
    <s v="%"/>
    <s v="%"/>
    <s v="109-2025-12-31"/>
    <n v="0"/>
    <n v="0"/>
    <s v="Semestral"/>
    <s v="Estratégico"/>
    <s v="Comunicaciones Internas"/>
    <s v="Transformación_Organizacional"/>
    <s v="Contar con un equipo humano feliz y apasionado, que trabaja de forma colaborativa para alcanzar las metas institucionales"/>
    <m/>
    <s v="Factor 7. Impacto social"/>
    <s v="Característica 26: Satisfacción del estudiante y del cliente"/>
    <s v="Promedio"/>
    <s v="Anual"/>
  </r>
  <r>
    <n v="386.1"/>
    <x v="40"/>
    <s v="Mercadeo y venta de educación para la vida"/>
    <s v="Semestral"/>
    <s v="Positivo"/>
    <d v="2025-12-31T00:00:00"/>
    <n v="2025"/>
    <s v="Diciembre"/>
    <x v="15"/>
    <x v="2"/>
    <m/>
    <n v="4042.632396"/>
    <m/>
    <m/>
    <s v="$"/>
    <s v="$"/>
    <s v="386.1-2025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m/>
    <m/>
    <s v="Acumulativo"/>
    <s v="Anual"/>
  </r>
  <r>
    <n v="385"/>
    <x v="39"/>
    <s v="Mercadeo y venta de educación para la vida"/>
    <s v="Semestral"/>
    <s v="Positivo"/>
    <d v="2025-12-31T00:00:00"/>
    <n v="2025"/>
    <s v="Diciembre"/>
    <x v="15"/>
    <x v="2"/>
    <m/>
    <n v="17058.242410999999"/>
    <m/>
    <m/>
    <s v="$"/>
    <s v="$"/>
    <s v="385-2025-12-31"/>
    <n v="0"/>
    <n v="0"/>
    <s v="Cierre"/>
    <s v="Estratégico"/>
    <s v="Mercadeo y venta de educación para la vida"/>
    <s v="Educación_para_toda_la_vida"/>
    <s v="Impulsar y potenciar la educación continua"/>
    <s v="Incrementar en más del 50% los ingresos de B2B Y B2G para el año 2026"/>
    <m/>
    <m/>
    <s v="Último valor"/>
    <s v="Anual"/>
  </r>
  <r>
    <n v="423"/>
    <x v="43"/>
    <s v="Mercadeo de programas académicos"/>
    <s v="Anual"/>
    <s v="Positivo"/>
    <d v="2025-12-31T00:00:00"/>
    <n v="2025"/>
    <s v="Diciembre"/>
    <x v="15"/>
    <x v="2"/>
    <n v="12"/>
    <n v="15.1"/>
    <m/>
    <m/>
    <s v="DEC"/>
    <s v="DEC"/>
    <s v="423-2025-12-31"/>
    <n v="1"/>
    <n v="1"/>
    <s v="Cierre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  <r>
    <n v="424"/>
    <x v="44"/>
    <s v="Mercadeo de programas académicos"/>
    <s v="Anual"/>
    <s v="Positivo"/>
    <d v="2025-12-31T00:00:00"/>
    <n v="2025"/>
    <s v="Diciembre"/>
    <x v="15"/>
    <x v="2"/>
    <n v="9"/>
    <n v="11"/>
    <m/>
    <m/>
    <s v="ENT"/>
    <s v="ENT"/>
    <s v="424-2025-12-31"/>
    <n v="0"/>
    <n v="0"/>
    <s v="Cierre"/>
    <s v="Estratégico"/>
    <s v="Mercadeo de programas académicos"/>
    <s v="Expansión"/>
    <s v="Crecer con compromiso social "/>
    <s v="Posicionar al POLI como una de las opciones más atractivas para iniciar los estudios de educación superior."/>
    <s v="Factor 8. Visibilidad nacional e internacional"/>
    <s v="Característica 25: Inserción de la institución en contextos académicos nacionales e internacionales"/>
    <s v="Último valor"/>
    <s v="Anu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51DA1-6E61-48A8-96DE-B2F4DD1F5A9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6" firstHeaderRow="1" firstDataRow="2" firstDataCol="1" rowPageCount="1" colPageCount="1"/>
  <pivotFields count="29">
    <pivotField showAll="0"/>
    <pivotField axis="axisRow" showAll="0">
      <items count="48">
        <item h="1" x="45"/>
        <item x="43"/>
        <item h="1" x="16"/>
        <item h="1" x="37"/>
        <item h="1" x="19"/>
        <item h="1" x="44"/>
        <item h="1" x="30"/>
        <item h="1" x="15"/>
        <item h="1" x="36"/>
        <item h="1" x="5"/>
        <item h="1" x="34"/>
        <item h="1" x="4"/>
        <item h="1" x="3"/>
        <item h="1" x="1"/>
        <item h="1" x="10"/>
        <item h="1" x="2"/>
        <item h="1" x="14"/>
        <item h="1" x="20"/>
        <item h="1" x="33"/>
        <item h="1" x="32"/>
        <item h="1" x="28"/>
        <item h="1" x="12"/>
        <item h="1" x="39"/>
        <item h="1" x="7"/>
        <item h="1" x="8"/>
        <item h="1" x="18"/>
        <item h="1" x="13"/>
        <item h="1" x="27"/>
        <item h="1" x="9"/>
        <item h="1" x="46"/>
        <item h="1" x="26"/>
        <item h="1" x="25"/>
        <item h="1" x="42"/>
        <item h="1" x="35"/>
        <item h="1" x="21"/>
        <item h="1" x="11"/>
        <item h="1" x="6"/>
        <item h="1" x="31"/>
        <item h="1" x="24"/>
        <item h="1" x="23"/>
        <item h="1" x="29"/>
        <item h="1" x="38"/>
        <item h="1" x="40"/>
        <item h="1" x="41"/>
        <item h="1" x="22"/>
        <item h="1" x="0"/>
        <item h="1" x="17"/>
        <item t="default"/>
      </items>
    </pivotField>
    <pivotField showAll="0"/>
    <pivotField showAll="0"/>
    <pivotField showAll="0"/>
    <pivotField numFmtId="165" showAll="0"/>
    <pivotField showAll="0"/>
    <pivotField showAll="0"/>
    <pivotField axis="axisCol" showAll="0">
      <items count="18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1"/>
    </i>
    <i t="grand">
      <x/>
    </i>
  </rowItems>
  <colFields count="1">
    <field x="8"/>
  </colFields>
  <colItems count="5">
    <i>
      <x v="10"/>
    </i>
    <i>
      <x v="12"/>
    </i>
    <i>
      <x v="14"/>
    </i>
    <i>
      <x v="16"/>
    </i>
    <i t="grand">
      <x/>
    </i>
  </colItems>
  <pageFields count="1">
    <pageField fld="9" hier="-1"/>
  </pageFields>
  <dataFields count="1">
    <dataField name="Suma de Ejecució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4086-B807-4EFF-B8BF-EC8EB17D96E4}">
  <dimension ref="A1:J14"/>
  <sheetViews>
    <sheetView tabSelected="1" topLeftCell="A6" workbookViewId="0">
      <selection activeCell="C14" sqref="C14:E14"/>
    </sheetView>
  </sheetViews>
  <sheetFormatPr baseColWidth="10" defaultRowHeight="14.4" x14ac:dyDescent="0.3"/>
  <cols>
    <col min="1" max="1" width="17" bestFit="1" customWidth="1"/>
    <col min="2" max="2" width="21.44140625" bestFit="1" customWidth="1"/>
    <col min="3" max="5" width="10.77734375" bestFit="1" customWidth="1"/>
    <col min="6" max="6" width="11.88671875" bestFit="1" customWidth="1"/>
    <col min="7" max="9" width="7" bestFit="1" customWidth="1"/>
    <col min="10" max="10" width="9" bestFit="1" customWidth="1"/>
    <col min="11" max="19" width="12" bestFit="1" customWidth="1"/>
  </cols>
  <sheetData>
    <row r="1" spans="1:10" x14ac:dyDescent="0.3">
      <c r="A1" s="9" t="s">
        <v>9</v>
      </c>
      <c r="B1" t="s">
        <v>500</v>
      </c>
    </row>
    <row r="3" spans="1:10" x14ac:dyDescent="0.3">
      <c r="A3" s="9" t="s">
        <v>498</v>
      </c>
      <c r="B3" s="9" t="s">
        <v>496</v>
      </c>
    </row>
    <row r="4" spans="1:10" x14ac:dyDescent="0.3">
      <c r="A4" s="9" t="s">
        <v>499</v>
      </c>
      <c r="B4" t="s">
        <v>45</v>
      </c>
      <c r="C4" t="s">
        <v>49</v>
      </c>
      <c r="D4" t="s">
        <v>53</v>
      </c>
      <c r="E4" t="s">
        <v>465</v>
      </c>
      <c r="F4" t="s">
        <v>497</v>
      </c>
    </row>
    <row r="5" spans="1:10" x14ac:dyDescent="0.3">
      <c r="A5" s="12" t="s">
        <v>320</v>
      </c>
      <c r="B5" s="11">
        <v>7.8</v>
      </c>
      <c r="C5" s="11">
        <v>7.9</v>
      </c>
      <c r="D5" s="11">
        <v>12.4</v>
      </c>
      <c r="E5" s="11">
        <v>15.1</v>
      </c>
      <c r="F5" s="11">
        <v>43.2</v>
      </c>
    </row>
    <row r="6" spans="1:10" x14ac:dyDescent="0.3">
      <c r="A6" s="12" t="s">
        <v>497</v>
      </c>
      <c r="B6" s="11">
        <v>7.8</v>
      </c>
      <c r="C6" s="11">
        <v>7.9</v>
      </c>
      <c r="D6" s="11">
        <v>12.4</v>
      </c>
      <c r="E6" s="11">
        <v>15.1</v>
      </c>
      <c r="F6" s="11">
        <v>43.2</v>
      </c>
    </row>
    <row r="12" spans="1:10" x14ac:dyDescent="0.3">
      <c r="A12" s="10" t="s">
        <v>1</v>
      </c>
      <c r="B12" s="13">
        <v>44926</v>
      </c>
      <c r="C12" s="13">
        <v>45291</v>
      </c>
      <c r="D12" s="13">
        <v>45657</v>
      </c>
      <c r="E12" s="13">
        <v>46022</v>
      </c>
      <c r="F12" s="13">
        <v>46387</v>
      </c>
      <c r="G12" s="13">
        <v>46752</v>
      </c>
      <c r="H12" s="13">
        <v>47118</v>
      </c>
      <c r="I12" s="13">
        <v>47483</v>
      </c>
      <c r="J12" s="13">
        <v>47848</v>
      </c>
    </row>
    <row r="13" spans="1:10" x14ac:dyDescent="0.3">
      <c r="A13" s="12" t="s">
        <v>320</v>
      </c>
      <c r="B13" s="11">
        <v>7.8</v>
      </c>
      <c r="C13" s="11">
        <v>7.9</v>
      </c>
      <c r="D13" s="11">
        <v>12.4</v>
      </c>
      <c r="E13" s="11">
        <v>15.1</v>
      </c>
      <c r="F13" cm="1">
        <f t="array" ref="F13:J13">TREND(B13:E13,B12:E12,F12:J12)</f>
        <v>17.397233465051727</v>
      </c>
      <c r="G13">
        <v>20.03468167397159</v>
      </c>
      <c r="H13">
        <v>22.679355768395396</v>
      </c>
      <c r="I13">
        <v>25.31680397731526</v>
      </c>
      <c r="J13">
        <v>27.95425218623518</v>
      </c>
    </row>
    <row r="14" spans="1:10" x14ac:dyDescent="0.3">
      <c r="C14" s="14">
        <f>+C13/B13-1</f>
        <v>1.2820512820512997E-2</v>
      </c>
      <c r="D14" s="14">
        <f t="shared" ref="D14:E14" si="0">+D13/C13-1</f>
        <v>0.56962025316455689</v>
      </c>
      <c r="E14" s="14">
        <f t="shared" si="0"/>
        <v>0.217741935483871</v>
      </c>
      <c r="F14">
        <f>FORECAST(F12,B13:E13,B12:E12)</f>
        <v>17.397233465051727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5"/>
  <sheetViews>
    <sheetView workbookViewId="0">
      <selection activeCell="J1" sqref="J1"/>
    </sheetView>
  </sheetViews>
  <sheetFormatPr baseColWidth="10" defaultColWidth="8.88671875" defaultRowHeight="14.4" x14ac:dyDescent="0.3"/>
  <cols>
    <col min="2" max="2" width="22.88671875" customWidth="1"/>
    <col min="3" max="5" width="8.88671875" customWidth="1"/>
    <col min="6" max="6" width="10.33203125" customWidth="1"/>
    <col min="7" max="7" width="8.88671875" customWidth="1"/>
    <col min="8" max="8" width="11.33203125" customWidth="1"/>
    <col min="9" max="9" width="8.88671875" customWidth="1"/>
    <col min="10" max="10" width="14.88671875" bestFit="1" customWidth="1"/>
    <col min="11" max="11" width="8.88671875" customWidth="1"/>
    <col min="12" max="12" width="14.109375" bestFit="1" customWidth="1"/>
    <col min="17" max="17" width="71.5546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14</v>
      </c>
      <c r="B2" t="s">
        <v>29</v>
      </c>
      <c r="C2" t="s">
        <v>30</v>
      </c>
      <c r="D2" t="s">
        <v>31</v>
      </c>
      <c r="E2" t="s">
        <v>32</v>
      </c>
      <c r="F2" s="3">
        <v>43281</v>
      </c>
      <c r="G2">
        <v>2018</v>
      </c>
      <c r="H2" t="str">
        <f t="shared" ref="H2:H13" si="0">PROPER(TEXT(F2,"mmmm"))</f>
        <v>Junio</v>
      </c>
      <c r="I2" t="str">
        <f t="shared" ref="I2:I13" si="1">IF(H2="Junio",G2&amp;"-1",G2&amp;"-2")</f>
        <v>2018-1</v>
      </c>
      <c r="J2">
        <v>1</v>
      </c>
      <c r="L2" s="4">
        <v>49229</v>
      </c>
      <c r="O2" t="s">
        <v>35</v>
      </c>
      <c r="P2" t="s">
        <v>35</v>
      </c>
      <c r="Q2" t="str">
        <f t="shared" ref="Q2:Q13" si="2">A2&amp;"-"&amp;TEXT(F2,"yyyy-mm-dd")</f>
        <v>14-2018-06-30</v>
      </c>
      <c r="R2">
        <v>0</v>
      </c>
      <c r="S2">
        <v>0</v>
      </c>
      <c r="T2" t="s">
        <v>31</v>
      </c>
      <c r="U2" t="s">
        <v>37</v>
      </c>
      <c r="V2" t="s">
        <v>30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31</v>
      </c>
    </row>
    <row r="3" spans="1:29" x14ac:dyDescent="0.3">
      <c r="A3">
        <v>14</v>
      </c>
      <c r="B3" t="s">
        <v>29</v>
      </c>
      <c r="C3" t="s">
        <v>186</v>
      </c>
      <c r="D3" t="s">
        <v>31</v>
      </c>
      <c r="E3" t="s">
        <v>32</v>
      </c>
      <c r="F3" s="3">
        <v>43465</v>
      </c>
      <c r="G3">
        <v>2018</v>
      </c>
      <c r="H3" t="str">
        <f t="shared" si="0"/>
        <v>Diciembre</v>
      </c>
      <c r="I3" t="str">
        <f t="shared" si="1"/>
        <v>2018-2</v>
      </c>
      <c r="J3">
        <v>2</v>
      </c>
      <c r="L3" s="4">
        <v>50701</v>
      </c>
      <c r="O3" t="s">
        <v>35</v>
      </c>
      <c r="P3" t="s">
        <v>35</v>
      </c>
      <c r="Q3" t="str">
        <f t="shared" si="2"/>
        <v>14-2018-12-31</v>
      </c>
      <c r="R3">
        <v>0</v>
      </c>
      <c r="S3">
        <v>0</v>
      </c>
      <c r="T3" t="s">
        <v>31</v>
      </c>
      <c r="U3" t="s">
        <v>37</v>
      </c>
      <c r="V3" t="s">
        <v>30</v>
      </c>
      <c r="W3" t="s">
        <v>38</v>
      </c>
      <c r="X3" t="s">
        <v>39</v>
      </c>
      <c r="Y3" t="s">
        <v>40</v>
      </c>
      <c r="Z3" t="s">
        <v>41</v>
      </c>
      <c r="AA3" t="s">
        <v>42</v>
      </c>
      <c r="AB3" t="s">
        <v>43</v>
      </c>
      <c r="AC3" t="s">
        <v>31</v>
      </c>
    </row>
    <row r="4" spans="1:29" x14ac:dyDescent="0.3">
      <c r="A4">
        <v>14</v>
      </c>
      <c r="B4" t="s">
        <v>29</v>
      </c>
      <c r="C4" t="s">
        <v>186</v>
      </c>
      <c r="D4" t="s">
        <v>31</v>
      </c>
      <c r="E4" t="s">
        <v>32</v>
      </c>
      <c r="F4" s="3">
        <v>43465</v>
      </c>
      <c r="G4">
        <f t="shared" ref="G4:G13" si="3">YEAR(F4)</f>
        <v>2018</v>
      </c>
      <c r="H4" t="str">
        <f t="shared" si="0"/>
        <v>Diciembre</v>
      </c>
      <c r="I4" t="str">
        <f t="shared" si="1"/>
        <v>2018-2</v>
      </c>
      <c r="L4" s="4">
        <v>50701</v>
      </c>
      <c r="O4" t="s">
        <v>35</v>
      </c>
      <c r="P4" t="s">
        <v>35</v>
      </c>
      <c r="Q4" t="str">
        <f t="shared" si="2"/>
        <v>14-2018-12-31</v>
      </c>
      <c r="R4">
        <v>0</v>
      </c>
      <c r="S4">
        <v>0</v>
      </c>
      <c r="T4" t="s">
        <v>443</v>
      </c>
      <c r="U4" t="s">
        <v>37</v>
      </c>
      <c r="V4" t="s">
        <v>30</v>
      </c>
      <c r="W4" t="s">
        <v>38</v>
      </c>
      <c r="X4" t="s">
        <v>39</v>
      </c>
      <c r="Y4" t="s">
        <v>40</v>
      </c>
      <c r="Z4" t="s">
        <v>41</v>
      </c>
      <c r="AA4" t="s">
        <v>42</v>
      </c>
      <c r="AB4" t="s">
        <v>43</v>
      </c>
      <c r="AC4" t="s">
        <v>31</v>
      </c>
    </row>
    <row r="5" spans="1:29" x14ac:dyDescent="0.3">
      <c r="A5">
        <v>14</v>
      </c>
      <c r="B5" t="s">
        <v>29</v>
      </c>
      <c r="C5" t="s">
        <v>30</v>
      </c>
      <c r="D5" t="s">
        <v>31</v>
      </c>
      <c r="E5" t="s">
        <v>32</v>
      </c>
      <c r="F5" s="3">
        <v>43646</v>
      </c>
      <c r="G5">
        <f t="shared" si="3"/>
        <v>2019</v>
      </c>
      <c r="H5" t="str">
        <f t="shared" si="0"/>
        <v>Junio</v>
      </c>
      <c r="I5" t="str">
        <f t="shared" si="1"/>
        <v>2019-1</v>
      </c>
      <c r="J5">
        <v>1</v>
      </c>
      <c r="L5" s="4">
        <v>54495</v>
      </c>
      <c r="O5" t="s">
        <v>35</v>
      </c>
      <c r="P5" t="s">
        <v>35</v>
      </c>
      <c r="Q5" t="str">
        <f t="shared" si="2"/>
        <v>14-2019-06-30</v>
      </c>
      <c r="R5">
        <v>0</v>
      </c>
      <c r="S5">
        <v>0</v>
      </c>
      <c r="T5" t="s">
        <v>31</v>
      </c>
      <c r="U5" t="s">
        <v>37</v>
      </c>
      <c r="V5" t="s">
        <v>30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31</v>
      </c>
    </row>
    <row r="6" spans="1:29" x14ac:dyDescent="0.3">
      <c r="A6">
        <v>14</v>
      </c>
      <c r="B6" t="s">
        <v>29</v>
      </c>
      <c r="C6" t="s">
        <v>186</v>
      </c>
      <c r="D6" t="s">
        <v>31</v>
      </c>
      <c r="E6" t="s">
        <v>32</v>
      </c>
      <c r="F6" s="3">
        <v>43830</v>
      </c>
      <c r="G6">
        <f t="shared" si="3"/>
        <v>2019</v>
      </c>
      <c r="H6" t="str">
        <f t="shared" si="0"/>
        <v>Diciembre</v>
      </c>
      <c r="I6" t="str">
        <f t="shared" si="1"/>
        <v>2019-2</v>
      </c>
      <c r="J6">
        <v>2</v>
      </c>
      <c r="L6" s="4">
        <v>53197</v>
      </c>
      <c r="O6" t="s">
        <v>35</v>
      </c>
      <c r="P6" t="s">
        <v>35</v>
      </c>
      <c r="Q6" t="str">
        <f t="shared" si="2"/>
        <v>14-2019-12-31</v>
      </c>
      <c r="R6">
        <v>0</v>
      </c>
      <c r="S6">
        <v>0</v>
      </c>
      <c r="T6" t="s">
        <v>31</v>
      </c>
      <c r="U6" t="s">
        <v>37</v>
      </c>
      <c r="V6" t="s">
        <v>30</v>
      </c>
      <c r="W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31</v>
      </c>
    </row>
    <row r="7" spans="1:29" x14ac:dyDescent="0.3">
      <c r="A7">
        <v>14</v>
      </c>
      <c r="B7" t="s">
        <v>29</v>
      </c>
      <c r="C7" t="s">
        <v>186</v>
      </c>
      <c r="D7" t="s">
        <v>31</v>
      </c>
      <c r="E7" t="s">
        <v>32</v>
      </c>
      <c r="F7" s="3">
        <v>43830</v>
      </c>
      <c r="G7">
        <f t="shared" si="3"/>
        <v>2019</v>
      </c>
      <c r="H7" t="str">
        <f t="shared" si="0"/>
        <v>Diciembre</v>
      </c>
      <c r="I7" t="str">
        <f t="shared" si="1"/>
        <v>2019-2</v>
      </c>
      <c r="L7" s="4">
        <v>53197</v>
      </c>
      <c r="O7" t="s">
        <v>35</v>
      </c>
      <c r="P7" t="s">
        <v>35</v>
      </c>
      <c r="Q7" t="str">
        <f t="shared" si="2"/>
        <v>14-2019-12-31</v>
      </c>
      <c r="R7">
        <v>0</v>
      </c>
      <c r="S7">
        <v>0</v>
      </c>
      <c r="T7" t="s">
        <v>443</v>
      </c>
      <c r="U7" t="s">
        <v>37</v>
      </c>
      <c r="V7" t="s">
        <v>30</v>
      </c>
      <c r="W7" t="s">
        <v>38</v>
      </c>
      <c r="X7" t="s">
        <v>39</v>
      </c>
      <c r="Y7" t="s">
        <v>40</v>
      </c>
      <c r="Z7" t="s">
        <v>41</v>
      </c>
      <c r="AA7" t="s">
        <v>42</v>
      </c>
      <c r="AB7" t="s">
        <v>43</v>
      </c>
      <c r="AC7" t="s">
        <v>31</v>
      </c>
    </row>
    <row r="8" spans="1:29" x14ac:dyDescent="0.3">
      <c r="A8">
        <v>14</v>
      </c>
      <c r="B8" t="s">
        <v>29</v>
      </c>
      <c r="C8" t="s">
        <v>30</v>
      </c>
      <c r="D8" t="s">
        <v>31</v>
      </c>
      <c r="E8" t="s">
        <v>32</v>
      </c>
      <c r="F8" s="3">
        <v>44012</v>
      </c>
      <c r="G8">
        <f t="shared" si="3"/>
        <v>2020</v>
      </c>
      <c r="H8" t="str">
        <f t="shared" si="0"/>
        <v>Junio</v>
      </c>
      <c r="I8" t="str">
        <f t="shared" si="1"/>
        <v>2020-1</v>
      </c>
      <c r="J8">
        <v>1</v>
      </c>
      <c r="L8" s="4">
        <v>55541</v>
      </c>
      <c r="O8" t="s">
        <v>35</v>
      </c>
      <c r="P8" t="s">
        <v>35</v>
      </c>
      <c r="Q8" t="str">
        <f t="shared" si="2"/>
        <v>14-2020-06-30</v>
      </c>
      <c r="R8">
        <v>0</v>
      </c>
      <c r="S8">
        <v>0</v>
      </c>
      <c r="T8" t="s">
        <v>31</v>
      </c>
      <c r="U8" t="s">
        <v>37</v>
      </c>
      <c r="V8" t="s">
        <v>30</v>
      </c>
      <c r="W8" t="s">
        <v>38</v>
      </c>
      <c r="X8" t="s">
        <v>39</v>
      </c>
      <c r="Y8" t="s">
        <v>40</v>
      </c>
      <c r="Z8" t="s">
        <v>41</v>
      </c>
      <c r="AA8" t="s">
        <v>42</v>
      </c>
      <c r="AB8" t="s">
        <v>43</v>
      </c>
      <c r="AC8" t="s">
        <v>31</v>
      </c>
    </row>
    <row r="9" spans="1:29" x14ac:dyDescent="0.3">
      <c r="A9">
        <v>14</v>
      </c>
      <c r="B9" t="s">
        <v>29</v>
      </c>
      <c r="C9" t="s">
        <v>186</v>
      </c>
      <c r="D9" t="s">
        <v>31</v>
      </c>
      <c r="E9" t="s">
        <v>32</v>
      </c>
      <c r="F9" s="3">
        <v>44196</v>
      </c>
      <c r="G9">
        <f t="shared" si="3"/>
        <v>2020</v>
      </c>
      <c r="H9" t="str">
        <f t="shared" si="0"/>
        <v>Diciembre</v>
      </c>
      <c r="I9" t="str">
        <f t="shared" si="1"/>
        <v>2020-2</v>
      </c>
      <c r="J9">
        <v>2</v>
      </c>
      <c r="L9" s="4">
        <v>51195</v>
      </c>
      <c r="O9" t="s">
        <v>35</v>
      </c>
      <c r="P9" t="s">
        <v>35</v>
      </c>
      <c r="Q9" t="str">
        <f t="shared" si="2"/>
        <v>14-2020-12-31</v>
      </c>
      <c r="R9">
        <v>0</v>
      </c>
      <c r="S9">
        <v>0</v>
      </c>
      <c r="T9" t="s">
        <v>31</v>
      </c>
      <c r="U9" t="s">
        <v>37</v>
      </c>
      <c r="V9" t="s">
        <v>30</v>
      </c>
      <c r="W9" t="s">
        <v>38</v>
      </c>
      <c r="X9" t="s">
        <v>39</v>
      </c>
      <c r="Y9" t="s">
        <v>40</v>
      </c>
      <c r="Z9" t="s">
        <v>41</v>
      </c>
      <c r="AA9" t="s">
        <v>42</v>
      </c>
      <c r="AB9" t="s">
        <v>43</v>
      </c>
      <c r="AC9" t="s">
        <v>31</v>
      </c>
    </row>
    <row r="10" spans="1:29" x14ac:dyDescent="0.3">
      <c r="A10">
        <v>14</v>
      </c>
      <c r="B10" t="s">
        <v>29</v>
      </c>
      <c r="C10" t="s">
        <v>186</v>
      </c>
      <c r="D10" t="s">
        <v>31</v>
      </c>
      <c r="E10" t="s">
        <v>32</v>
      </c>
      <c r="F10" s="3">
        <v>44196</v>
      </c>
      <c r="G10">
        <f t="shared" si="3"/>
        <v>2020</v>
      </c>
      <c r="H10" t="str">
        <f t="shared" si="0"/>
        <v>Diciembre</v>
      </c>
      <c r="I10" t="str">
        <f t="shared" si="1"/>
        <v>2020-2</v>
      </c>
      <c r="L10" s="4">
        <v>51195</v>
      </c>
      <c r="O10" t="s">
        <v>35</v>
      </c>
      <c r="P10" t="s">
        <v>35</v>
      </c>
      <c r="Q10" t="str">
        <f t="shared" si="2"/>
        <v>14-2020-12-31</v>
      </c>
      <c r="R10">
        <v>0</v>
      </c>
      <c r="S10">
        <v>0</v>
      </c>
      <c r="T10" t="s">
        <v>443</v>
      </c>
      <c r="U10" t="s">
        <v>37</v>
      </c>
      <c r="V10" t="s">
        <v>30</v>
      </c>
      <c r="W10" t="s">
        <v>38</v>
      </c>
      <c r="X10" t="s">
        <v>39</v>
      </c>
      <c r="Y10" t="s">
        <v>40</v>
      </c>
      <c r="Z10" t="s">
        <v>41</v>
      </c>
      <c r="AA10" t="s">
        <v>42</v>
      </c>
      <c r="AB10" t="s">
        <v>43</v>
      </c>
      <c r="AC10" t="s">
        <v>31</v>
      </c>
    </row>
    <row r="11" spans="1:29" x14ac:dyDescent="0.3">
      <c r="A11">
        <v>14</v>
      </c>
      <c r="B11" t="s">
        <v>29</v>
      </c>
      <c r="C11" t="s">
        <v>30</v>
      </c>
      <c r="D11" t="s">
        <v>31</v>
      </c>
      <c r="E11" t="s">
        <v>32</v>
      </c>
      <c r="F11" s="3">
        <v>44377</v>
      </c>
      <c r="G11">
        <f t="shared" si="3"/>
        <v>2021</v>
      </c>
      <c r="H11" t="str">
        <f t="shared" si="0"/>
        <v>Junio</v>
      </c>
      <c r="I11" t="str">
        <f t="shared" si="1"/>
        <v>2021-1</v>
      </c>
      <c r="J11">
        <v>1</v>
      </c>
      <c r="L11" s="4">
        <v>51694</v>
      </c>
      <c r="O11" t="s">
        <v>35</v>
      </c>
      <c r="P11" t="s">
        <v>35</v>
      </c>
      <c r="Q11" t="str">
        <f t="shared" si="2"/>
        <v>14-2021-06-30</v>
      </c>
      <c r="R11">
        <v>0</v>
      </c>
      <c r="S11">
        <v>0</v>
      </c>
      <c r="T11" t="s">
        <v>31</v>
      </c>
      <c r="U11" t="s">
        <v>37</v>
      </c>
      <c r="V11" t="s">
        <v>30</v>
      </c>
      <c r="W11" t="s">
        <v>38</v>
      </c>
      <c r="X11" t="s">
        <v>39</v>
      </c>
      <c r="Y11" t="s">
        <v>40</v>
      </c>
      <c r="Z11" t="s">
        <v>41</v>
      </c>
      <c r="AA11" t="s">
        <v>42</v>
      </c>
      <c r="AB11" t="s">
        <v>43</v>
      </c>
      <c r="AC11" t="s">
        <v>31</v>
      </c>
    </row>
    <row r="12" spans="1:29" x14ac:dyDescent="0.3">
      <c r="A12">
        <v>14</v>
      </c>
      <c r="B12" t="s">
        <v>29</v>
      </c>
      <c r="C12" t="s">
        <v>186</v>
      </c>
      <c r="D12" t="s">
        <v>31</v>
      </c>
      <c r="E12" t="s">
        <v>32</v>
      </c>
      <c r="F12" s="3">
        <v>44561</v>
      </c>
      <c r="G12">
        <f t="shared" si="3"/>
        <v>2021</v>
      </c>
      <c r="H12" t="str">
        <f t="shared" si="0"/>
        <v>Diciembre</v>
      </c>
      <c r="I12" t="str">
        <f t="shared" si="1"/>
        <v>2021-2</v>
      </c>
      <c r="J12">
        <v>2</v>
      </c>
      <c r="L12" s="4">
        <v>49166</v>
      </c>
      <c r="O12" t="s">
        <v>35</v>
      </c>
      <c r="P12" t="s">
        <v>35</v>
      </c>
      <c r="Q12" t="str">
        <f t="shared" si="2"/>
        <v>14-2021-12-31</v>
      </c>
      <c r="R12">
        <v>0</v>
      </c>
      <c r="S12">
        <v>0</v>
      </c>
      <c r="T12" t="s">
        <v>31</v>
      </c>
      <c r="U12" t="s">
        <v>37</v>
      </c>
      <c r="V12" t="s">
        <v>30</v>
      </c>
      <c r="W12" t="s">
        <v>38</v>
      </c>
      <c r="X12" t="s">
        <v>39</v>
      </c>
      <c r="Y12" t="s">
        <v>40</v>
      </c>
      <c r="Z12" t="s">
        <v>41</v>
      </c>
      <c r="AA12" t="s">
        <v>42</v>
      </c>
      <c r="AB12" t="s">
        <v>43</v>
      </c>
      <c r="AC12" t="s">
        <v>31</v>
      </c>
    </row>
    <row r="13" spans="1:29" x14ac:dyDescent="0.3">
      <c r="A13">
        <v>14</v>
      </c>
      <c r="B13" t="s">
        <v>29</v>
      </c>
      <c r="C13" t="s">
        <v>186</v>
      </c>
      <c r="D13" t="s">
        <v>31</v>
      </c>
      <c r="E13" t="s">
        <v>32</v>
      </c>
      <c r="F13" s="3">
        <v>44561</v>
      </c>
      <c r="G13">
        <f t="shared" si="3"/>
        <v>2021</v>
      </c>
      <c r="H13" t="str">
        <f t="shared" si="0"/>
        <v>Diciembre</v>
      </c>
      <c r="I13" t="str">
        <f t="shared" si="1"/>
        <v>2021-2</v>
      </c>
      <c r="L13" s="4">
        <v>49166</v>
      </c>
      <c r="O13" t="s">
        <v>35</v>
      </c>
      <c r="P13" t="s">
        <v>35</v>
      </c>
      <c r="Q13" t="str">
        <f t="shared" si="2"/>
        <v>14-2021-12-31</v>
      </c>
      <c r="R13">
        <v>0</v>
      </c>
      <c r="S13">
        <v>0</v>
      </c>
      <c r="T13" t="s">
        <v>443</v>
      </c>
      <c r="U13" t="s">
        <v>37</v>
      </c>
      <c r="V13" t="s">
        <v>30</v>
      </c>
      <c r="W13" t="s">
        <v>38</v>
      </c>
      <c r="X13" t="s">
        <v>39</v>
      </c>
      <c r="Y13" t="s">
        <v>40</v>
      </c>
      <c r="Z13" t="s">
        <v>41</v>
      </c>
      <c r="AA13" t="s">
        <v>42</v>
      </c>
      <c r="AB13" t="s">
        <v>43</v>
      </c>
      <c r="AC13" t="s">
        <v>31</v>
      </c>
    </row>
    <row r="14" spans="1:29" x14ac:dyDescent="0.3">
      <c r="A14">
        <v>14</v>
      </c>
      <c r="B14" t="s">
        <v>29</v>
      </c>
      <c r="C14" t="s">
        <v>30</v>
      </c>
      <c r="D14" t="s">
        <v>31</v>
      </c>
      <c r="E14" t="s">
        <v>32</v>
      </c>
      <c r="F14" s="3">
        <v>44742</v>
      </c>
      <c r="G14">
        <v>2022</v>
      </c>
      <c r="H14" t="s">
        <v>33</v>
      </c>
      <c r="I14" t="s">
        <v>34</v>
      </c>
      <c r="J14">
        <v>1</v>
      </c>
      <c r="K14">
        <v>49004</v>
      </c>
      <c r="L14">
        <v>51012</v>
      </c>
      <c r="M14">
        <v>1.040976246836993</v>
      </c>
      <c r="N14">
        <v>1.040976246836993</v>
      </c>
      <c r="O14" t="s">
        <v>35</v>
      </c>
      <c r="P14" t="s">
        <v>35</v>
      </c>
      <c r="Q14" t="s">
        <v>36</v>
      </c>
      <c r="R14">
        <v>0</v>
      </c>
      <c r="S14">
        <v>0</v>
      </c>
      <c r="T14" t="s">
        <v>31</v>
      </c>
      <c r="U14" t="s">
        <v>37</v>
      </c>
      <c r="V14" t="s">
        <v>30</v>
      </c>
      <c r="W14" t="s">
        <v>38</v>
      </c>
      <c r="X14" t="s">
        <v>39</v>
      </c>
      <c r="Y14" t="s">
        <v>40</v>
      </c>
      <c r="Z14" t="s">
        <v>41</v>
      </c>
      <c r="AA14" t="s">
        <v>42</v>
      </c>
      <c r="AB14" t="s">
        <v>43</v>
      </c>
      <c r="AC14" t="s">
        <v>31</v>
      </c>
    </row>
    <row r="15" spans="1:29" x14ac:dyDescent="0.3">
      <c r="A15">
        <v>14</v>
      </c>
      <c r="B15" t="s">
        <v>29</v>
      </c>
      <c r="C15" t="s">
        <v>30</v>
      </c>
      <c r="D15" t="s">
        <v>31</v>
      </c>
      <c r="E15" t="s">
        <v>32</v>
      </c>
      <c r="F15" s="3">
        <v>44926</v>
      </c>
      <c r="G15">
        <v>2022</v>
      </c>
      <c r="H15" t="s">
        <v>44</v>
      </c>
      <c r="I15" t="s">
        <v>45</v>
      </c>
      <c r="J15">
        <v>2</v>
      </c>
      <c r="K15">
        <v>50430</v>
      </c>
      <c r="L15">
        <v>50241</v>
      </c>
      <c r="M15">
        <v>0.99625223081499104</v>
      </c>
      <c r="N15">
        <v>0.99625223081499104</v>
      </c>
      <c r="O15" t="s">
        <v>35</v>
      </c>
      <c r="P15" t="s">
        <v>35</v>
      </c>
      <c r="Q15" t="s">
        <v>46</v>
      </c>
      <c r="R15">
        <v>0</v>
      </c>
      <c r="S15">
        <v>0</v>
      </c>
      <c r="T15" t="s">
        <v>31</v>
      </c>
      <c r="U15" t="s">
        <v>37</v>
      </c>
      <c r="V15" t="s">
        <v>30</v>
      </c>
      <c r="W15" t="s">
        <v>38</v>
      </c>
      <c r="X15" t="s">
        <v>39</v>
      </c>
      <c r="Y15" t="s">
        <v>40</v>
      </c>
      <c r="Z15" t="s">
        <v>41</v>
      </c>
      <c r="AA15" t="s">
        <v>42</v>
      </c>
      <c r="AB15" t="s">
        <v>43</v>
      </c>
      <c r="AC15" t="s">
        <v>31</v>
      </c>
    </row>
    <row r="16" spans="1:29" x14ac:dyDescent="0.3">
      <c r="A16">
        <v>14</v>
      </c>
      <c r="B16" t="s">
        <v>29</v>
      </c>
      <c r="C16" t="s">
        <v>186</v>
      </c>
      <c r="D16" t="s">
        <v>31</v>
      </c>
      <c r="E16" t="s">
        <v>32</v>
      </c>
      <c r="F16" s="3">
        <v>44926</v>
      </c>
      <c r="G16">
        <v>2022</v>
      </c>
      <c r="H16" t="s">
        <v>44</v>
      </c>
      <c r="I16" t="s">
        <v>45</v>
      </c>
      <c r="K16">
        <v>50430</v>
      </c>
      <c r="L16">
        <v>50241</v>
      </c>
      <c r="M16">
        <v>0.99625223081499104</v>
      </c>
      <c r="N16">
        <v>0.99625223081499104</v>
      </c>
      <c r="O16" t="s">
        <v>35</v>
      </c>
      <c r="P16" t="s">
        <v>35</v>
      </c>
      <c r="Q16" t="s">
        <v>46</v>
      </c>
      <c r="R16">
        <v>0</v>
      </c>
      <c r="S16">
        <v>0</v>
      </c>
      <c r="T16" t="s">
        <v>443</v>
      </c>
      <c r="U16" t="s">
        <v>37</v>
      </c>
      <c r="V16" t="s">
        <v>30</v>
      </c>
      <c r="W16" t="s">
        <v>38</v>
      </c>
      <c r="X16" t="s">
        <v>39</v>
      </c>
      <c r="Y16" t="s">
        <v>40</v>
      </c>
      <c r="Z16" t="s">
        <v>41</v>
      </c>
      <c r="AA16" t="s">
        <v>42</v>
      </c>
      <c r="AB16" t="s">
        <v>43</v>
      </c>
      <c r="AC16" t="s">
        <v>31</v>
      </c>
    </row>
    <row r="17" spans="1:29" x14ac:dyDescent="0.3">
      <c r="A17">
        <v>14</v>
      </c>
      <c r="B17" t="s">
        <v>29</v>
      </c>
      <c r="C17" t="s">
        <v>30</v>
      </c>
      <c r="D17" t="s">
        <v>31</v>
      </c>
      <c r="E17" t="s">
        <v>32</v>
      </c>
      <c r="F17" s="3">
        <v>45107</v>
      </c>
      <c r="G17">
        <v>2023</v>
      </c>
      <c r="H17" t="s">
        <v>33</v>
      </c>
      <c r="I17" t="s">
        <v>47</v>
      </c>
      <c r="J17">
        <v>1</v>
      </c>
      <c r="K17">
        <v>52177</v>
      </c>
      <c r="L17">
        <v>51473</v>
      </c>
      <c r="M17">
        <v>0.98650746497498898</v>
      </c>
      <c r="N17">
        <v>0.98650746497498898</v>
      </c>
      <c r="O17" t="s">
        <v>35</v>
      </c>
      <c r="P17" t="s">
        <v>35</v>
      </c>
      <c r="Q17" t="s">
        <v>48</v>
      </c>
      <c r="R17">
        <v>0</v>
      </c>
      <c r="S17">
        <v>0</v>
      </c>
      <c r="T17" t="s">
        <v>31</v>
      </c>
      <c r="U17" t="s">
        <v>37</v>
      </c>
      <c r="V17" t="s">
        <v>30</v>
      </c>
      <c r="W17" t="s">
        <v>38</v>
      </c>
      <c r="X17" t="s">
        <v>39</v>
      </c>
      <c r="Y17" t="s">
        <v>40</v>
      </c>
      <c r="Z17" t="s">
        <v>41</v>
      </c>
      <c r="AA17" t="s">
        <v>42</v>
      </c>
      <c r="AB17" t="s">
        <v>43</v>
      </c>
      <c r="AC17" t="s">
        <v>31</v>
      </c>
    </row>
    <row r="18" spans="1:29" x14ac:dyDescent="0.3">
      <c r="A18">
        <v>14</v>
      </c>
      <c r="B18" t="s">
        <v>29</v>
      </c>
      <c r="C18" t="s">
        <v>30</v>
      </c>
      <c r="D18" t="s">
        <v>31</v>
      </c>
      <c r="E18" t="s">
        <v>32</v>
      </c>
      <c r="F18" s="3">
        <v>45291</v>
      </c>
      <c r="G18">
        <v>2023</v>
      </c>
      <c r="H18" t="s">
        <v>44</v>
      </c>
      <c r="I18" t="s">
        <v>49</v>
      </c>
      <c r="J18">
        <v>2</v>
      </c>
      <c r="K18">
        <v>51687</v>
      </c>
      <c r="L18">
        <v>51375</v>
      </c>
      <c r="M18">
        <v>0.99396366591212493</v>
      </c>
      <c r="N18">
        <v>0.99396366591212493</v>
      </c>
      <c r="O18" t="s">
        <v>35</v>
      </c>
      <c r="P18" t="s">
        <v>35</v>
      </c>
      <c r="Q18" t="s">
        <v>50</v>
      </c>
      <c r="R18">
        <v>0</v>
      </c>
      <c r="S18">
        <v>0</v>
      </c>
      <c r="T18" t="s">
        <v>31</v>
      </c>
      <c r="U18" t="s">
        <v>37</v>
      </c>
      <c r="V18" t="s">
        <v>30</v>
      </c>
      <c r="W18" t="s">
        <v>38</v>
      </c>
      <c r="X18" t="s">
        <v>39</v>
      </c>
      <c r="Y18" t="s">
        <v>40</v>
      </c>
      <c r="Z18" t="s">
        <v>41</v>
      </c>
      <c r="AA18" t="s">
        <v>42</v>
      </c>
      <c r="AB18" t="s">
        <v>43</v>
      </c>
      <c r="AC18" t="s">
        <v>31</v>
      </c>
    </row>
    <row r="19" spans="1:29" x14ac:dyDescent="0.3">
      <c r="A19">
        <v>14</v>
      </c>
      <c r="B19" t="s">
        <v>29</v>
      </c>
      <c r="C19" t="s">
        <v>186</v>
      </c>
      <c r="D19" t="s">
        <v>31</v>
      </c>
      <c r="E19" t="s">
        <v>32</v>
      </c>
      <c r="F19" s="3">
        <v>45291</v>
      </c>
      <c r="G19">
        <v>2023</v>
      </c>
      <c r="H19" t="s">
        <v>44</v>
      </c>
      <c r="I19" t="s">
        <v>49</v>
      </c>
      <c r="K19">
        <v>51687</v>
      </c>
      <c r="L19">
        <v>51375</v>
      </c>
      <c r="M19">
        <v>0.99396366591212493</v>
      </c>
      <c r="N19">
        <v>0.99396366591212493</v>
      </c>
      <c r="O19" t="s">
        <v>35</v>
      </c>
      <c r="P19" t="s">
        <v>35</v>
      </c>
      <c r="Q19" t="s">
        <v>50</v>
      </c>
      <c r="R19">
        <v>0</v>
      </c>
      <c r="S19">
        <v>0</v>
      </c>
      <c r="T19" t="s">
        <v>443</v>
      </c>
      <c r="U19" t="s">
        <v>37</v>
      </c>
      <c r="V19" t="s">
        <v>30</v>
      </c>
      <c r="W19" t="s">
        <v>38</v>
      </c>
      <c r="X19" t="s">
        <v>39</v>
      </c>
      <c r="Y19" t="s">
        <v>40</v>
      </c>
      <c r="Z19" t="s">
        <v>41</v>
      </c>
      <c r="AA19" t="s">
        <v>42</v>
      </c>
      <c r="AB19" t="s">
        <v>43</v>
      </c>
      <c r="AC19" t="s">
        <v>31</v>
      </c>
    </row>
    <row r="20" spans="1:29" x14ac:dyDescent="0.3">
      <c r="A20">
        <v>14</v>
      </c>
      <c r="B20" t="s">
        <v>29</v>
      </c>
      <c r="C20" t="s">
        <v>30</v>
      </c>
      <c r="D20" t="s">
        <v>31</v>
      </c>
      <c r="E20" t="s">
        <v>32</v>
      </c>
      <c r="F20" s="3">
        <v>45473</v>
      </c>
      <c r="G20">
        <v>2024</v>
      </c>
      <c r="H20" t="s">
        <v>33</v>
      </c>
      <c r="I20" t="s">
        <v>51</v>
      </c>
      <c r="J20">
        <v>1</v>
      </c>
      <c r="K20">
        <v>52403.186118801452</v>
      </c>
      <c r="L20">
        <v>52585</v>
      </c>
      <c r="M20">
        <v>1.00346951959727</v>
      </c>
      <c r="N20">
        <v>1.00346951959727</v>
      </c>
      <c r="O20" t="s">
        <v>35</v>
      </c>
      <c r="P20" t="s">
        <v>35</v>
      </c>
      <c r="Q20" t="s">
        <v>52</v>
      </c>
      <c r="R20">
        <v>0</v>
      </c>
      <c r="S20">
        <v>0</v>
      </c>
      <c r="T20" t="s">
        <v>31</v>
      </c>
      <c r="U20" t="s">
        <v>37</v>
      </c>
      <c r="V20" t="s">
        <v>30</v>
      </c>
      <c r="W20" t="s">
        <v>38</v>
      </c>
      <c r="X20" t="s">
        <v>39</v>
      </c>
      <c r="Y20" t="s">
        <v>40</v>
      </c>
      <c r="Z20" t="s">
        <v>41</v>
      </c>
      <c r="AA20" t="s">
        <v>42</v>
      </c>
      <c r="AB20" t="s">
        <v>43</v>
      </c>
      <c r="AC20" t="s">
        <v>31</v>
      </c>
    </row>
    <row r="21" spans="1:29" x14ac:dyDescent="0.3">
      <c r="A21">
        <v>14</v>
      </c>
      <c r="B21" t="s">
        <v>29</v>
      </c>
      <c r="C21" t="s">
        <v>30</v>
      </c>
      <c r="D21" t="s">
        <v>31</v>
      </c>
      <c r="E21" t="s">
        <v>32</v>
      </c>
      <c r="F21" s="3">
        <v>45657</v>
      </c>
      <c r="G21">
        <v>2024</v>
      </c>
      <c r="H21" t="s">
        <v>44</v>
      </c>
      <c r="I21" t="s">
        <v>53</v>
      </c>
      <c r="J21">
        <v>2</v>
      </c>
      <c r="K21">
        <v>51116.334115206948</v>
      </c>
      <c r="L21">
        <v>52005</v>
      </c>
      <c r="M21">
        <v>1.017385164647961</v>
      </c>
      <c r="N21">
        <v>1.017385164647961</v>
      </c>
      <c r="O21" t="s">
        <v>35</v>
      </c>
      <c r="P21" t="s">
        <v>35</v>
      </c>
      <c r="Q21" t="s">
        <v>54</v>
      </c>
      <c r="R21">
        <v>0</v>
      </c>
      <c r="S21">
        <v>0</v>
      </c>
      <c r="T21" t="s">
        <v>31</v>
      </c>
      <c r="U21" t="s">
        <v>37</v>
      </c>
      <c r="V21" t="s">
        <v>30</v>
      </c>
      <c r="W21" t="s">
        <v>38</v>
      </c>
      <c r="X21" t="s">
        <v>39</v>
      </c>
      <c r="Y21" t="s">
        <v>40</v>
      </c>
      <c r="Z21" t="s">
        <v>41</v>
      </c>
      <c r="AA21" t="s">
        <v>42</v>
      </c>
      <c r="AB21" t="s">
        <v>43</v>
      </c>
      <c r="AC21" t="s">
        <v>31</v>
      </c>
    </row>
    <row r="22" spans="1:29" x14ac:dyDescent="0.3">
      <c r="A22">
        <v>14</v>
      </c>
      <c r="B22" t="s">
        <v>29</v>
      </c>
      <c r="C22" t="s">
        <v>186</v>
      </c>
      <c r="D22" t="s">
        <v>31</v>
      </c>
      <c r="E22" t="s">
        <v>32</v>
      </c>
      <c r="F22" s="3">
        <v>45657</v>
      </c>
      <c r="G22">
        <v>2024</v>
      </c>
      <c r="H22" t="s">
        <v>44</v>
      </c>
      <c r="I22" t="s">
        <v>53</v>
      </c>
      <c r="K22">
        <v>51116.334115206948</v>
      </c>
      <c r="L22">
        <v>52005</v>
      </c>
      <c r="M22">
        <v>1.017385164647961</v>
      </c>
      <c r="N22">
        <v>1.017385164647961</v>
      </c>
      <c r="O22" t="s">
        <v>35</v>
      </c>
      <c r="P22" t="s">
        <v>35</v>
      </c>
      <c r="Q22" t="s">
        <v>54</v>
      </c>
      <c r="R22">
        <v>0</v>
      </c>
      <c r="S22">
        <v>0</v>
      </c>
      <c r="T22" t="s">
        <v>443</v>
      </c>
      <c r="U22" t="s">
        <v>37</v>
      </c>
      <c r="V22" t="s">
        <v>30</v>
      </c>
      <c r="W22" t="s">
        <v>38</v>
      </c>
      <c r="X22" t="s">
        <v>39</v>
      </c>
      <c r="Y22" t="s">
        <v>40</v>
      </c>
      <c r="Z22" t="s">
        <v>41</v>
      </c>
      <c r="AA22" t="s">
        <v>42</v>
      </c>
      <c r="AB22" t="s">
        <v>43</v>
      </c>
      <c r="AC22" t="s">
        <v>31</v>
      </c>
    </row>
    <row r="23" spans="1:29" x14ac:dyDescent="0.3">
      <c r="A23">
        <v>14</v>
      </c>
      <c r="B23" t="s">
        <v>29</v>
      </c>
      <c r="C23" t="s">
        <v>186</v>
      </c>
      <c r="D23" t="s">
        <v>31</v>
      </c>
      <c r="E23" t="s">
        <v>32</v>
      </c>
      <c r="F23" s="3">
        <v>45838</v>
      </c>
      <c r="G23">
        <v>2025</v>
      </c>
      <c r="H23" t="s">
        <v>33</v>
      </c>
      <c r="I23" t="s">
        <v>404</v>
      </c>
      <c r="J23">
        <v>1</v>
      </c>
      <c r="K23">
        <v>53634</v>
      </c>
      <c r="L23">
        <v>56505</v>
      </c>
      <c r="M23">
        <v>1.053509834995805</v>
      </c>
      <c r="N23">
        <v>1.053509834995805</v>
      </c>
      <c r="O23" t="s">
        <v>35</v>
      </c>
      <c r="P23" t="s">
        <v>35</v>
      </c>
      <c r="Q23" t="s">
        <v>411</v>
      </c>
      <c r="R23">
        <v>0</v>
      </c>
      <c r="S23">
        <v>0</v>
      </c>
      <c r="T23" t="s">
        <v>31</v>
      </c>
      <c r="U23" t="s">
        <v>37</v>
      </c>
      <c r="V23" t="s">
        <v>30</v>
      </c>
      <c r="W23" t="s">
        <v>38</v>
      </c>
      <c r="X23" t="s">
        <v>39</v>
      </c>
      <c r="Y23" t="s">
        <v>40</v>
      </c>
      <c r="Z23" t="s">
        <v>41</v>
      </c>
      <c r="AA23" t="s">
        <v>42</v>
      </c>
      <c r="AB23" t="s">
        <v>43</v>
      </c>
      <c r="AC23" t="s">
        <v>31</v>
      </c>
    </row>
    <row r="24" spans="1:29" x14ac:dyDescent="0.3">
      <c r="A24">
        <v>14</v>
      </c>
      <c r="B24" t="s">
        <v>29</v>
      </c>
      <c r="C24" t="s">
        <v>186</v>
      </c>
      <c r="D24" t="s">
        <v>31</v>
      </c>
      <c r="E24" t="s">
        <v>32</v>
      </c>
      <c r="F24" s="3">
        <v>46022</v>
      </c>
      <c r="G24">
        <v>2025</v>
      </c>
      <c r="H24" t="s">
        <v>44</v>
      </c>
      <c r="I24" t="s">
        <v>465</v>
      </c>
      <c r="J24">
        <v>2</v>
      </c>
      <c r="L24" s="4">
        <v>56935</v>
      </c>
      <c r="O24" t="s">
        <v>35</v>
      </c>
      <c r="P24" t="s">
        <v>35</v>
      </c>
      <c r="Q24" t="s">
        <v>481</v>
      </c>
      <c r="R24">
        <v>0</v>
      </c>
      <c r="S24">
        <v>0</v>
      </c>
      <c r="T24" t="s">
        <v>31</v>
      </c>
      <c r="U24" t="s">
        <v>37</v>
      </c>
      <c r="V24" t="s">
        <v>30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31</v>
      </c>
    </row>
    <row r="25" spans="1:29" x14ac:dyDescent="0.3">
      <c r="A25">
        <v>14</v>
      </c>
      <c r="B25" t="s">
        <v>29</v>
      </c>
      <c r="C25" t="s">
        <v>186</v>
      </c>
      <c r="D25" t="s">
        <v>31</v>
      </c>
      <c r="E25" t="s">
        <v>32</v>
      </c>
      <c r="F25" s="3">
        <v>46022</v>
      </c>
      <c r="G25">
        <v>2025</v>
      </c>
      <c r="H25" t="s">
        <v>44</v>
      </c>
      <c r="I25" t="s">
        <v>465</v>
      </c>
      <c r="L25" s="4">
        <v>56935</v>
      </c>
      <c r="M25">
        <v>1.053509834995805</v>
      </c>
      <c r="N25">
        <v>1.053509834995805</v>
      </c>
      <c r="O25" t="s">
        <v>35</v>
      </c>
      <c r="P25" t="s">
        <v>35</v>
      </c>
      <c r="Q25" t="s">
        <v>481</v>
      </c>
      <c r="R25">
        <v>0</v>
      </c>
      <c r="S25">
        <v>0</v>
      </c>
      <c r="T25" t="s">
        <v>443</v>
      </c>
      <c r="U25" t="s">
        <v>37</v>
      </c>
      <c r="V25" t="s">
        <v>30</v>
      </c>
      <c r="W25" t="s">
        <v>38</v>
      </c>
      <c r="X25" t="s">
        <v>39</v>
      </c>
      <c r="Y25" t="s">
        <v>40</v>
      </c>
      <c r="Z25" t="s">
        <v>41</v>
      </c>
      <c r="AA25" t="s">
        <v>42</v>
      </c>
      <c r="AB25" t="s">
        <v>43</v>
      </c>
      <c r="AC25" t="s">
        <v>31</v>
      </c>
    </row>
    <row r="26" spans="1:29" x14ac:dyDescent="0.3">
      <c r="A26">
        <v>14.1</v>
      </c>
      <c r="B26" t="s">
        <v>353</v>
      </c>
      <c r="C26" t="s">
        <v>186</v>
      </c>
      <c r="D26" t="s">
        <v>31</v>
      </c>
      <c r="E26" t="s">
        <v>32</v>
      </c>
      <c r="F26" s="3">
        <v>43281</v>
      </c>
      <c r="G26">
        <f t="shared" ref="G26:G37" si="4">YEAR(F26)</f>
        <v>2018</v>
      </c>
      <c r="H26" t="str">
        <f t="shared" ref="H26:H37" si="5">PROPER(TEXT(F26,"mmmm"))</f>
        <v>Junio</v>
      </c>
      <c r="I26" t="str">
        <f t="shared" ref="I26:I37" si="6">IF(H26="Junio",G26&amp;"-1",G26&amp;"-2")</f>
        <v>2018-1</v>
      </c>
      <c r="J26">
        <v>1</v>
      </c>
      <c r="L26" s="4">
        <v>10066</v>
      </c>
      <c r="O26" t="s">
        <v>35</v>
      </c>
      <c r="P26" t="s">
        <v>35</v>
      </c>
      <c r="Q26" t="str">
        <f t="shared" ref="Q26:Q37" si="7">MID(A26,1,2)&amp;"."&amp;RIGHT(A26,1)&amp;"-"&amp;TEXT(F26,"yyyy-mm-dd")</f>
        <v>14.1-2018-06-30</v>
      </c>
      <c r="R26">
        <v>0</v>
      </c>
      <c r="S26">
        <v>0</v>
      </c>
      <c r="T26" t="s">
        <v>31</v>
      </c>
      <c r="U26" t="s">
        <v>37</v>
      </c>
      <c r="V26" t="s">
        <v>30</v>
      </c>
      <c r="W26" t="s">
        <v>38</v>
      </c>
      <c r="X26" t="s">
        <v>39</v>
      </c>
      <c r="Y26" t="s">
        <v>40</v>
      </c>
      <c r="Z26" t="s">
        <v>86</v>
      </c>
      <c r="AA26" t="s">
        <v>339</v>
      </c>
      <c r="AB26" t="s">
        <v>78</v>
      </c>
      <c r="AC26" t="s">
        <v>31</v>
      </c>
    </row>
    <row r="27" spans="1:29" x14ac:dyDescent="0.3">
      <c r="A27">
        <v>14.1</v>
      </c>
      <c r="B27" t="s">
        <v>353</v>
      </c>
      <c r="C27" t="s">
        <v>186</v>
      </c>
      <c r="D27" t="s">
        <v>31</v>
      </c>
      <c r="E27" t="s">
        <v>32</v>
      </c>
      <c r="F27" s="3">
        <v>43465</v>
      </c>
      <c r="G27">
        <f t="shared" si="4"/>
        <v>2018</v>
      </c>
      <c r="H27" t="str">
        <f t="shared" si="5"/>
        <v>Diciembre</v>
      </c>
      <c r="I27" t="str">
        <f t="shared" si="6"/>
        <v>2018-2</v>
      </c>
      <c r="J27">
        <v>2</v>
      </c>
      <c r="L27" s="4">
        <v>9830</v>
      </c>
      <c r="O27" t="s">
        <v>35</v>
      </c>
      <c r="P27" t="s">
        <v>35</v>
      </c>
      <c r="Q27" t="str">
        <f t="shared" si="7"/>
        <v>14.1-2018-12-31</v>
      </c>
      <c r="R27">
        <v>0</v>
      </c>
      <c r="S27">
        <v>0</v>
      </c>
      <c r="T27" t="s">
        <v>31</v>
      </c>
      <c r="U27" t="s">
        <v>37</v>
      </c>
      <c r="V27" t="s">
        <v>30</v>
      </c>
      <c r="W27" t="s">
        <v>38</v>
      </c>
      <c r="X27" t="s">
        <v>39</v>
      </c>
      <c r="Y27" t="s">
        <v>40</v>
      </c>
      <c r="Z27" t="s">
        <v>86</v>
      </c>
      <c r="AA27" t="s">
        <v>339</v>
      </c>
      <c r="AB27" t="s">
        <v>78</v>
      </c>
      <c r="AC27" t="s">
        <v>31</v>
      </c>
    </row>
    <row r="28" spans="1:29" x14ac:dyDescent="0.3">
      <c r="A28">
        <v>14.1</v>
      </c>
      <c r="B28" t="s">
        <v>353</v>
      </c>
      <c r="C28" t="s">
        <v>186</v>
      </c>
      <c r="D28" t="s">
        <v>31</v>
      </c>
      <c r="E28" t="s">
        <v>32</v>
      </c>
      <c r="F28" s="3">
        <v>43465</v>
      </c>
      <c r="G28">
        <f t="shared" si="4"/>
        <v>2018</v>
      </c>
      <c r="H28" t="str">
        <f t="shared" si="5"/>
        <v>Diciembre</v>
      </c>
      <c r="I28" t="str">
        <f t="shared" si="6"/>
        <v>2018-2</v>
      </c>
      <c r="L28">
        <v>19896</v>
      </c>
      <c r="O28" t="s">
        <v>35</v>
      </c>
      <c r="P28" t="s">
        <v>35</v>
      </c>
      <c r="Q28" t="str">
        <f t="shared" si="7"/>
        <v>14.1-2018-12-31</v>
      </c>
      <c r="R28">
        <v>0</v>
      </c>
      <c r="S28">
        <v>0</v>
      </c>
      <c r="T28" t="s">
        <v>443</v>
      </c>
      <c r="U28" t="s">
        <v>37</v>
      </c>
      <c r="V28" t="s">
        <v>30</v>
      </c>
      <c r="W28" t="s">
        <v>38</v>
      </c>
      <c r="X28" t="s">
        <v>39</v>
      </c>
      <c r="Y28" t="s">
        <v>40</v>
      </c>
      <c r="Z28" t="s">
        <v>86</v>
      </c>
      <c r="AA28" t="s">
        <v>339</v>
      </c>
      <c r="AB28" t="s">
        <v>78</v>
      </c>
      <c r="AC28" t="s">
        <v>31</v>
      </c>
    </row>
    <row r="29" spans="1:29" x14ac:dyDescent="0.3">
      <c r="A29">
        <v>14.1</v>
      </c>
      <c r="B29" t="s">
        <v>353</v>
      </c>
      <c r="C29" t="s">
        <v>186</v>
      </c>
      <c r="D29" t="s">
        <v>31</v>
      </c>
      <c r="E29" t="s">
        <v>32</v>
      </c>
      <c r="F29" s="3">
        <v>43646</v>
      </c>
      <c r="G29">
        <f t="shared" si="4"/>
        <v>2019</v>
      </c>
      <c r="H29" t="str">
        <f t="shared" si="5"/>
        <v>Junio</v>
      </c>
      <c r="I29" t="str">
        <f t="shared" si="6"/>
        <v>2019-1</v>
      </c>
      <c r="J29">
        <v>1</v>
      </c>
      <c r="L29" s="4">
        <v>9864</v>
      </c>
      <c r="O29" t="s">
        <v>35</v>
      </c>
      <c r="P29" t="s">
        <v>35</v>
      </c>
      <c r="Q29" t="str">
        <f t="shared" si="7"/>
        <v>14.1-2019-06-30</v>
      </c>
      <c r="R29">
        <v>0</v>
      </c>
      <c r="S29">
        <v>0</v>
      </c>
      <c r="T29" t="s">
        <v>31</v>
      </c>
      <c r="U29" t="s">
        <v>37</v>
      </c>
      <c r="V29" t="s">
        <v>30</v>
      </c>
      <c r="W29" t="s">
        <v>38</v>
      </c>
      <c r="X29" t="s">
        <v>39</v>
      </c>
      <c r="Y29" t="s">
        <v>40</v>
      </c>
      <c r="Z29" t="s">
        <v>86</v>
      </c>
      <c r="AA29" t="s">
        <v>339</v>
      </c>
      <c r="AB29" t="s">
        <v>78</v>
      </c>
      <c r="AC29" t="s">
        <v>31</v>
      </c>
    </row>
    <row r="30" spans="1:29" x14ac:dyDescent="0.3">
      <c r="A30">
        <v>14.1</v>
      </c>
      <c r="B30" s="6" t="s">
        <v>353</v>
      </c>
      <c r="C30" t="s">
        <v>186</v>
      </c>
      <c r="D30" t="s">
        <v>31</v>
      </c>
      <c r="E30" t="s">
        <v>32</v>
      </c>
      <c r="F30" s="3">
        <v>43830</v>
      </c>
      <c r="G30">
        <f t="shared" si="4"/>
        <v>2019</v>
      </c>
      <c r="H30" t="str">
        <f t="shared" si="5"/>
        <v>Diciembre</v>
      </c>
      <c r="I30" t="str">
        <f t="shared" si="6"/>
        <v>2019-2</v>
      </c>
      <c r="J30">
        <v>2</v>
      </c>
      <c r="L30" s="4">
        <v>9586</v>
      </c>
      <c r="O30" t="s">
        <v>35</v>
      </c>
      <c r="P30" t="s">
        <v>35</v>
      </c>
      <c r="Q30" t="str">
        <f t="shared" si="7"/>
        <v>14.1-2019-12-31</v>
      </c>
      <c r="R30">
        <v>0</v>
      </c>
      <c r="S30">
        <v>0</v>
      </c>
      <c r="T30" t="s">
        <v>31</v>
      </c>
      <c r="U30" t="s">
        <v>37</v>
      </c>
      <c r="V30" t="s">
        <v>30</v>
      </c>
      <c r="W30" t="s">
        <v>38</v>
      </c>
      <c r="X30" t="s">
        <v>39</v>
      </c>
      <c r="Y30" t="s">
        <v>40</v>
      </c>
      <c r="Z30" t="s">
        <v>86</v>
      </c>
      <c r="AA30" t="s">
        <v>339</v>
      </c>
      <c r="AB30" t="s">
        <v>78</v>
      </c>
      <c r="AC30" t="s">
        <v>31</v>
      </c>
    </row>
    <row r="31" spans="1:29" x14ac:dyDescent="0.3">
      <c r="A31">
        <v>14.1</v>
      </c>
      <c r="B31" s="6" t="s">
        <v>353</v>
      </c>
      <c r="C31" t="s">
        <v>186</v>
      </c>
      <c r="D31" t="s">
        <v>31</v>
      </c>
      <c r="E31" t="s">
        <v>32</v>
      </c>
      <c r="F31" s="3">
        <v>43830</v>
      </c>
      <c r="G31">
        <f t="shared" si="4"/>
        <v>2019</v>
      </c>
      <c r="H31" t="str">
        <f t="shared" si="5"/>
        <v>Diciembre</v>
      </c>
      <c r="I31" t="str">
        <f t="shared" si="6"/>
        <v>2019-2</v>
      </c>
      <c r="L31">
        <v>19450</v>
      </c>
      <c r="O31" t="s">
        <v>35</v>
      </c>
      <c r="P31" t="s">
        <v>35</v>
      </c>
      <c r="Q31" t="str">
        <f t="shared" si="7"/>
        <v>14.1-2019-12-31</v>
      </c>
      <c r="R31">
        <v>0</v>
      </c>
      <c r="S31">
        <v>0</v>
      </c>
      <c r="T31" t="s">
        <v>443</v>
      </c>
      <c r="U31" t="s">
        <v>37</v>
      </c>
      <c r="V31" t="s">
        <v>30</v>
      </c>
      <c r="W31" t="s">
        <v>38</v>
      </c>
      <c r="X31" t="s">
        <v>39</v>
      </c>
      <c r="Y31" t="s">
        <v>40</v>
      </c>
      <c r="Z31" t="s">
        <v>86</v>
      </c>
      <c r="AA31" t="s">
        <v>339</v>
      </c>
      <c r="AB31" t="s">
        <v>78</v>
      </c>
      <c r="AC31" t="s">
        <v>31</v>
      </c>
    </row>
    <row r="32" spans="1:29" x14ac:dyDescent="0.3">
      <c r="A32">
        <v>14.1</v>
      </c>
      <c r="B32" s="6" t="s">
        <v>353</v>
      </c>
      <c r="C32" t="s">
        <v>186</v>
      </c>
      <c r="D32" t="s">
        <v>31</v>
      </c>
      <c r="E32" t="s">
        <v>32</v>
      </c>
      <c r="F32" s="3">
        <v>44012</v>
      </c>
      <c r="G32">
        <f t="shared" si="4"/>
        <v>2020</v>
      </c>
      <c r="H32" t="str">
        <f t="shared" si="5"/>
        <v>Junio</v>
      </c>
      <c r="I32" t="str">
        <f t="shared" si="6"/>
        <v>2020-1</v>
      </c>
      <c r="J32">
        <v>1</v>
      </c>
      <c r="L32" s="4">
        <v>9828</v>
      </c>
      <c r="O32" t="s">
        <v>35</v>
      </c>
      <c r="P32" t="s">
        <v>35</v>
      </c>
      <c r="Q32" t="str">
        <f t="shared" si="7"/>
        <v>14.1-2020-06-30</v>
      </c>
      <c r="R32">
        <v>0</v>
      </c>
      <c r="S32">
        <v>0</v>
      </c>
      <c r="T32" t="s">
        <v>31</v>
      </c>
      <c r="U32" t="s">
        <v>37</v>
      </c>
      <c r="V32" t="s">
        <v>30</v>
      </c>
      <c r="W32" t="s">
        <v>38</v>
      </c>
      <c r="X32" t="s">
        <v>39</v>
      </c>
      <c r="Y32" t="s">
        <v>40</v>
      </c>
      <c r="Z32" t="s">
        <v>86</v>
      </c>
      <c r="AA32" t="s">
        <v>339</v>
      </c>
      <c r="AB32" t="s">
        <v>78</v>
      </c>
      <c r="AC32" t="s">
        <v>31</v>
      </c>
    </row>
    <row r="33" spans="1:29" x14ac:dyDescent="0.3">
      <c r="A33">
        <v>14.1</v>
      </c>
      <c r="B33" s="6" t="s">
        <v>353</v>
      </c>
      <c r="C33" t="s">
        <v>186</v>
      </c>
      <c r="D33" t="s">
        <v>31</v>
      </c>
      <c r="E33" t="s">
        <v>32</v>
      </c>
      <c r="F33" s="3">
        <v>44196</v>
      </c>
      <c r="G33">
        <f t="shared" si="4"/>
        <v>2020</v>
      </c>
      <c r="H33" t="str">
        <f t="shared" si="5"/>
        <v>Diciembre</v>
      </c>
      <c r="I33" t="str">
        <f t="shared" si="6"/>
        <v>2020-2</v>
      </c>
      <c r="J33">
        <v>2</v>
      </c>
      <c r="L33" s="4">
        <v>7748</v>
      </c>
      <c r="O33" t="s">
        <v>35</v>
      </c>
      <c r="P33" t="s">
        <v>35</v>
      </c>
      <c r="Q33" t="str">
        <f t="shared" si="7"/>
        <v>14.1-2020-12-31</v>
      </c>
      <c r="R33">
        <v>0</v>
      </c>
      <c r="S33">
        <v>0</v>
      </c>
      <c r="T33" t="s">
        <v>31</v>
      </c>
      <c r="U33" t="s">
        <v>37</v>
      </c>
      <c r="V33" t="s">
        <v>30</v>
      </c>
      <c r="W33" t="s">
        <v>38</v>
      </c>
      <c r="X33" t="s">
        <v>39</v>
      </c>
      <c r="Y33" t="s">
        <v>40</v>
      </c>
      <c r="Z33" t="s">
        <v>86</v>
      </c>
      <c r="AA33" t="s">
        <v>339</v>
      </c>
      <c r="AB33" t="s">
        <v>78</v>
      </c>
      <c r="AC33" t="s">
        <v>31</v>
      </c>
    </row>
    <row r="34" spans="1:29" x14ac:dyDescent="0.3">
      <c r="A34">
        <v>14.1</v>
      </c>
      <c r="B34" s="6" t="s">
        <v>353</v>
      </c>
      <c r="C34" t="s">
        <v>186</v>
      </c>
      <c r="D34" t="s">
        <v>31</v>
      </c>
      <c r="E34" t="s">
        <v>32</v>
      </c>
      <c r="F34" s="3">
        <v>44196</v>
      </c>
      <c r="G34">
        <f t="shared" si="4"/>
        <v>2020</v>
      </c>
      <c r="H34" t="str">
        <f t="shared" si="5"/>
        <v>Diciembre</v>
      </c>
      <c r="I34" t="str">
        <f t="shared" si="6"/>
        <v>2020-2</v>
      </c>
      <c r="L34">
        <v>17576</v>
      </c>
      <c r="O34" t="s">
        <v>35</v>
      </c>
      <c r="P34" t="s">
        <v>35</v>
      </c>
      <c r="Q34" t="str">
        <f t="shared" si="7"/>
        <v>14.1-2020-12-31</v>
      </c>
      <c r="R34">
        <v>0</v>
      </c>
      <c r="S34">
        <v>0</v>
      </c>
      <c r="T34" t="s">
        <v>443</v>
      </c>
      <c r="U34" t="s">
        <v>37</v>
      </c>
      <c r="V34" t="s">
        <v>30</v>
      </c>
      <c r="W34" t="s">
        <v>38</v>
      </c>
      <c r="X34" t="s">
        <v>39</v>
      </c>
      <c r="Y34" t="s">
        <v>40</v>
      </c>
      <c r="Z34" t="s">
        <v>86</v>
      </c>
      <c r="AA34" t="s">
        <v>339</v>
      </c>
      <c r="AB34" t="s">
        <v>78</v>
      </c>
      <c r="AC34" t="s">
        <v>31</v>
      </c>
    </row>
    <row r="35" spans="1:29" x14ac:dyDescent="0.3">
      <c r="A35">
        <v>14.1</v>
      </c>
      <c r="B35" s="6" t="s">
        <v>353</v>
      </c>
      <c r="C35" t="s">
        <v>186</v>
      </c>
      <c r="D35" t="s">
        <v>31</v>
      </c>
      <c r="E35" t="s">
        <v>32</v>
      </c>
      <c r="F35" s="3">
        <v>44377</v>
      </c>
      <c r="G35">
        <f t="shared" si="4"/>
        <v>2021</v>
      </c>
      <c r="H35" t="str">
        <f t="shared" si="5"/>
        <v>Junio</v>
      </c>
      <c r="I35" t="str">
        <f t="shared" si="6"/>
        <v>2021-1</v>
      </c>
      <c r="J35">
        <v>1</v>
      </c>
      <c r="L35" s="4">
        <v>8125</v>
      </c>
      <c r="O35" t="s">
        <v>35</v>
      </c>
      <c r="P35" t="s">
        <v>35</v>
      </c>
      <c r="Q35" t="str">
        <f t="shared" si="7"/>
        <v>14.1-2021-06-30</v>
      </c>
      <c r="R35">
        <v>0</v>
      </c>
      <c r="S35">
        <v>0</v>
      </c>
      <c r="T35" t="s">
        <v>31</v>
      </c>
      <c r="U35" t="s">
        <v>37</v>
      </c>
      <c r="V35" t="s">
        <v>30</v>
      </c>
      <c r="W35" t="s">
        <v>38</v>
      </c>
      <c r="X35" t="s">
        <v>39</v>
      </c>
      <c r="Y35" t="s">
        <v>40</v>
      </c>
      <c r="Z35" t="s">
        <v>86</v>
      </c>
      <c r="AA35" t="s">
        <v>339</v>
      </c>
      <c r="AB35" t="s">
        <v>78</v>
      </c>
      <c r="AC35" t="s">
        <v>31</v>
      </c>
    </row>
    <row r="36" spans="1:29" x14ac:dyDescent="0.3">
      <c r="A36">
        <v>14.1</v>
      </c>
      <c r="B36" t="s">
        <v>353</v>
      </c>
      <c r="C36" t="s">
        <v>186</v>
      </c>
      <c r="D36" t="s">
        <v>31</v>
      </c>
      <c r="E36" t="s">
        <v>32</v>
      </c>
      <c r="F36" s="3">
        <v>44561</v>
      </c>
      <c r="G36">
        <f t="shared" si="4"/>
        <v>2021</v>
      </c>
      <c r="H36" t="str">
        <f t="shared" si="5"/>
        <v>Diciembre</v>
      </c>
      <c r="I36" t="str">
        <f t="shared" si="6"/>
        <v>2021-2</v>
      </c>
      <c r="J36">
        <v>2</v>
      </c>
      <c r="L36" s="4">
        <v>7626</v>
      </c>
      <c r="O36" t="s">
        <v>35</v>
      </c>
      <c r="P36" t="s">
        <v>35</v>
      </c>
      <c r="Q36" t="str">
        <f t="shared" si="7"/>
        <v>14.1-2021-12-31</v>
      </c>
      <c r="R36">
        <v>0</v>
      </c>
      <c r="S36">
        <v>0</v>
      </c>
      <c r="T36" t="s">
        <v>31</v>
      </c>
      <c r="U36" t="s">
        <v>37</v>
      </c>
      <c r="V36" t="s">
        <v>30</v>
      </c>
      <c r="W36" t="s">
        <v>38</v>
      </c>
      <c r="X36" t="s">
        <v>39</v>
      </c>
      <c r="Y36" t="s">
        <v>40</v>
      </c>
      <c r="Z36" t="s">
        <v>86</v>
      </c>
      <c r="AA36" t="s">
        <v>339</v>
      </c>
      <c r="AB36" t="s">
        <v>78</v>
      </c>
      <c r="AC36" t="s">
        <v>31</v>
      </c>
    </row>
    <row r="37" spans="1:29" x14ac:dyDescent="0.3">
      <c r="A37">
        <v>14.1</v>
      </c>
      <c r="B37" t="s">
        <v>353</v>
      </c>
      <c r="C37" t="s">
        <v>186</v>
      </c>
      <c r="D37" t="s">
        <v>31</v>
      </c>
      <c r="E37" t="s">
        <v>32</v>
      </c>
      <c r="F37" s="3">
        <v>44561</v>
      </c>
      <c r="G37">
        <f t="shared" si="4"/>
        <v>2021</v>
      </c>
      <c r="H37" t="str">
        <f t="shared" si="5"/>
        <v>Diciembre</v>
      </c>
      <c r="I37" t="str">
        <f t="shared" si="6"/>
        <v>2021-2</v>
      </c>
      <c r="L37">
        <v>15751</v>
      </c>
      <c r="O37" t="s">
        <v>35</v>
      </c>
      <c r="P37" t="s">
        <v>35</v>
      </c>
      <c r="Q37" t="str">
        <f t="shared" si="7"/>
        <v>14.1-2021-12-31</v>
      </c>
      <c r="R37">
        <v>0</v>
      </c>
      <c r="S37">
        <v>0</v>
      </c>
      <c r="T37" t="s">
        <v>443</v>
      </c>
      <c r="U37" t="s">
        <v>37</v>
      </c>
      <c r="V37" t="s">
        <v>30</v>
      </c>
      <c r="W37" t="s">
        <v>38</v>
      </c>
      <c r="X37" t="s">
        <v>39</v>
      </c>
      <c r="Y37" t="s">
        <v>40</v>
      </c>
      <c r="Z37" t="s">
        <v>86</v>
      </c>
      <c r="AA37" t="s">
        <v>339</v>
      </c>
      <c r="AB37" t="s">
        <v>78</v>
      </c>
      <c r="AC37" t="s">
        <v>31</v>
      </c>
    </row>
    <row r="38" spans="1:29" x14ac:dyDescent="0.3">
      <c r="A38">
        <v>14.1</v>
      </c>
      <c r="B38" t="s">
        <v>353</v>
      </c>
      <c r="C38" t="s">
        <v>30</v>
      </c>
      <c r="D38" t="s">
        <v>31</v>
      </c>
      <c r="E38" t="s">
        <v>32</v>
      </c>
      <c r="F38" s="3">
        <v>44742</v>
      </c>
      <c r="G38">
        <v>2022</v>
      </c>
      <c r="H38" t="s">
        <v>33</v>
      </c>
      <c r="I38" t="s">
        <v>34</v>
      </c>
      <c r="J38">
        <v>1</v>
      </c>
      <c r="K38">
        <v>7541</v>
      </c>
      <c r="L38">
        <v>7651</v>
      </c>
      <c r="M38">
        <v>1.0145869248110331</v>
      </c>
      <c r="N38">
        <v>1.0145869248110331</v>
      </c>
      <c r="O38" t="s">
        <v>35</v>
      </c>
      <c r="P38" t="s">
        <v>35</v>
      </c>
      <c r="Q38" t="s">
        <v>354</v>
      </c>
      <c r="R38">
        <v>0</v>
      </c>
      <c r="S38">
        <v>0</v>
      </c>
      <c r="T38" t="s">
        <v>31</v>
      </c>
      <c r="U38" t="s">
        <v>37</v>
      </c>
      <c r="V38" t="s">
        <v>30</v>
      </c>
      <c r="W38" t="s">
        <v>38</v>
      </c>
      <c r="X38" t="s">
        <v>39</v>
      </c>
      <c r="Y38" t="s">
        <v>40</v>
      </c>
      <c r="Z38" t="s">
        <v>86</v>
      </c>
      <c r="AA38" t="s">
        <v>339</v>
      </c>
      <c r="AB38" t="s">
        <v>78</v>
      </c>
      <c r="AC38" t="s">
        <v>31</v>
      </c>
    </row>
    <row r="39" spans="1:29" x14ac:dyDescent="0.3">
      <c r="A39">
        <v>14.1</v>
      </c>
      <c r="B39" t="s">
        <v>353</v>
      </c>
      <c r="C39" t="s">
        <v>30</v>
      </c>
      <c r="D39" t="s">
        <v>31</v>
      </c>
      <c r="E39" t="s">
        <v>32</v>
      </c>
      <c r="F39" s="3">
        <v>44926</v>
      </c>
      <c r="G39">
        <v>2022</v>
      </c>
      <c r="H39" t="s">
        <v>44</v>
      </c>
      <c r="I39" t="s">
        <v>45</v>
      </c>
      <c r="J39">
        <v>2</v>
      </c>
      <c r="K39">
        <v>6730</v>
      </c>
      <c r="L39">
        <v>7539</v>
      </c>
      <c r="M39">
        <v>1.1202080237741461</v>
      </c>
      <c r="N39">
        <v>1.1202080237741461</v>
      </c>
      <c r="O39" t="s">
        <v>35</v>
      </c>
      <c r="P39" t="s">
        <v>35</v>
      </c>
      <c r="Q39" t="s">
        <v>355</v>
      </c>
      <c r="R39">
        <v>0</v>
      </c>
      <c r="S39">
        <v>0</v>
      </c>
      <c r="T39" t="s">
        <v>31</v>
      </c>
      <c r="U39" t="s">
        <v>37</v>
      </c>
      <c r="V39" t="s">
        <v>30</v>
      </c>
      <c r="W39" t="s">
        <v>38</v>
      </c>
      <c r="X39" t="s">
        <v>39</v>
      </c>
      <c r="Y39" t="s">
        <v>40</v>
      </c>
      <c r="Z39" t="s">
        <v>86</v>
      </c>
      <c r="AA39" t="s">
        <v>339</v>
      </c>
      <c r="AB39" t="s">
        <v>78</v>
      </c>
      <c r="AC39" t="s">
        <v>31</v>
      </c>
    </row>
    <row r="40" spans="1:29" x14ac:dyDescent="0.3">
      <c r="A40">
        <v>14.1</v>
      </c>
      <c r="B40" t="s">
        <v>353</v>
      </c>
      <c r="C40" t="s">
        <v>186</v>
      </c>
      <c r="D40" t="s">
        <v>31</v>
      </c>
      <c r="E40" t="s">
        <v>32</v>
      </c>
      <c r="F40" s="3">
        <v>44926</v>
      </c>
      <c r="G40">
        <v>2022</v>
      </c>
      <c r="H40" t="s">
        <v>44</v>
      </c>
      <c r="I40" t="s">
        <v>45</v>
      </c>
      <c r="K40">
        <v>14271</v>
      </c>
      <c r="L40">
        <v>15190</v>
      </c>
      <c r="M40">
        <v>1.0643963282180651</v>
      </c>
      <c r="N40">
        <v>1.0643963282180651</v>
      </c>
      <c r="O40" t="s">
        <v>35</v>
      </c>
      <c r="P40" t="s">
        <v>35</v>
      </c>
      <c r="Q40" t="s">
        <v>355</v>
      </c>
      <c r="R40">
        <v>0</v>
      </c>
      <c r="S40">
        <v>0</v>
      </c>
      <c r="T40" t="s">
        <v>443</v>
      </c>
      <c r="U40" t="s">
        <v>37</v>
      </c>
      <c r="V40" t="s">
        <v>30</v>
      </c>
      <c r="W40" t="s">
        <v>38</v>
      </c>
      <c r="X40" t="s">
        <v>39</v>
      </c>
      <c r="Y40" t="s">
        <v>40</v>
      </c>
      <c r="Z40" t="s">
        <v>86</v>
      </c>
      <c r="AA40" t="s">
        <v>339</v>
      </c>
      <c r="AB40" t="s">
        <v>78</v>
      </c>
      <c r="AC40" t="s">
        <v>31</v>
      </c>
    </row>
    <row r="41" spans="1:29" x14ac:dyDescent="0.3">
      <c r="A41">
        <v>14.1</v>
      </c>
      <c r="B41" t="s">
        <v>353</v>
      </c>
      <c r="C41" t="s">
        <v>30</v>
      </c>
      <c r="D41" t="s">
        <v>31</v>
      </c>
      <c r="E41" t="s">
        <v>32</v>
      </c>
      <c r="F41" s="3">
        <v>45107</v>
      </c>
      <c r="G41">
        <v>2023</v>
      </c>
      <c r="H41" t="s">
        <v>33</v>
      </c>
      <c r="I41" t="s">
        <v>47</v>
      </c>
      <c r="J41">
        <v>1</v>
      </c>
      <c r="K41">
        <v>7822</v>
      </c>
      <c r="L41">
        <v>7912</v>
      </c>
      <c r="M41">
        <v>1.0115060086934291</v>
      </c>
      <c r="N41">
        <v>1.0115060086934291</v>
      </c>
      <c r="O41" t="s">
        <v>35</v>
      </c>
      <c r="P41" t="s">
        <v>35</v>
      </c>
      <c r="Q41" t="s">
        <v>356</v>
      </c>
      <c r="R41">
        <v>0</v>
      </c>
      <c r="S41">
        <v>0</v>
      </c>
      <c r="T41" t="s">
        <v>31</v>
      </c>
      <c r="U41" t="s">
        <v>37</v>
      </c>
      <c r="V41" t="s">
        <v>30</v>
      </c>
      <c r="W41" t="s">
        <v>38</v>
      </c>
      <c r="X41" t="s">
        <v>39</v>
      </c>
      <c r="Y41" t="s">
        <v>40</v>
      </c>
      <c r="Z41" t="s">
        <v>86</v>
      </c>
      <c r="AA41" t="s">
        <v>339</v>
      </c>
      <c r="AB41" t="s">
        <v>78</v>
      </c>
      <c r="AC41" t="s">
        <v>31</v>
      </c>
    </row>
    <row r="42" spans="1:29" x14ac:dyDescent="0.3">
      <c r="A42">
        <v>14.1</v>
      </c>
      <c r="B42" t="s">
        <v>353</v>
      </c>
      <c r="C42" t="s">
        <v>186</v>
      </c>
      <c r="D42" t="s">
        <v>31</v>
      </c>
      <c r="E42" t="s">
        <v>32</v>
      </c>
      <c r="F42" s="3">
        <v>45291</v>
      </c>
      <c r="G42">
        <v>2023</v>
      </c>
      <c r="H42" t="s">
        <v>44</v>
      </c>
      <c r="I42" t="s">
        <v>49</v>
      </c>
      <c r="J42">
        <v>2</v>
      </c>
      <c r="K42">
        <v>7620</v>
      </c>
      <c r="L42">
        <v>8066</v>
      </c>
      <c r="M42">
        <v>1.058530183727034</v>
      </c>
      <c r="N42">
        <v>1.058530183727034</v>
      </c>
      <c r="O42" t="s">
        <v>35</v>
      </c>
      <c r="P42" t="s">
        <v>35</v>
      </c>
      <c r="Q42" t="s">
        <v>357</v>
      </c>
      <c r="R42">
        <v>0</v>
      </c>
      <c r="S42">
        <v>0</v>
      </c>
      <c r="T42" t="s">
        <v>31</v>
      </c>
      <c r="U42" t="s">
        <v>37</v>
      </c>
      <c r="V42" t="s">
        <v>30</v>
      </c>
      <c r="W42" t="s">
        <v>38</v>
      </c>
      <c r="X42" t="s">
        <v>39</v>
      </c>
      <c r="Y42" t="s">
        <v>40</v>
      </c>
      <c r="Z42" t="s">
        <v>86</v>
      </c>
      <c r="AA42" t="s">
        <v>339</v>
      </c>
      <c r="AB42" t="s">
        <v>78</v>
      </c>
      <c r="AC42" t="s">
        <v>31</v>
      </c>
    </row>
    <row r="43" spans="1:29" x14ac:dyDescent="0.3">
      <c r="A43">
        <v>14.1</v>
      </c>
      <c r="B43" t="s">
        <v>353</v>
      </c>
      <c r="C43" t="s">
        <v>186</v>
      </c>
      <c r="D43" t="s">
        <v>31</v>
      </c>
      <c r="E43" t="s">
        <v>32</v>
      </c>
      <c r="F43" s="3">
        <v>45291</v>
      </c>
      <c r="G43">
        <v>2023</v>
      </c>
      <c r="H43" t="s">
        <v>44</v>
      </c>
      <c r="I43" t="s">
        <v>49</v>
      </c>
      <c r="K43">
        <v>15442</v>
      </c>
      <c r="L43">
        <v>15978</v>
      </c>
      <c r="M43">
        <v>1.034710529724129</v>
      </c>
      <c r="N43">
        <v>1.034710529724129</v>
      </c>
      <c r="O43" t="s">
        <v>35</v>
      </c>
      <c r="P43" t="s">
        <v>35</v>
      </c>
      <c r="Q43" t="s">
        <v>357</v>
      </c>
      <c r="R43">
        <v>0</v>
      </c>
      <c r="S43">
        <v>0</v>
      </c>
      <c r="T43" t="s">
        <v>443</v>
      </c>
      <c r="U43" t="s">
        <v>37</v>
      </c>
      <c r="V43" t="s">
        <v>30</v>
      </c>
      <c r="W43" t="s">
        <v>38</v>
      </c>
      <c r="X43" t="s">
        <v>39</v>
      </c>
      <c r="Y43" t="s">
        <v>40</v>
      </c>
      <c r="Z43" t="s">
        <v>86</v>
      </c>
      <c r="AA43" t="s">
        <v>339</v>
      </c>
      <c r="AB43" t="s">
        <v>78</v>
      </c>
      <c r="AC43" t="s">
        <v>31</v>
      </c>
    </row>
    <row r="44" spans="1:29" x14ac:dyDescent="0.3">
      <c r="A44">
        <v>14.1</v>
      </c>
      <c r="B44" t="s">
        <v>353</v>
      </c>
      <c r="C44" t="s">
        <v>186</v>
      </c>
      <c r="D44" t="s">
        <v>31</v>
      </c>
      <c r="E44" t="s">
        <v>32</v>
      </c>
      <c r="F44" s="3">
        <v>45473</v>
      </c>
      <c r="G44">
        <v>2024</v>
      </c>
      <c r="H44" t="s">
        <v>33</v>
      </c>
      <c r="I44" t="s">
        <v>51</v>
      </c>
      <c r="J44">
        <v>1</v>
      </c>
      <c r="K44">
        <v>8168</v>
      </c>
      <c r="L44">
        <v>8424</v>
      </c>
      <c r="M44">
        <v>1.031341821743389</v>
      </c>
      <c r="N44">
        <v>1.031341821743389</v>
      </c>
      <c r="O44" t="s">
        <v>35</v>
      </c>
      <c r="P44" t="s">
        <v>35</v>
      </c>
      <c r="Q44" t="s">
        <v>358</v>
      </c>
      <c r="R44">
        <v>0</v>
      </c>
      <c r="S44">
        <v>0</v>
      </c>
      <c r="T44" t="s">
        <v>31</v>
      </c>
      <c r="U44" t="s">
        <v>37</v>
      </c>
      <c r="V44" t="s">
        <v>30</v>
      </c>
      <c r="W44" t="s">
        <v>38</v>
      </c>
      <c r="X44" t="s">
        <v>39</v>
      </c>
      <c r="Y44" t="s">
        <v>40</v>
      </c>
      <c r="Z44" t="s">
        <v>86</v>
      </c>
      <c r="AA44" t="s">
        <v>339</v>
      </c>
      <c r="AB44" t="s">
        <v>78</v>
      </c>
      <c r="AC44" t="s">
        <v>31</v>
      </c>
    </row>
    <row r="45" spans="1:29" x14ac:dyDescent="0.3">
      <c r="A45">
        <v>14.1</v>
      </c>
      <c r="B45" t="s">
        <v>353</v>
      </c>
      <c r="C45" t="s">
        <v>186</v>
      </c>
      <c r="D45" t="s">
        <v>31</v>
      </c>
      <c r="E45" t="s">
        <v>32</v>
      </c>
      <c r="F45" s="3">
        <v>45657</v>
      </c>
      <c r="G45">
        <v>2024</v>
      </c>
      <c r="H45" t="s">
        <v>44</v>
      </c>
      <c r="I45" t="s">
        <v>53</v>
      </c>
      <c r="J45">
        <v>2</v>
      </c>
      <c r="K45">
        <v>7912</v>
      </c>
      <c r="L45">
        <v>8165</v>
      </c>
      <c r="M45">
        <v>1.031976744186047</v>
      </c>
      <c r="N45">
        <v>1.031976744186047</v>
      </c>
      <c r="O45" t="s">
        <v>35</v>
      </c>
      <c r="P45" t="s">
        <v>35</v>
      </c>
      <c r="Q45" t="s">
        <v>399</v>
      </c>
      <c r="R45">
        <v>0</v>
      </c>
      <c r="S45">
        <v>0</v>
      </c>
      <c r="T45" t="s">
        <v>31</v>
      </c>
      <c r="U45" t="s">
        <v>37</v>
      </c>
      <c r="V45" t="s">
        <v>30</v>
      </c>
      <c r="W45" t="s">
        <v>38</v>
      </c>
      <c r="X45" t="s">
        <v>39</v>
      </c>
      <c r="Y45" t="s">
        <v>40</v>
      </c>
      <c r="Z45" t="s">
        <v>86</v>
      </c>
      <c r="AA45" t="s">
        <v>339</v>
      </c>
      <c r="AB45" t="s">
        <v>78</v>
      </c>
      <c r="AC45" t="s">
        <v>31</v>
      </c>
    </row>
    <row r="46" spans="1:29" x14ac:dyDescent="0.3">
      <c r="A46">
        <v>14.1</v>
      </c>
      <c r="B46" t="s">
        <v>353</v>
      </c>
      <c r="C46" t="s">
        <v>186</v>
      </c>
      <c r="D46" t="s">
        <v>31</v>
      </c>
      <c r="E46" t="s">
        <v>32</v>
      </c>
      <c r="F46" s="3">
        <v>45657</v>
      </c>
      <c r="G46">
        <v>2024</v>
      </c>
      <c r="H46" t="s">
        <v>44</v>
      </c>
      <c r="I46" t="s">
        <v>53</v>
      </c>
      <c r="K46">
        <v>16080</v>
      </c>
      <c r="L46">
        <v>16589</v>
      </c>
      <c r="M46">
        <v>1.0316542288557209</v>
      </c>
      <c r="N46">
        <v>1.0316542288557209</v>
      </c>
      <c r="O46" t="s">
        <v>35</v>
      </c>
      <c r="P46" t="s">
        <v>35</v>
      </c>
      <c r="Q46" t="s">
        <v>399</v>
      </c>
      <c r="R46">
        <v>0</v>
      </c>
      <c r="S46">
        <v>0</v>
      </c>
      <c r="T46" t="s">
        <v>443</v>
      </c>
      <c r="U46" t="s">
        <v>37</v>
      </c>
      <c r="V46" t="s">
        <v>30</v>
      </c>
      <c r="W46" t="s">
        <v>38</v>
      </c>
      <c r="X46" t="s">
        <v>39</v>
      </c>
      <c r="Y46" t="s">
        <v>40</v>
      </c>
      <c r="Z46" t="s">
        <v>86</v>
      </c>
      <c r="AA46" t="s">
        <v>339</v>
      </c>
      <c r="AB46" t="s">
        <v>78</v>
      </c>
      <c r="AC46" t="s">
        <v>31</v>
      </c>
    </row>
    <row r="47" spans="1:29" x14ac:dyDescent="0.3">
      <c r="A47">
        <v>14.1</v>
      </c>
      <c r="B47" t="s">
        <v>353</v>
      </c>
      <c r="C47" t="s">
        <v>186</v>
      </c>
      <c r="D47" t="s">
        <v>31</v>
      </c>
      <c r="E47" t="s">
        <v>32</v>
      </c>
      <c r="F47" s="3">
        <v>45838</v>
      </c>
      <c r="G47">
        <v>2025</v>
      </c>
      <c r="H47" t="s">
        <v>33</v>
      </c>
      <c r="I47" t="s">
        <v>404</v>
      </c>
      <c r="J47">
        <v>1</v>
      </c>
      <c r="K47">
        <v>8471</v>
      </c>
      <c r="L47">
        <v>8743</v>
      </c>
      <c r="M47">
        <v>1.0321095502301969</v>
      </c>
      <c r="N47">
        <v>1.0321095502301969</v>
      </c>
      <c r="O47" t="s">
        <v>35</v>
      </c>
      <c r="P47" t="s">
        <v>35</v>
      </c>
      <c r="Q47" t="s">
        <v>414</v>
      </c>
      <c r="R47">
        <v>0</v>
      </c>
      <c r="S47">
        <v>0</v>
      </c>
      <c r="T47" t="s">
        <v>31</v>
      </c>
      <c r="U47" t="s">
        <v>37</v>
      </c>
      <c r="V47" t="s">
        <v>30</v>
      </c>
      <c r="W47" t="s">
        <v>38</v>
      </c>
      <c r="X47" t="s">
        <v>39</v>
      </c>
      <c r="Y47" t="s">
        <v>40</v>
      </c>
      <c r="Z47" t="s">
        <v>86</v>
      </c>
      <c r="AA47" t="s">
        <v>339</v>
      </c>
      <c r="AB47" t="s">
        <v>78</v>
      </c>
      <c r="AC47" t="s">
        <v>31</v>
      </c>
    </row>
    <row r="48" spans="1:29" x14ac:dyDescent="0.3">
      <c r="A48">
        <v>14.1</v>
      </c>
      <c r="B48" t="s">
        <v>353</v>
      </c>
      <c r="C48" t="s">
        <v>186</v>
      </c>
      <c r="D48" t="s">
        <v>31</v>
      </c>
      <c r="E48" t="s">
        <v>32</v>
      </c>
      <c r="F48" s="3">
        <v>46022</v>
      </c>
      <c r="G48">
        <v>2025</v>
      </c>
      <c r="H48" t="s">
        <v>44</v>
      </c>
      <c r="I48" t="s">
        <v>465</v>
      </c>
      <c r="J48">
        <v>2</v>
      </c>
      <c r="L48" s="4">
        <v>8742</v>
      </c>
      <c r="O48" t="s">
        <v>35</v>
      </c>
      <c r="P48" t="s">
        <v>35</v>
      </c>
      <c r="Q48" t="s">
        <v>482</v>
      </c>
      <c r="R48">
        <v>0</v>
      </c>
      <c r="S48">
        <v>0</v>
      </c>
      <c r="T48" t="s">
        <v>31</v>
      </c>
      <c r="U48" t="s">
        <v>37</v>
      </c>
      <c r="V48" t="s">
        <v>30</v>
      </c>
      <c r="W48" t="s">
        <v>38</v>
      </c>
      <c r="X48" t="s">
        <v>39</v>
      </c>
      <c r="Y48" t="s">
        <v>40</v>
      </c>
      <c r="Z48" t="s">
        <v>86</v>
      </c>
      <c r="AA48" t="s">
        <v>339</v>
      </c>
      <c r="AB48" t="s">
        <v>78</v>
      </c>
      <c r="AC48" t="s">
        <v>31</v>
      </c>
    </row>
    <row r="49" spans="1:29" x14ac:dyDescent="0.3">
      <c r="A49">
        <v>14.1</v>
      </c>
      <c r="B49" t="s">
        <v>353</v>
      </c>
      <c r="C49" t="s">
        <v>186</v>
      </c>
      <c r="D49" t="s">
        <v>31</v>
      </c>
      <c r="E49" t="s">
        <v>32</v>
      </c>
      <c r="F49" s="3">
        <v>46022</v>
      </c>
      <c r="G49">
        <v>2025</v>
      </c>
      <c r="H49" t="s">
        <v>44</v>
      </c>
      <c r="I49" t="s">
        <v>465</v>
      </c>
      <c r="L49">
        <v>17485</v>
      </c>
      <c r="M49">
        <v>1.0321095502301969</v>
      </c>
      <c r="N49">
        <v>1.0321095502301969</v>
      </c>
      <c r="O49" t="s">
        <v>35</v>
      </c>
      <c r="P49" t="s">
        <v>35</v>
      </c>
      <c r="Q49" t="s">
        <v>482</v>
      </c>
      <c r="R49">
        <v>0</v>
      </c>
      <c r="S49">
        <v>0</v>
      </c>
      <c r="T49" t="s">
        <v>443</v>
      </c>
      <c r="U49" t="s">
        <v>37</v>
      </c>
      <c r="V49" t="s">
        <v>30</v>
      </c>
      <c r="W49" t="s">
        <v>38</v>
      </c>
      <c r="X49" t="s">
        <v>39</v>
      </c>
      <c r="Y49" t="s">
        <v>40</v>
      </c>
      <c r="Z49" t="s">
        <v>86</v>
      </c>
      <c r="AA49" t="s">
        <v>339</v>
      </c>
      <c r="AB49" t="s">
        <v>78</v>
      </c>
      <c r="AC49" t="s">
        <v>31</v>
      </c>
    </row>
    <row r="50" spans="1:29" x14ac:dyDescent="0.3">
      <c r="A50">
        <v>14.2</v>
      </c>
      <c r="B50" t="s">
        <v>359</v>
      </c>
      <c r="C50" t="s">
        <v>30</v>
      </c>
      <c r="D50" t="s">
        <v>31</v>
      </c>
      <c r="E50" t="s">
        <v>32</v>
      </c>
      <c r="F50" s="3">
        <v>43281</v>
      </c>
      <c r="G50">
        <f t="shared" ref="G50:G61" si="8">YEAR(F50)</f>
        <v>2018</v>
      </c>
      <c r="H50" t="str">
        <f t="shared" ref="H50:H61" si="9">PROPER(TEXT(F50,"mmmm"))</f>
        <v>Junio</v>
      </c>
      <c r="I50" t="str">
        <f t="shared" ref="I50:I61" si="10">IF(H50="Junio",G50&amp;"-1",G50&amp;"-2")</f>
        <v>2018-1</v>
      </c>
      <c r="J50">
        <v>1</v>
      </c>
      <c r="L50" s="4">
        <v>39163</v>
      </c>
      <c r="O50" t="s">
        <v>35</v>
      </c>
      <c r="P50" t="s">
        <v>35</v>
      </c>
      <c r="Q50" t="str">
        <f t="shared" ref="Q50:Q61" si="11">MID(A50,1,2)&amp;"."&amp;RIGHT(A50,1)&amp;"-"&amp;TEXT(F50,"yyyy-mm-dd")</f>
        <v>14.2-2018-06-30</v>
      </c>
      <c r="R50">
        <v>0</v>
      </c>
      <c r="S50">
        <v>0</v>
      </c>
      <c r="T50" t="s">
        <v>31</v>
      </c>
      <c r="U50" t="s">
        <v>37</v>
      </c>
      <c r="V50" t="s">
        <v>30</v>
      </c>
      <c r="W50" t="s">
        <v>38</v>
      </c>
      <c r="X50" t="s">
        <v>39</v>
      </c>
      <c r="Y50" t="s">
        <v>40</v>
      </c>
      <c r="Z50" t="s">
        <v>86</v>
      </c>
      <c r="AA50" t="s">
        <v>339</v>
      </c>
      <c r="AB50" t="s">
        <v>78</v>
      </c>
      <c r="AC50" t="s">
        <v>31</v>
      </c>
    </row>
    <row r="51" spans="1:29" x14ac:dyDescent="0.3">
      <c r="A51">
        <v>14.2</v>
      </c>
      <c r="B51" t="s">
        <v>359</v>
      </c>
      <c r="C51" t="s">
        <v>186</v>
      </c>
      <c r="D51" t="s">
        <v>31</v>
      </c>
      <c r="E51" t="s">
        <v>32</v>
      </c>
      <c r="F51" s="3">
        <v>43465</v>
      </c>
      <c r="G51">
        <f t="shared" si="8"/>
        <v>2018</v>
      </c>
      <c r="H51" t="str">
        <f t="shared" si="9"/>
        <v>Diciembre</v>
      </c>
      <c r="I51" t="str">
        <f t="shared" si="10"/>
        <v>2018-2</v>
      </c>
      <c r="J51">
        <v>2</v>
      </c>
      <c r="L51" s="4">
        <v>40871</v>
      </c>
      <c r="O51" t="s">
        <v>35</v>
      </c>
      <c r="P51" t="s">
        <v>35</v>
      </c>
      <c r="Q51" t="str">
        <f t="shared" si="11"/>
        <v>14.2-2018-12-31</v>
      </c>
      <c r="R51">
        <v>0</v>
      </c>
      <c r="S51">
        <v>0</v>
      </c>
      <c r="T51" t="s">
        <v>31</v>
      </c>
      <c r="U51" t="s">
        <v>37</v>
      </c>
      <c r="V51" t="s">
        <v>30</v>
      </c>
      <c r="W51" t="s">
        <v>38</v>
      </c>
      <c r="X51" t="s">
        <v>39</v>
      </c>
      <c r="Y51" t="s">
        <v>40</v>
      </c>
      <c r="Z51" t="s">
        <v>86</v>
      </c>
      <c r="AA51" t="s">
        <v>339</v>
      </c>
      <c r="AB51" t="s">
        <v>78</v>
      </c>
      <c r="AC51" t="s">
        <v>31</v>
      </c>
    </row>
    <row r="52" spans="1:29" x14ac:dyDescent="0.3">
      <c r="A52">
        <v>14.2</v>
      </c>
      <c r="B52" t="s">
        <v>359</v>
      </c>
      <c r="C52" t="s">
        <v>186</v>
      </c>
      <c r="D52" t="s">
        <v>31</v>
      </c>
      <c r="E52" t="s">
        <v>32</v>
      </c>
      <c r="F52" s="3">
        <v>43465</v>
      </c>
      <c r="G52">
        <f t="shared" si="8"/>
        <v>2018</v>
      </c>
      <c r="H52" t="str">
        <f t="shared" si="9"/>
        <v>Diciembre</v>
      </c>
      <c r="I52" t="str">
        <f t="shared" si="10"/>
        <v>2018-2</v>
      </c>
      <c r="L52">
        <v>80034</v>
      </c>
      <c r="O52" t="s">
        <v>35</v>
      </c>
      <c r="P52" t="s">
        <v>35</v>
      </c>
      <c r="Q52" t="str">
        <f t="shared" si="11"/>
        <v>14.2-2018-12-31</v>
      </c>
      <c r="R52">
        <v>0</v>
      </c>
      <c r="S52">
        <v>0</v>
      </c>
      <c r="T52" t="s">
        <v>443</v>
      </c>
      <c r="U52" t="s">
        <v>37</v>
      </c>
      <c r="V52" t="s">
        <v>30</v>
      </c>
      <c r="W52" t="s">
        <v>38</v>
      </c>
      <c r="X52" t="s">
        <v>39</v>
      </c>
      <c r="Y52" t="s">
        <v>40</v>
      </c>
      <c r="Z52" t="s">
        <v>86</v>
      </c>
      <c r="AA52" t="s">
        <v>339</v>
      </c>
      <c r="AB52" t="s">
        <v>78</v>
      </c>
      <c r="AC52" t="s">
        <v>31</v>
      </c>
    </row>
    <row r="53" spans="1:29" x14ac:dyDescent="0.3">
      <c r="A53">
        <v>14.2</v>
      </c>
      <c r="B53" t="s">
        <v>359</v>
      </c>
      <c r="C53" t="s">
        <v>30</v>
      </c>
      <c r="D53" t="s">
        <v>31</v>
      </c>
      <c r="E53" t="s">
        <v>32</v>
      </c>
      <c r="F53" s="3">
        <v>43646</v>
      </c>
      <c r="G53">
        <f t="shared" si="8"/>
        <v>2019</v>
      </c>
      <c r="H53" t="str">
        <f t="shared" si="9"/>
        <v>Junio</v>
      </c>
      <c r="I53" t="str">
        <f t="shared" si="10"/>
        <v>2019-1</v>
      </c>
      <c r="J53">
        <v>1</v>
      </c>
      <c r="L53" s="4">
        <v>44631</v>
      </c>
      <c r="O53" t="s">
        <v>35</v>
      </c>
      <c r="P53" t="s">
        <v>35</v>
      </c>
      <c r="Q53" t="str">
        <f t="shared" si="11"/>
        <v>14.2-2019-06-30</v>
      </c>
      <c r="R53">
        <v>0</v>
      </c>
      <c r="S53">
        <v>0</v>
      </c>
      <c r="T53" t="s">
        <v>31</v>
      </c>
      <c r="U53" t="s">
        <v>37</v>
      </c>
      <c r="V53" t="s">
        <v>30</v>
      </c>
      <c r="W53" t="s">
        <v>38</v>
      </c>
      <c r="X53" t="s">
        <v>39</v>
      </c>
      <c r="Y53" t="s">
        <v>40</v>
      </c>
      <c r="Z53" t="s">
        <v>86</v>
      </c>
      <c r="AA53" t="s">
        <v>339</v>
      </c>
      <c r="AB53" t="s">
        <v>78</v>
      </c>
      <c r="AC53" t="s">
        <v>31</v>
      </c>
    </row>
    <row r="54" spans="1:29" x14ac:dyDescent="0.3">
      <c r="A54">
        <v>14.2</v>
      </c>
      <c r="B54" t="s">
        <v>359</v>
      </c>
      <c r="C54" t="s">
        <v>186</v>
      </c>
      <c r="D54" t="s">
        <v>31</v>
      </c>
      <c r="E54" t="s">
        <v>32</v>
      </c>
      <c r="F54" s="3">
        <v>43830</v>
      </c>
      <c r="G54">
        <f t="shared" si="8"/>
        <v>2019</v>
      </c>
      <c r="H54" t="str">
        <f t="shared" si="9"/>
        <v>Diciembre</v>
      </c>
      <c r="I54" t="str">
        <f t="shared" si="10"/>
        <v>2019-2</v>
      </c>
      <c r="J54">
        <v>2</v>
      </c>
      <c r="L54" s="4">
        <v>43611</v>
      </c>
      <c r="O54" t="s">
        <v>35</v>
      </c>
      <c r="P54" t="s">
        <v>35</v>
      </c>
      <c r="Q54" t="str">
        <f t="shared" si="11"/>
        <v>14.2-2019-12-31</v>
      </c>
      <c r="R54">
        <v>0</v>
      </c>
      <c r="S54">
        <v>0</v>
      </c>
      <c r="T54" t="s">
        <v>31</v>
      </c>
      <c r="U54" t="s">
        <v>37</v>
      </c>
      <c r="V54" t="s">
        <v>30</v>
      </c>
      <c r="W54" t="s">
        <v>38</v>
      </c>
      <c r="X54" t="s">
        <v>39</v>
      </c>
      <c r="Y54" t="s">
        <v>40</v>
      </c>
      <c r="Z54" t="s">
        <v>86</v>
      </c>
      <c r="AA54" t="s">
        <v>339</v>
      </c>
      <c r="AB54" t="s">
        <v>78</v>
      </c>
      <c r="AC54" t="s">
        <v>31</v>
      </c>
    </row>
    <row r="55" spans="1:29" x14ac:dyDescent="0.3">
      <c r="A55">
        <v>14.2</v>
      </c>
      <c r="B55" t="s">
        <v>359</v>
      </c>
      <c r="C55" t="s">
        <v>186</v>
      </c>
      <c r="D55" t="s">
        <v>31</v>
      </c>
      <c r="E55" t="s">
        <v>32</v>
      </c>
      <c r="F55" s="3">
        <v>43830</v>
      </c>
      <c r="G55">
        <f t="shared" si="8"/>
        <v>2019</v>
      </c>
      <c r="H55" t="str">
        <f t="shared" si="9"/>
        <v>Diciembre</v>
      </c>
      <c r="I55" t="str">
        <f t="shared" si="10"/>
        <v>2019-2</v>
      </c>
      <c r="L55">
        <v>88242</v>
      </c>
      <c r="O55" t="s">
        <v>35</v>
      </c>
      <c r="P55" t="s">
        <v>35</v>
      </c>
      <c r="Q55" t="str">
        <f t="shared" si="11"/>
        <v>14.2-2019-12-31</v>
      </c>
      <c r="R55">
        <v>0</v>
      </c>
      <c r="S55">
        <v>0</v>
      </c>
      <c r="T55" t="s">
        <v>443</v>
      </c>
      <c r="U55" t="s">
        <v>37</v>
      </c>
      <c r="V55" t="s">
        <v>30</v>
      </c>
      <c r="W55" t="s">
        <v>38</v>
      </c>
      <c r="X55" t="s">
        <v>39</v>
      </c>
      <c r="Y55" t="s">
        <v>40</v>
      </c>
      <c r="Z55" t="s">
        <v>86</v>
      </c>
      <c r="AA55" t="s">
        <v>339</v>
      </c>
      <c r="AB55" t="s">
        <v>78</v>
      </c>
      <c r="AC55" t="s">
        <v>31</v>
      </c>
    </row>
    <row r="56" spans="1:29" x14ac:dyDescent="0.3">
      <c r="A56">
        <v>14.2</v>
      </c>
      <c r="B56" t="s">
        <v>359</v>
      </c>
      <c r="C56" t="s">
        <v>30</v>
      </c>
      <c r="D56" t="s">
        <v>31</v>
      </c>
      <c r="E56" t="s">
        <v>32</v>
      </c>
      <c r="F56" s="3">
        <v>44012</v>
      </c>
      <c r="G56">
        <f t="shared" si="8"/>
        <v>2020</v>
      </c>
      <c r="H56" t="str">
        <f t="shared" si="9"/>
        <v>Junio</v>
      </c>
      <c r="I56" t="str">
        <f t="shared" si="10"/>
        <v>2020-1</v>
      </c>
      <c r="J56">
        <v>1</v>
      </c>
      <c r="L56" s="4">
        <v>45713</v>
      </c>
      <c r="O56" t="s">
        <v>35</v>
      </c>
      <c r="P56" t="s">
        <v>35</v>
      </c>
      <c r="Q56" t="str">
        <f t="shared" si="11"/>
        <v>14.2-2020-06-30</v>
      </c>
      <c r="R56">
        <v>0</v>
      </c>
      <c r="S56">
        <v>0</v>
      </c>
      <c r="T56" t="s">
        <v>31</v>
      </c>
      <c r="U56" t="s">
        <v>37</v>
      </c>
      <c r="V56" t="s">
        <v>30</v>
      </c>
      <c r="W56" t="s">
        <v>38</v>
      </c>
      <c r="X56" t="s">
        <v>39</v>
      </c>
      <c r="Y56" t="s">
        <v>40</v>
      </c>
      <c r="Z56" t="s">
        <v>86</v>
      </c>
      <c r="AA56" t="s">
        <v>339</v>
      </c>
      <c r="AB56" t="s">
        <v>78</v>
      </c>
      <c r="AC56" t="s">
        <v>31</v>
      </c>
    </row>
    <row r="57" spans="1:29" x14ac:dyDescent="0.3">
      <c r="A57">
        <v>14.2</v>
      </c>
      <c r="B57" t="s">
        <v>359</v>
      </c>
      <c r="C57" t="s">
        <v>186</v>
      </c>
      <c r="D57" t="s">
        <v>31</v>
      </c>
      <c r="E57" t="s">
        <v>32</v>
      </c>
      <c r="F57" s="3">
        <v>44196</v>
      </c>
      <c r="G57">
        <f t="shared" si="8"/>
        <v>2020</v>
      </c>
      <c r="H57" t="str">
        <f t="shared" si="9"/>
        <v>Diciembre</v>
      </c>
      <c r="I57" t="str">
        <f t="shared" si="10"/>
        <v>2020-2</v>
      </c>
      <c r="J57">
        <v>2</v>
      </c>
      <c r="L57" s="4">
        <v>43447</v>
      </c>
      <c r="O57" t="s">
        <v>35</v>
      </c>
      <c r="P57" t="s">
        <v>35</v>
      </c>
      <c r="Q57" t="str">
        <f t="shared" si="11"/>
        <v>14.2-2020-12-31</v>
      </c>
      <c r="R57">
        <v>0</v>
      </c>
      <c r="S57">
        <v>0</v>
      </c>
      <c r="T57" t="s">
        <v>31</v>
      </c>
      <c r="U57" t="s">
        <v>37</v>
      </c>
      <c r="V57" t="s">
        <v>30</v>
      </c>
      <c r="W57" t="s">
        <v>38</v>
      </c>
      <c r="X57" t="s">
        <v>39</v>
      </c>
      <c r="Y57" t="s">
        <v>40</v>
      </c>
      <c r="Z57" t="s">
        <v>86</v>
      </c>
      <c r="AA57" t="s">
        <v>339</v>
      </c>
      <c r="AB57" t="s">
        <v>78</v>
      </c>
      <c r="AC57" t="s">
        <v>31</v>
      </c>
    </row>
    <row r="58" spans="1:29" x14ac:dyDescent="0.3">
      <c r="A58">
        <v>14.2</v>
      </c>
      <c r="B58" t="s">
        <v>359</v>
      </c>
      <c r="C58" t="s">
        <v>186</v>
      </c>
      <c r="D58" t="s">
        <v>31</v>
      </c>
      <c r="E58" t="s">
        <v>32</v>
      </c>
      <c r="F58" s="3">
        <v>44196</v>
      </c>
      <c r="G58">
        <f t="shared" si="8"/>
        <v>2020</v>
      </c>
      <c r="H58" t="str">
        <f t="shared" si="9"/>
        <v>Diciembre</v>
      </c>
      <c r="I58" t="str">
        <f t="shared" si="10"/>
        <v>2020-2</v>
      </c>
      <c r="L58">
        <v>89160</v>
      </c>
      <c r="O58" t="s">
        <v>35</v>
      </c>
      <c r="P58" t="s">
        <v>35</v>
      </c>
      <c r="Q58" t="str">
        <f t="shared" si="11"/>
        <v>14.2-2020-12-31</v>
      </c>
      <c r="R58">
        <v>0</v>
      </c>
      <c r="S58">
        <v>0</v>
      </c>
      <c r="T58" t="s">
        <v>443</v>
      </c>
      <c r="U58" t="s">
        <v>37</v>
      </c>
      <c r="V58" t="s">
        <v>30</v>
      </c>
      <c r="W58" t="s">
        <v>38</v>
      </c>
      <c r="X58" t="s">
        <v>39</v>
      </c>
      <c r="Y58" t="s">
        <v>40</v>
      </c>
      <c r="Z58" t="s">
        <v>86</v>
      </c>
      <c r="AA58" t="s">
        <v>339</v>
      </c>
      <c r="AB58" t="s">
        <v>78</v>
      </c>
      <c r="AC58" t="s">
        <v>31</v>
      </c>
    </row>
    <row r="59" spans="1:29" x14ac:dyDescent="0.3">
      <c r="A59">
        <v>14.2</v>
      </c>
      <c r="B59" t="s">
        <v>359</v>
      </c>
      <c r="C59" t="s">
        <v>30</v>
      </c>
      <c r="D59" t="s">
        <v>31</v>
      </c>
      <c r="E59" t="s">
        <v>32</v>
      </c>
      <c r="F59" s="3">
        <v>44377</v>
      </c>
      <c r="G59">
        <f t="shared" si="8"/>
        <v>2021</v>
      </c>
      <c r="H59" t="str">
        <f t="shared" si="9"/>
        <v>Junio</v>
      </c>
      <c r="I59" t="str">
        <f t="shared" si="10"/>
        <v>2021-1</v>
      </c>
      <c r="J59">
        <v>1</v>
      </c>
      <c r="L59" s="4">
        <v>43569</v>
      </c>
      <c r="O59" t="s">
        <v>35</v>
      </c>
      <c r="P59" t="s">
        <v>35</v>
      </c>
      <c r="Q59" t="str">
        <f t="shared" si="11"/>
        <v>14.2-2021-06-30</v>
      </c>
      <c r="R59">
        <v>0</v>
      </c>
      <c r="S59">
        <v>0</v>
      </c>
      <c r="T59" t="s">
        <v>31</v>
      </c>
      <c r="U59" t="s">
        <v>37</v>
      </c>
      <c r="V59" t="s">
        <v>30</v>
      </c>
      <c r="W59" t="s">
        <v>38</v>
      </c>
      <c r="X59" t="s">
        <v>39</v>
      </c>
      <c r="Y59" t="s">
        <v>40</v>
      </c>
      <c r="Z59" t="s">
        <v>86</v>
      </c>
      <c r="AA59" t="s">
        <v>339</v>
      </c>
      <c r="AB59" t="s">
        <v>78</v>
      </c>
      <c r="AC59" t="s">
        <v>31</v>
      </c>
    </row>
    <row r="60" spans="1:29" x14ac:dyDescent="0.3">
      <c r="A60">
        <v>14.2</v>
      </c>
      <c r="B60" t="s">
        <v>359</v>
      </c>
      <c r="C60" t="s">
        <v>186</v>
      </c>
      <c r="D60" t="s">
        <v>31</v>
      </c>
      <c r="E60" t="s">
        <v>32</v>
      </c>
      <c r="F60" s="3">
        <v>44561</v>
      </c>
      <c r="G60">
        <f t="shared" si="8"/>
        <v>2021</v>
      </c>
      <c r="H60" t="str">
        <f t="shared" si="9"/>
        <v>Diciembre</v>
      </c>
      <c r="I60" t="str">
        <f t="shared" si="10"/>
        <v>2021-2</v>
      </c>
      <c r="J60">
        <v>2</v>
      </c>
      <c r="L60" s="4">
        <v>41540</v>
      </c>
      <c r="O60" t="s">
        <v>35</v>
      </c>
      <c r="P60" t="s">
        <v>35</v>
      </c>
      <c r="Q60" t="str">
        <f t="shared" si="11"/>
        <v>14.2-2021-12-31</v>
      </c>
      <c r="R60">
        <v>0</v>
      </c>
      <c r="S60">
        <v>0</v>
      </c>
      <c r="T60" t="s">
        <v>31</v>
      </c>
      <c r="U60" t="s">
        <v>37</v>
      </c>
      <c r="V60" t="s">
        <v>30</v>
      </c>
      <c r="W60" t="s">
        <v>38</v>
      </c>
      <c r="X60" t="s">
        <v>39</v>
      </c>
      <c r="Y60" t="s">
        <v>40</v>
      </c>
      <c r="Z60" t="s">
        <v>86</v>
      </c>
      <c r="AA60" t="s">
        <v>339</v>
      </c>
      <c r="AB60" t="s">
        <v>78</v>
      </c>
      <c r="AC60" t="s">
        <v>31</v>
      </c>
    </row>
    <row r="61" spans="1:29" x14ac:dyDescent="0.3">
      <c r="A61">
        <v>14.2</v>
      </c>
      <c r="B61" t="s">
        <v>359</v>
      </c>
      <c r="C61" t="s">
        <v>186</v>
      </c>
      <c r="D61" t="s">
        <v>31</v>
      </c>
      <c r="E61" t="s">
        <v>32</v>
      </c>
      <c r="F61" s="3">
        <v>44561</v>
      </c>
      <c r="G61">
        <f t="shared" si="8"/>
        <v>2021</v>
      </c>
      <c r="H61" t="str">
        <f t="shared" si="9"/>
        <v>Diciembre</v>
      </c>
      <c r="I61" t="str">
        <f t="shared" si="10"/>
        <v>2021-2</v>
      </c>
      <c r="L61">
        <v>85109</v>
      </c>
      <c r="O61" t="s">
        <v>35</v>
      </c>
      <c r="P61" t="s">
        <v>35</v>
      </c>
      <c r="Q61" t="str">
        <f t="shared" si="11"/>
        <v>14.2-2021-12-31</v>
      </c>
      <c r="R61">
        <v>0</v>
      </c>
      <c r="S61">
        <v>0</v>
      </c>
      <c r="T61" t="s">
        <v>443</v>
      </c>
      <c r="U61" t="s">
        <v>37</v>
      </c>
      <c r="V61" t="s">
        <v>30</v>
      </c>
      <c r="W61" t="s">
        <v>38</v>
      </c>
      <c r="X61" t="s">
        <v>39</v>
      </c>
      <c r="Y61" t="s">
        <v>40</v>
      </c>
      <c r="Z61" t="s">
        <v>86</v>
      </c>
      <c r="AA61" t="s">
        <v>339</v>
      </c>
      <c r="AB61" t="s">
        <v>78</v>
      </c>
      <c r="AC61" t="s">
        <v>31</v>
      </c>
    </row>
    <row r="62" spans="1:29" x14ac:dyDescent="0.3">
      <c r="A62">
        <v>14.2</v>
      </c>
      <c r="B62" t="s">
        <v>359</v>
      </c>
      <c r="C62" t="s">
        <v>30</v>
      </c>
      <c r="D62" t="s">
        <v>31</v>
      </c>
      <c r="E62" t="s">
        <v>32</v>
      </c>
      <c r="F62" s="3">
        <v>44742</v>
      </c>
      <c r="G62">
        <v>2022</v>
      </c>
      <c r="H62" t="s">
        <v>33</v>
      </c>
      <c r="I62" t="s">
        <v>34</v>
      </c>
      <c r="J62">
        <v>1</v>
      </c>
      <c r="K62">
        <v>42889</v>
      </c>
      <c r="L62">
        <v>43361</v>
      </c>
      <c r="M62">
        <v>1.010958520832848</v>
      </c>
      <c r="N62">
        <v>1.010958520832848</v>
      </c>
      <c r="O62" t="s">
        <v>35</v>
      </c>
      <c r="P62" t="s">
        <v>35</v>
      </c>
      <c r="Q62" t="s">
        <v>360</v>
      </c>
      <c r="R62">
        <v>0</v>
      </c>
      <c r="S62">
        <v>0</v>
      </c>
      <c r="T62" t="s">
        <v>31</v>
      </c>
      <c r="U62" t="s">
        <v>37</v>
      </c>
      <c r="V62" t="s">
        <v>30</v>
      </c>
      <c r="W62" t="s">
        <v>38</v>
      </c>
      <c r="X62" t="s">
        <v>39</v>
      </c>
      <c r="Y62" t="s">
        <v>40</v>
      </c>
      <c r="Z62" t="s">
        <v>86</v>
      </c>
      <c r="AA62" t="s">
        <v>339</v>
      </c>
      <c r="AB62" t="s">
        <v>78</v>
      </c>
      <c r="AC62" t="s">
        <v>31</v>
      </c>
    </row>
    <row r="63" spans="1:29" x14ac:dyDescent="0.3">
      <c r="A63">
        <v>14.2</v>
      </c>
      <c r="B63" t="s">
        <v>359</v>
      </c>
      <c r="C63" t="s">
        <v>30</v>
      </c>
      <c r="D63" t="s">
        <v>31</v>
      </c>
      <c r="E63" t="s">
        <v>32</v>
      </c>
      <c r="F63" s="3">
        <v>44926</v>
      </c>
      <c r="G63">
        <v>2022</v>
      </c>
      <c r="H63" t="s">
        <v>44</v>
      </c>
      <c r="I63" t="s">
        <v>45</v>
      </c>
      <c r="J63">
        <v>2</v>
      </c>
      <c r="K63">
        <v>42274</v>
      </c>
      <c r="L63">
        <v>42702</v>
      </c>
      <c r="M63">
        <v>1.0100534607560201</v>
      </c>
      <c r="N63">
        <v>1.0100534607560201</v>
      </c>
      <c r="O63" t="s">
        <v>35</v>
      </c>
      <c r="P63" t="s">
        <v>35</v>
      </c>
      <c r="Q63" t="s">
        <v>361</v>
      </c>
      <c r="R63">
        <v>0</v>
      </c>
      <c r="S63">
        <v>0</v>
      </c>
      <c r="T63" t="s">
        <v>31</v>
      </c>
      <c r="U63" t="s">
        <v>37</v>
      </c>
      <c r="V63" t="s">
        <v>30</v>
      </c>
      <c r="W63" t="s">
        <v>38</v>
      </c>
      <c r="X63" t="s">
        <v>39</v>
      </c>
      <c r="Y63" t="s">
        <v>40</v>
      </c>
      <c r="Z63" t="s">
        <v>86</v>
      </c>
      <c r="AA63" t="s">
        <v>339</v>
      </c>
      <c r="AB63" t="s">
        <v>78</v>
      </c>
      <c r="AC63" t="s">
        <v>31</v>
      </c>
    </row>
    <row r="64" spans="1:29" x14ac:dyDescent="0.3">
      <c r="A64">
        <v>14.2</v>
      </c>
      <c r="B64" t="s">
        <v>359</v>
      </c>
      <c r="C64" t="s">
        <v>30</v>
      </c>
      <c r="D64" t="s">
        <v>31</v>
      </c>
      <c r="E64" t="s">
        <v>32</v>
      </c>
      <c r="F64" s="3">
        <v>44926</v>
      </c>
      <c r="G64">
        <v>2022</v>
      </c>
      <c r="H64" t="s">
        <v>44</v>
      </c>
      <c r="I64" t="s">
        <v>45</v>
      </c>
      <c r="K64">
        <v>85163</v>
      </c>
      <c r="L64">
        <v>86063</v>
      </c>
      <c r="M64">
        <v>1.010509258715639</v>
      </c>
      <c r="N64">
        <v>1.010509258715639</v>
      </c>
      <c r="O64" t="s">
        <v>35</v>
      </c>
      <c r="P64" t="s">
        <v>35</v>
      </c>
      <c r="Q64" t="s">
        <v>361</v>
      </c>
      <c r="R64">
        <v>0</v>
      </c>
      <c r="S64">
        <v>0</v>
      </c>
      <c r="T64" t="s">
        <v>443</v>
      </c>
      <c r="U64" t="s">
        <v>37</v>
      </c>
      <c r="V64" t="s">
        <v>30</v>
      </c>
      <c r="W64" t="s">
        <v>38</v>
      </c>
      <c r="X64" t="s">
        <v>39</v>
      </c>
      <c r="Y64" t="s">
        <v>40</v>
      </c>
      <c r="Z64" t="s">
        <v>86</v>
      </c>
      <c r="AA64" t="s">
        <v>339</v>
      </c>
      <c r="AB64" t="s">
        <v>78</v>
      </c>
      <c r="AC64" t="s">
        <v>31</v>
      </c>
    </row>
    <row r="65" spans="1:29" x14ac:dyDescent="0.3">
      <c r="A65">
        <v>14.2</v>
      </c>
      <c r="B65" t="s">
        <v>359</v>
      </c>
      <c r="C65" t="s">
        <v>30</v>
      </c>
      <c r="D65" t="s">
        <v>31</v>
      </c>
      <c r="E65" t="s">
        <v>32</v>
      </c>
      <c r="F65" s="3">
        <v>45107</v>
      </c>
      <c r="G65">
        <v>2023</v>
      </c>
      <c r="H65" t="s">
        <v>33</v>
      </c>
      <c r="I65" t="s">
        <v>47</v>
      </c>
      <c r="J65">
        <v>1</v>
      </c>
      <c r="K65">
        <v>44355</v>
      </c>
      <c r="L65">
        <v>43561</v>
      </c>
      <c r="M65">
        <v>0.98209897418554837</v>
      </c>
      <c r="N65">
        <v>0.98209897418554837</v>
      </c>
      <c r="O65" t="s">
        <v>35</v>
      </c>
      <c r="P65" t="s">
        <v>35</v>
      </c>
      <c r="Q65" t="s">
        <v>362</v>
      </c>
      <c r="R65">
        <v>0</v>
      </c>
      <c r="S65">
        <v>0</v>
      </c>
      <c r="T65" t="s">
        <v>31</v>
      </c>
      <c r="U65" t="s">
        <v>37</v>
      </c>
      <c r="V65" t="s">
        <v>30</v>
      </c>
      <c r="W65" t="s">
        <v>38</v>
      </c>
      <c r="X65" t="s">
        <v>39</v>
      </c>
      <c r="Y65" t="s">
        <v>40</v>
      </c>
      <c r="Z65" t="s">
        <v>86</v>
      </c>
      <c r="AA65" t="s">
        <v>339</v>
      </c>
      <c r="AB65" t="s">
        <v>78</v>
      </c>
      <c r="AC65" t="s">
        <v>31</v>
      </c>
    </row>
    <row r="66" spans="1:29" x14ac:dyDescent="0.3">
      <c r="A66">
        <v>14.2</v>
      </c>
      <c r="B66" t="s">
        <v>359</v>
      </c>
      <c r="C66" t="s">
        <v>186</v>
      </c>
      <c r="D66" t="s">
        <v>31</v>
      </c>
      <c r="E66" t="s">
        <v>32</v>
      </c>
      <c r="F66" s="3">
        <v>45291</v>
      </c>
      <c r="G66">
        <v>2023</v>
      </c>
      <c r="H66" t="s">
        <v>44</v>
      </c>
      <c r="I66" t="s">
        <v>49</v>
      </c>
      <c r="J66">
        <v>2</v>
      </c>
      <c r="K66">
        <v>44067</v>
      </c>
      <c r="L66">
        <v>43309</v>
      </c>
      <c r="M66">
        <v>0.98277622710872081</v>
      </c>
      <c r="N66">
        <v>0.98277622710872081</v>
      </c>
      <c r="O66" t="s">
        <v>35</v>
      </c>
      <c r="P66" t="s">
        <v>35</v>
      </c>
      <c r="Q66" t="s">
        <v>363</v>
      </c>
      <c r="R66">
        <v>0</v>
      </c>
      <c r="S66">
        <v>0</v>
      </c>
      <c r="T66" t="s">
        <v>31</v>
      </c>
      <c r="U66" t="s">
        <v>37</v>
      </c>
      <c r="V66" t="s">
        <v>30</v>
      </c>
      <c r="W66" t="s">
        <v>38</v>
      </c>
      <c r="X66" t="s">
        <v>39</v>
      </c>
      <c r="Y66" t="s">
        <v>40</v>
      </c>
      <c r="Z66" t="s">
        <v>86</v>
      </c>
      <c r="AA66" t="s">
        <v>339</v>
      </c>
      <c r="AB66" t="s">
        <v>78</v>
      </c>
      <c r="AC66" t="s">
        <v>31</v>
      </c>
    </row>
    <row r="67" spans="1:29" x14ac:dyDescent="0.3">
      <c r="A67">
        <v>14.2</v>
      </c>
      <c r="B67" t="s">
        <v>359</v>
      </c>
      <c r="C67" t="s">
        <v>186</v>
      </c>
      <c r="D67" t="s">
        <v>31</v>
      </c>
      <c r="E67" t="s">
        <v>32</v>
      </c>
      <c r="F67" s="3">
        <v>45291</v>
      </c>
      <c r="G67">
        <v>2023</v>
      </c>
      <c r="H67" t="s">
        <v>44</v>
      </c>
      <c r="I67" t="s">
        <v>49</v>
      </c>
      <c r="K67">
        <v>88422</v>
      </c>
      <c r="L67">
        <v>86870</v>
      </c>
      <c r="M67">
        <v>0.98243649770419128</v>
      </c>
      <c r="N67">
        <v>0.98243649770419128</v>
      </c>
      <c r="O67" t="s">
        <v>35</v>
      </c>
      <c r="P67" t="s">
        <v>35</v>
      </c>
      <c r="Q67" t="s">
        <v>363</v>
      </c>
      <c r="R67">
        <v>0</v>
      </c>
      <c r="S67">
        <v>0</v>
      </c>
      <c r="T67" t="s">
        <v>443</v>
      </c>
      <c r="U67" t="s">
        <v>37</v>
      </c>
      <c r="V67" t="s">
        <v>30</v>
      </c>
      <c r="W67" t="s">
        <v>38</v>
      </c>
      <c r="X67" t="s">
        <v>39</v>
      </c>
      <c r="Y67" t="s">
        <v>40</v>
      </c>
      <c r="Z67" t="s">
        <v>86</v>
      </c>
      <c r="AA67" t="s">
        <v>339</v>
      </c>
      <c r="AB67" t="s">
        <v>78</v>
      </c>
      <c r="AC67" t="s">
        <v>31</v>
      </c>
    </row>
    <row r="68" spans="1:29" x14ac:dyDescent="0.3">
      <c r="A68">
        <v>14.2</v>
      </c>
      <c r="B68" t="s">
        <v>359</v>
      </c>
      <c r="C68" t="s">
        <v>186</v>
      </c>
      <c r="D68" t="s">
        <v>31</v>
      </c>
      <c r="E68" t="s">
        <v>32</v>
      </c>
      <c r="F68" s="3">
        <v>45473</v>
      </c>
      <c r="G68">
        <v>2024</v>
      </c>
      <c r="H68" t="s">
        <v>33</v>
      </c>
      <c r="I68" t="s">
        <v>51</v>
      </c>
      <c r="J68">
        <v>1</v>
      </c>
      <c r="K68">
        <v>44235</v>
      </c>
      <c r="L68">
        <v>44161</v>
      </c>
      <c r="M68">
        <v>0.99832711653667905</v>
      </c>
      <c r="N68">
        <v>1.0007686047563069</v>
      </c>
      <c r="O68" t="s">
        <v>35</v>
      </c>
      <c r="P68" t="s">
        <v>35</v>
      </c>
      <c r="Q68" t="s">
        <v>364</v>
      </c>
      <c r="R68">
        <v>0</v>
      </c>
      <c r="S68">
        <v>0</v>
      </c>
      <c r="T68" t="s">
        <v>31</v>
      </c>
      <c r="U68" t="s">
        <v>37</v>
      </c>
      <c r="V68" t="s">
        <v>30</v>
      </c>
      <c r="W68" t="s">
        <v>38</v>
      </c>
      <c r="X68" t="s">
        <v>39</v>
      </c>
      <c r="Y68" t="s">
        <v>40</v>
      </c>
      <c r="Z68" t="s">
        <v>86</v>
      </c>
      <c r="AA68" t="s">
        <v>339</v>
      </c>
      <c r="AB68" t="s">
        <v>78</v>
      </c>
      <c r="AC68" t="s">
        <v>31</v>
      </c>
    </row>
    <row r="69" spans="1:29" x14ac:dyDescent="0.3">
      <c r="A69">
        <v>14.2</v>
      </c>
      <c r="B69" t="s">
        <v>359</v>
      </c>
      <c r="C69" t="s">
        <v>186</v>
      </c>
      <c r="D69" t="s">
        <v>31</v>
      </c>
      <c r="E69" t="s">
        <v>32</v>
      </c>
      <c r="F69" s="3">
        <v>45657</v>
      </c>
      <c r="G69">
        <v>2024</v>
      </c>
      <c r="H69" t="s">
        <v>44</v>
      </c>
      <c r="I69" t="s">
        <v>53</v>
      </c>
      <c r="J69">
        <v>2</v>
      </c>
      <c r="K69">
        <v>43204</v>
      </c>
      <c r="L69">
        <v>43840</v>
      </c>
      <c r="M69">
        <v>1.0147208591797059</v>
      </c>
      <c r="N69">
        <v>1.0007686047563069</v>
      </c>
      <c r="O69" t="s">
        <v>35</v>
      </c>
      <c r="P69" t="s">
        <v>35</v>
      </c>
      <c r="Q69" t="s">
        <v>400</v>
      </c>
      <c r="R69">
        <v>0</v>
      </c>
      <c r="S69">
        <v>0</v>
      </c>
      <c r="T69" t="s">
        <v>31</v>
      </c>
      <c r="U69" t="s">
        <v>37</v>
      </c>
      <c r="V69" t="s">
        <v>30</v>
      </c>
      <c r="W69" t="s">
        <v>38</v>
      </c>
      <c r="X69" t="s">
        <v>39</v>
      </c>
      <c r="Y69" t="s">
        <v>40</v>
      </c>
      <c r="Z69" t="s">
        <v>86</v>
      </c>
      <c r="AA69" t="s">
        <v>339</v>
      </c>
      <c r="AB69" t="s">
        <v>78</v>
      </c>
      <c r="AC69" t="s">
        <v>31</v>
      </c>
    </row>
    <row r="70" spans="1:29" x14ac:dyDescent="0.3">
      <c r="A70">
        <v>14.2</v>
      </c>
      <c r="B70" t="s">
        <v>359</v>
      </c>
      <c r="C70" t="s">
        <v>186</v>
      </c>
      <c r="D70" t="s">
        <v>31</v>
      </c>
      <c r="E70" t="s">
        <v>32</v>
      </c>
      <c r="F70" s="3">
        <v>45657</v>
      </c>
      <c r="G70">
        <v>2024</v>
      </c>
      <c r="H70" t="s">
        <v>44</v>
      </c>
      <c r="I70" t="s">
        <v>53</v>
      </c>
      <c r="K70">
        <v>87439</v>
      </c>
      <c r="L70">
        <v>88001</v>
      </c>
      <c r="M70">
        <v>1.006427337915575</v>
      </c>
      <c r="N70">
        <v>1.006427337915575</v>
      </c>
      <c r="O70" t="s">
        <v>35</v>
      </c>
      <c r="P70" t="s">
        <v>35</v>
      </c>
      <c r="Q70" t="s">
        <v>400</v>
      </c>
      <c r="R70">
        <v>0</v>
      </c>
      <c r="S70">
        <v>0</v>
      </c>
      <c r="T70" t="s">
        <v>443</v>
      </c>
      <c r="U70" t="s">
        <v>37</v>
      </c>
      <c r="V70" t="s">
        <v>30</v>
      </c>
      <c r="W70" t="s">
        <v>38</v>
      </c>
      <c r="X70" t="s">
        <v>39</v>
      </c>
      <c r="Y70" t="s">
        <v>40</v>
      </c>
      <c r="Z70" t="s">
        <v>86</v>
      </c>
      <c r="AA70" t="s">
        <v>339</v>
      </c>
      <c r="AB70" t="s">
        <v>78</v>
      </c>
      <c r="AC70" t="s">
        <v>31</v>
      </c>
    </row>
    <row r="71" spans="1:29" x14ac:dyDescent="0.3">
      <c r="A71">
        <v>14.2</v>
      </c>
      <c r="B71" t="s">
        <v>359</v>
      </c>
      <c r="C71" t="s">
        <v>186</v>
      </c>
      <c r="D71" t="s">
        <v>31</v>
      </c>
      <c r="E71" t="s">
        <v>32</v>
      </c>
      <c r="F71" s="3">
        <v>45838</v>
      </c>
      <c r="G71">
        <v>2025</v>
      </c>
      <c r="H71" t="s">
        <v>33</v>
      </c>
      <c r="I71" t="s">
        <v>404</v>
      </c>
      <c r="J71">
        <v>1</v>
      </c>
      <c r="K71">
        <v>45163</v>
      </c>
      <c r="L71">
        <v>47762</v>
      </c>
      <c r="M71">
        <v>1.0575236914356569</v>
      </c>
      <c r="N71">
        <v>1.0575236914356569</v>
      </c>
      <c r="O71" t="s">
        <v>35</v>
      </c>
      <c r="P71" t="s">
        <v>35</v>
      </c>
      <c r="Q71" t="s">
        <v>415</v>
      </c>
      <c r="R71">
        <v>0</v>
      </c>
      <c r="S71">
        <v>0</v>
      </c>
      <c r="T71" t="s">
        <v>31</v>
      </c>
      <c r="U71" t="s">
        <v>37</v>
      </c>
      <c r="V71" t="s">
        <v>30</v>
      </c>
      <c r="W71" t="s">
        <v>38</v>
      </c>
      <c r="X71" t="s">
        <v>39</v>
      </c>
      <c r="Y71" t="s">
        <v>40</v>
      </c>
      <c r="Z71" t="s">
        <v>86</v>
      </c>
      <c r="AA71" t="s">
        <v>339</v>
      </c>
      <c r="AB71" t="s">
        <v>78</v>
      </c>
      <c r="AC71" t="s">
        <v>31</v>
      </c>
    </row>
    <row r="72" spans="1:29" x14ac:dyDescent="0.3">
      <c r="A72">
        <v>14.2</v>
      </c>
      <c r="B72" t="s">
        <v>359</v>
      </c>
      <c r="C72" t="s">
        <v>186</v>
      </c>
      <c r="D72" t="s">
        <v>31</v>
      </c>
      <c r="E72" t="s">
        <v>32</v>
      </c>
      <c r="F72" s="3">
        <v>46022</v>
      </c>
      <c r="G72">
        <v>2025</v>
      </c>
      <c r="H72" t="s">
        <v>44</v>
      </c>
      <c r="I72" t="s">
        <v>465</v>
      </c>
      <c r="J72">
        <v>2</v>
      </c>
      <c r="L72" s="4">
        <v>48193</v>
      </c>
      <c r="O72" t="s">
        <v>35</v>
      </c>
      <c r="P72" t="s">
        <v>35</v>
      </c>
      <c r="Q72" t="s">
        <v>483</v>
      </c>
      <c r="R72">
        <v>0</v>
      </c>
      <c r="S72">
        <v>0</v>
      </c>
      <c r="T72" t="s">
        <v>31</v>
      </c>
      <c r="U72" t="s">
        <v>37</v>
      </c>
      <c r="V72" t="s">
        <v>30</v>
      </c>
      <c r="W72" t="s">
        <v>38</v>
      </c>
      <c r="X72" t="s">
        <v>39</v>
      </c>
      <c r="Y72" t="s">
        <v>40</v>
      </c>
      <c r="Z72" t="s">
        <v>86</v>
      </c>
      <c r="AA72" t="s">
        <v>339</v>
      </c>
      <c r="AB72" t="s">
        <v>78</v>
      </c>
      <c r="AC72" t="s">
        <v>31</v>
      </c>
    </row>
    <row r="73" spans="1:29" x14ac:dyDescent="0.3">
      <c r="A73">
        <v>14.2</v>
      </c>
      <c r="B73" t="s">
        <v>359</v>
      </c>
      <c r="C73" t="s">
        <v>186</v>
      </c>
      <c r="D73" t="s">
        <v>31</v>
      </c>
      <c r="E73" t="s">
        <v>32</v>
      </c>
      <c r="F73" s="3">
        <v>46022</v>
      </c>
      <c r="G73">
        <v>2025</v>
      </c>
      <c r="H73" t="s">
        <v>44</v>
      </c>
      <c r="I73" t="s">
        <v>465</v>
      </c>
      <c r="L73">
        <v>95955</v>
      </c>
      <c r="O73" t="s">
        <v>35</v>
      </c>
      <c r="P73" t="s">
        <v>35</v>
      </c>
      <c r="Q73" t="s">
        <v>415</v>
      </c>
      <c r="R73">
        <v>0</v>
      </c>
      <c r="S73">
        <v>0</v>
      </c>
      <c r="T73" t="s">
        <v>443</v>
      </c>
      <c r="U73" t="s">
        <v>37</v>
      </c>
      <c r="V73" t="s">
        <v>30</v>
      </c>
      <c r="W73" t="s">
        <v>38</v>
      </c>
      <c r="X73" t="s">
        <v>39</v>
      </c>
      <c r="Y73" t="s">
        <v>40</v>
      </c>
      <c r="Z73" t="s">
        <v>86</v>
      </c>
      <c r="AA73" t="s">
        <v>339</v>
      </c>
      <c r="AB73" t="s">
        <v>78</v>
      </c>
      <c r="AC73" t="s">
        <v>31</v>
      </c>
    </row>
    <row r="74" spans="1:29" x14ac:dyDescent="0.3">
      <c r="A74">
        <v>14.3</v>
      </c>
      <c r="B74" t="s">
        <v>365</v>
      </c>
      <c r="C74" t="s">
        <v>186</v>
      </c>
      <c r="D74" t="s">
        <v>31</v>
      </c>
      <c r="E74" t="s">
        <v>32</v>
      </c>
      <c r="F74" s="3">
        <v>43281</v>
      </c>
      <c r="G74">
        <f t="shared" ref="G74:G85" si="12">YEAR(F74)</f>
        <v>2018</v>
      </c>
      <c r="H74" t="str">
        <f t="shared" ref="H74:H85" si="13">PROPER(TEXT(F74,"mmmm"))</f>
        <v>Junio</v>
      </c>
      <c r="I74" t="str">
        <f t="shared" ref="I74:I85" si="14">IF(H74="Junio",G74&amp;"-1",G74&amp;"-2")</f>
        <v>2018-1</v>
      </c>
      <c r="J74">
        <v>1</v>
      </c>
      <c r="L74" s="4">
        <v>47522</v>
      </c>
      <c r="O74" t="s">
        <v>35</v>
      </c>
      <c r="P74" t="s">
        <v>35</v>
      </c>
      <c r="Q74" t="str">
        <f t="shared" ref="Q74:Q85" si="15">MID(A74,1,2)&amp;"."&amp;RIGHT(A74,1)&amp;"-"&amp;TEXT(F74,"yyyy-mm-dd")</f>
        <v>14.3-2018-06-30</v>
      </c>
      <c r="R74">
        <v>0</v>
      </c>
      <c r="S74">
        <v>0</v>
      </c>
      <c r="T74" t="s">
        <v>31</v>
      </c>
      <c r="U74" t="s">
        <v>37</v>
      </c>
      <c r="V74" t="s">
        <v>30</v>
      </c>
      <c r="W74" t="s">
        <v>38</v>
      </c>
      <c r="X74" t="s">
        <v>39</v>
      </c>
      <c r="Y74" t="s">
        <v>40</v>
      </c>
      <c r="Z74" t="s">
        <v>86</v>
      </c>
      <c r="AA74" t="s">
        <v>339</v>
      </c>
      <c r="AB74" t="s">
        <v>78</v>
      </c>
      <c r="AC74" t="s">
        <v>31</v>
      </c>
    </row>
    <row r="75" spans="1:29" x14ac:dyDescent="0.3">
      <c r="A75">
        <v>14.3</v>
      </c>
      <c r="B75" t="s">
        <v>365</v>
      </c>
      <c r="C75" t="s">
        <v>186</v>
      </c>
      <c r="D75" t="s">
        <v>31</v>
      </c>
      <c r="E75" t="s">
        <v>32</v>
      </c>
      <c r="F75" s="3">
        <v>43465</v>
      </c>
      <c r="G75">
        <f t="shared" si="12"/>
        <v>2018</v>
      </c>
      <c r="H75" t="str">
        <f t="shared" si="13"/>
        <v>Diciembre</v>
      </c>
      <c r="I75" t="str">
        <f t="shared" si="14"/>
        <v>2018-2</v>
      </c>
      <c r="J75">
        <v>2</v>
      </c>
      <c r="L75" s="4">
        <v>48925</v>
      </c>
      <c r="O75" t="s">
        <v>35</v>
      </c>
      <c r="P75" t="s">
        <v>35</v>
      </c>
      <c r="Q75" t="str">
        <f t="shared" si="15"/>
        <v>14.3-2018-12-31</v>
      </c>
      <c r="R75">
        <v>0</v>
      </c>
      <c r="S75">
        <v>0</v>
      </c>
      <c r="T75" t="s">
        <v>31</v>
      </c>
      <c r="U75" t="s">
        <v>37</v>
      </c>
      <c r="V75" t="s">
        <v>30</v>
      </c>
      <c r="W75" t="s">
        <v>38</v>
      </c>
      <c r="X75" t="s">
        <v>39</v>
      </c>
      <c r="Y75" t="s">
        <v>40</v>
      </c>
      <c r="Z75" t="s">
        <v>86</v>
      </c>
      <c r="AA75" t="s">
        <v>339</v>
      </c>
      <c r="AB75" t="s">
        <v>78</v>
      </c>
      <c r="AC75" t="s">
        <v>31</v>
      </c>
    </row>
    <row r="76" spans="1:29" x14ac:dyDescent="0.3">
      <c r="A76">
        <v>14.3</v>
      </c>
      <c r="B76" t="s">
        <v>365</v>
      </c>
      <c r="C76" t="s">
        <v>186</v>
      </c>
      <c r="D76" t="s">
        <v>31</v>
      </c>
      <c r="E76" t="s">
        <v>32</v>
      </c>
      <c r="F76" s="3">
        <v>43465</v>
      </c>
      <c r="G76">
        <f t="shared" si="12"/>
        <v>2018</v>
      </c>
      <c r="H76" t="str">
        <f t="shared" si="13"/>
        <v>Diciembre</v>
      </c>
      <c r="I76" t="str">
        <f t="shared" si="14"/>
        <v>2018-2</v>
      </c>
      <c r="L76">
        <v>96447</v>
      </c>
      <c r="O76" t="s">
        <v>35</v>
      </c>
      <c r="P76" t="s">
        <v>35</v>
      </c>
      <c r="Q76" t="str">
        <f t="shared" si="15"/>
        <v>14.3-2018-12-31</v>
      </c>
      <c r="R76">
        <v>0</v>
      </c>
      <c r="S76">
        <v>0</v>
      </c>
      <c r="T76" t="s">
        <v>443</v>
      </c>
      <c r="U76" t="s">
        <v>37</v>
      </c>
      <c r="V76" t="s">
        <v>30</v>
      </c>
      <c r="W76" t="s">
        <v>38</v>
      </c>
      <c r="X76" t="s">
        <v>39</v>
      </c>
      <c r="Y76" t="s">
        <v>40</v>
      </c>
      <c r="Z76" t="s">
        <v>86</v>
      </c>
      <c r="AA76" t="s">
        <v>339</v>
      </c>
      <c r="AB76" t="s">
        <v>78</v>
      </c>
      <c r="AC76" t="s">
        <v>31</v>
      </c>
    </row>
    <row r="77" spans="1:29" x14ac:dyDescent="0.3">
      <c r="A77">
        <v>14.3</v>
      </c>
      <c r="B77" t="s">
        <v>365</v>
      </c>
      <c r="C77" t="s">
        <v>186</v>
      </c>
      <c r="D77" t="s">
        <v>31</v>
      </c>
      <c r="E77" t="s">
        <v>32</v>
      </c>
      <c r="F77" s="3">
        <v>43646</v>
      </c>
      <c r="G77">
        <f t="shared" si="12"/>
        <v>2019</v>
      </c>
      <c r="H77" t="str">
        <f t="shared" si="13"/>
        <v>Junio</v>
      </c>
      <c r="I77" t="str">
        <f t="shared" si="14"/>
        <v>2019-1</v>
      </c>
      <c r="J77">
        <v>1</v>
      </c>
      <c r="L77" s="4">
        <v>52526</v>
      </c>
      <c r="O77" t="s">
        <v>35</v>
      </c>
      <c r="P77" t="s">
        <v>35</v>
      </c>
      <c r="Q77" t="str">
        <f t="shared" si="15"/>
        <v>14.3-2019-06-30</v>
      </c>
      <c r="R77">
        <v>0</v>
      </c>
      <c r="S77">
        <v>0</v>
      </c>
      <c r="T77" t="s">
        <v>31</v>
      </c>
      <c r="U77" t="s">
        <v>37</v>
      </c>
      <c r="V77" t="s">
        <v>30</v>
      </c>
      <c r="W77" t="s">
        <v>38</v>
      </c>
      <c r="X77" t="s">
        <v>39</v>
      </c>
      <c r="Y77" t="s">
        <v>40</v>
      </c>
      <c r="Z77" t="s">
        <v>86</v>
      </c>
      <c r="AA77" t="s">
        <v>339</v>
      </c>
      <c r="AB77" t="s">
        <v>78</v>
      </c>
      <c r="AC77" t="s">
        <v>31</v>
      </c>
    </row>
    <row r="78" spans="1:29" x14ac:dyDescent="0.3">
      <c r="A78">
        <v>14.3</v>
      </c>
      <c r="B78" t="s">
        <v>365</v>
      </c>
      <c r="C78" t="s">
        <v>186</v>
      </c>
      <c r="D78" t="s">
        <v>31</v>
      </c>
      <c r="E78" t="s">
        <v>32</v>
      </c>
      <c r="F78" s="3">
        <v>43830</v>
      </c>
      <c r="G78">
        <f t="shared" si="12"/>
        <v>2019</v>
      </c>
      <c r="H78" t="str">
        <f t="shared" si="13"/>
        <v>Diciembre</v>
      </c>
      <c r="I78" t="str">
        <f t="shared" si="14"/>
        <v>2019-2</v>
      </c>
      <c r="J78">
        <v>2</v>
      </c>
      <c r="L78" s="4">
        <v>51296</v>
      </c>
      <c r="O78" t="s">
        <v>35</v>
      </c>
      <c r="P78" t="s">
        <v>35</v>
      </c>
      <c r="Q78" t="str">
        <f t="shared" si="15"/>
        <v>14.3-2019-12-31</v>
      </c>
      <c r="R78">
        <v>0</v>
      </c>
      <c r="S78">
        <v>0</v>
      </c>
      <c r="T78" t="s">
        <v>31</v>
      </c>
      <c r="U78" t="s">
        <v>37</v>
      </c>
      <c r="V78" t="s">
        <v>30</v>
      </c>
      <c r="W78" t="s">
        <v>38</v>
      </c>
      <c r="X78" t="s">
        <v>39</v>
      </c>
      <c r="Y78" t="s">
        <v>40</v>
      </c>
      <c r="Z78" t="s">
        <v>86</v>
      </c>
      <c r="AA78" t="s">
        <v>339</v>
      </c>
      <c r="AB78" t="s">
        <v>78</v>
      </c>
      <c r="AC78" t="s">
        <v>31</v>
      </c>
    </row>
    <row r="79" spans="1:29" x14ac:dyDescent="0.3">
      <c r="A79">
        <v>14.3</v>
      </c>
      <c r="B79" t="s">
        <v>365</v>
      </c>
      <c r="C79" t="s">
        <v>186</v>
      </c>
      <c r="D79" t="s">
        <v>31</v>
      </c>
      <c r="E79" t="s">
        <v>32</v>
      </c>
      <c r="F79" s="3">
        <v>43830</v>
      </c>
      <c r="G79">
        <f t="shared" si="12"/>
        <v>2019</v>
      </c>
      <c r="H79" t="str">
        <f t="shared" si="13"/>
        <v>Diciembre</v>
      </c>
      <c r="I79" t="str">
        <f t="shared" si="14"/>
        <v>2019-2</v>
      </c>
      <c r="L79">
        <v>103822</v>
      </c>
      <c r="O79" t="s">
        <v>35</v>
      </c>
      <c r="P79" t="s">
        <v>35</v>
      </c>
      <c r="Q79" t="str">
        <f t="shared" si="15"/>
        <v>14.3-2019-12-31</v>
      </c>
      <c r="R79">
        <v>0</v>
      </c>
      <c r="S79">
        <v>0</v>
      </c>
      <c r="T79" t="s">
        <v>443</v>
      </c>
      <c r="U79" t="s">
        <v>37</v>
      </c>
      <c r="V79" t="s">
        <v>30</v>
      </c>
      <c r="W79" t="s">
        <v>38</v>
      </c>
      <c r="X79" t="s">
        <v>39</v>
      </c>
      <c r="Y79" t="s">
        <v>40</v>
      </c>
      <c r="Z79" t="s">
        <v>86</v>
      </c>
      <c r="AA79" t="s">
        <v>339</v>
      </c>
      <c r="AB79" t="s">
        <v>78</v>
      </c>
      <c r="AC79" t="s">
        <v>31</v>
      </c>
    </row>
    <row r="80" spans="1:29" x14ac:dyDescent="0.3">
      <c r="A80">
        <v>14.3</v>
      </c>
      <c r="B80" t="s">
        <v>365</v>
      </c>
      <c r="C80" t="s">
        <v>186</v>
      </c>
      <c r="D80" t="s">
        <v>31</v>
      </c>
      <c r="E80" t="s">
        <v>32</v>
      </c>
      <c r="F80" s="3">
        <v>44012</v>
      </c>
      <c r="G80">
        <f t="shared" si="12"/>
        <v>2020</v>
      </c>
      <c r="H80" t="str">
        <f t="shared" si="13"/>
        <v>Junio</v>
      </c>
      <c r="I80" t="str">
        <f t="shared" si="14"/>
        <v>2020-1</v>
      </c>
      <c r="J80">
        <v>1</v>
      </c>
      <c r="L80" s="4">
        <v>53450</v>
      </c>
      <c r="O80" t="s">
        <v>35</v>
      </c>
      <c r="P80" t="s">
        <v>35</v>
      </c>
      <c r="Q80" t="str">
        <f t="shared" si="15"/>
        <v>14.3-2020-06-30</v>
      </c>
      <c r="R80">
        <v>0</v>
      </c>
      <c r="S80">
        <v>0</v>
      </c>
      <c r="T80" t="s">
        <v>31</v>
      </c>
      <c r="U80" t="s">
        <v>37</v>
      </c>
      <c r="V80" t="s">
        <v>30</v>
      </c>
      <c r="W80" t="s">
        <v>38</v>
      </c>
      <c r="X80" t="s">
        <v>39</v>
      </c>
      <c r="Y80" t="s">
        <v>40</v>
      </c>
      <c r="Z80" t="s">
        <v>86</v>
      </c>
      <c r="AA80" t="s">
        <v>339</v>
      </c>
      <c r="AB80" t="s">
        <v>78</v>
      </c>
      <c r="AC80" t="s">
        <v>31</v>
      </c>
    </row>
    <row r="81" spans="1:29" x14ac:dyDescent="0.3">
      <c r="A81">
        <v>14.3</v>
      </c>
      <c r="B81" t="s">
        <v>365</v>
      </c>
      <c r="C81" t="s">
        <v>186</v>
      </c>
      <c r="D81" t="s">
        <v>31</v>
      </c>
      <c r="E81" t="s">
        <v>32</v>
      </c>
      <c r="F81" s="3">
        <v>44196</v>
      </c>
      <c r="G81">
        <f t="shared" si="12"/>
        <v>2020</v>
      </c>
      <c r="H81" t="str">
        <f t="shared" si="13"/>
        <v>Diciembre</v>
      </c>
      <c r="I81" t="str">
        <f t="shared" si="14"/>
        <v>2020-2</v>
      </c>
      <c r="J81">
        <v>2</v>
      </c>
      <c r="L81" s="4">
        <v>49051</v>
      </c>
      <c r="O81" t="s">
        <v>35</v>
      </c>
      <c r="P81" t="s">
        <v>35</v>
      </c>
      <c r="Q81" t="str">
        <f t="shared" si="15"/>
        <v>14.3-2020-12-31</v>
      </c>
      <c r="R81">
        <v>0</v>
      </c>
      <c r="S81">
        <v>0</v>
      </c>
      <c r="T81" t="s">
        <v>31</v>
      </c>
      <c r="U81" t="s">
        <v>37</v>
      </c>
      <c r="V81" t="s">
        <v>30</v>
      </c>
      <c r="W81" t="s">
        <v>38</v>
      </c>
      <c r="X81" t="s">
        <v>39</v>
      </c>
      <c r="Y81" t="s">
        <v>40</v>
      </c>
      <c r="Z81" t="s">
        <v>86</v>
      </c>
      <c r="AA81" t="s">
        <v>339</v>
      </c>
      <c r="AB81" t="s">
        <v>78</v>
      </c>
      <c r="AC81" t="s">
        <v>31</v>
      </c>
    </row>
    <row r="82" spans="1:29" x14ac:dyDescent="0.3">
      <c r="A82">
        <v>14.3</v>
      </c>
      <c r="B82" t="s">
        <v>365</v>
      </c>
      <c r="C82" t="s">
        <v>186</v>
      </c>
      <c r="D82" t="s">
        <v>31</v>
      </c>
      <c r="E82" t="s">
        <v>32</v>
      </c>
      <c r="F82" s="3">
        <v>44196</v>
      </c>
      <c r="G82">
        <f t="shared" si="12"/>
        <v>2020</v>
      </c>
      <c r="H82" t="str">
        <f t="shared" si="13"/>
        <v>Diciembre</v>
      </c>
      <c r="I82" t="str">
        <f t="shared" si="14"/>
        <v>2020-2</v>
      </c>
      <c r="L82">
        <v>102501</v>
      </c>
      <c r="O82" t="s">
        <v>35</v>
      </c>
      <c r="P82" t="s">
        <v>35</v>
      </c>
      <c r="Q82" t="str">
        <f t="shared" si="15"/>
        <v>14.3-2020-12-31</v>
      </c>
      <c r="R82">
        <v>0</v>
      </c>
      <c r="S82">
        <v>0</v>
      </c>
      <c r="T82" t="s">
        <v>443</v>
      </c>
      <c r="U82" t="s">
        <v>37</v>
      </c>
      <c r="V82" t="s">
        <v>30</v>
      </c>
      <c r="W82" t="s">
        <v>38</v>
      </c>
      <c r="X82" t="s">
        <v>39</v>
      </c>
      <c r="Y82" t="s">
        <v>40</v>
      </c>
      <c r="Z82" t="s">
        <v>86</v>
      </c>
      <c r="AA82" t="s">
        <v>339</v>
      </c>
      <c r="AB82" t="s">
        <v>78</v>
      </c>
      <c r="AC82" t="s">
        <v>31</v>
      </c>
    </row>
    <row r="83" spans="1:29" x14ac:dyDescent="0.3">
      <c r="A83">
        <v>14.3</v>
      </c>
      <c r="B83" t="s">
        <v>365</v>
      </c>
      <c r="C83" t="s">
        <v>186</v>
      </c>
      <c r="D83" t="s">
        <v>31</v>
      </c>
      <c r="E83" t="s">
        <v>32</v>
      </c>
      <c r="F83" s="3">
        <v>44377</v>
      </c>
      <c r="G83">
        <f t="shared" si="12"/>
        <v>2021</v>
      </c>
      <c r="H83" t="str">
        <f t="shared" si="13"/>
        <v>Junio</v>
      </c>
      <c r="I83" t="str">
        <f t="shared" si="14"/>
        <v>2021-1</v>
      </c>
      <c r="J83">
        <v>1</v>
      </c>
      <c r="L83" s="4">
        <v>49449</v>
      </c>
      <c r="O83" t="s">
        <v>35</v>
      </c>
      <c r="P83" t="s">
        <v>35</v>
      </c>
      <c r="Q83" t="str">
        <f t="shared" si="15"/>
        <v>14.3-2021-06-30</v>
      </c>
      <c r="R83">
        <v>0</v>
      </c>
      <c r="S83">
        <v>0</v>
      </c>
      <c r="T83" t="s">
        <v>31</v>
      </c>
      <c r="U83" t="s">
        <v>37</v>
      </c>
      <c r="V83" t="s">
        <v>30</v>
      </c>
      <c r="W83" t="s">
        <v>38</v>
      </c>
      <c r="X83" t="s">
        <v>39</v>
      </c>
      <c r="Y83" t="s">
        <v>40</v>
      </c>
      <c r="Z83" t="s">
        <v>86</v>
      </c>
      <c r="AA83" t="s">
        <v>339</v>
      </c>
      <c r="AB83" t="s">
        <v>78</v>
      </c>
      <c r="AC83" t="s">
        <v>31</v>
      </c>
    </row>
    <row r="84" spans="1:29" x14ac:dyDescent="0.3">
      <c r="A84">
        <v>14.3</v>
      </c>
      <c r="B84" t="s">
        <v>365</v>
      </c>
      <c r="C84" t="s">
        <v>186</v>
      </c>
      <c r="D84" t="s">
        <v>31</v>
      </c>
      <c r="E84" t="s">
        <v>32</v>
      </c>
      <c r="F84" s="3">
        <v>44561</v>
      </c>
      <c r="G84">
        <f t="shared" si="12"/>
        <v>2021</v>
      </c>
      <c r="H84" t="str">
        <f t="shared" si="13"/>
        <v>Diciembre</v>
      </c>
      <c r="I84" t="str">
        <f t="shared" si="14"/>
        <v>2021-2</v>
      </c>
      <c r="J84">
        <v>2</v>
      </c>
      <c r="L84" s="4">
        <v>47079</v>
      </c>
      <c r="O84" t="s">
        <v>35</v>
      </c>
      <c r="P84" t="s">
        <v>35</v>
      </c>
      <c r="Q84" t="str">
        <f t="shared" si="15"/>
        <v>14.3-2021-12-31</v>
      </c>
      <c r="R84">
        <v>0</v>
      </c>
      <c r="S84">
        <v>0</v>
      </c>
      <c r="T84" t="s">
        <v>31</v>
      </c>
      <c r="U84" t="s">
        <v>37</v>
      </c>
      <c r="V84" t="s">
        <v>30</v>
      </c>
      <c r="W84" t="s">
        <v>38</v>
      </c>
      <c r="X84" t="s">
        <v>39</v>
      </c>
      <c r="Y84" t="s">
        <v>40</v>
      </c>
      <c r="Z84" t="s">
        <v>86</v>
      </c>
      <c r="AA84" t="s">
        <v>339</v>
      </c>
      <c r="AB84" t="s">
        <v>78</v>
      </c>
      <c r="AC84" t="s">
        <v>31</v>
      </c>
    </row>
    <row r="85" spans="1:29" x14ac:dyDescent="0.3">
      <c r="A85">
        <v>14.3</v>
      </c>
      <c r="B85" t="s">
        <v>365</v>
      </c>
      <c r="C85" t="s">
        <v>186</v>
      </c>
      <c r="D85" t="s">
        <v>31</v>
      </c>
      <c r="E85" t="s">
        <v>32</v>
      </c>
      <c r="F85" s="3">
        <v>44561</v>
      </c>
      <c r="G85">
        <f t="shared" si="12"/>
        <v>2021</v>
      </c>
      <c r="H85" t="str">
        <f t="shared" si="13"/>
        <v>Diciembre</v>
      </c>
      <c r="I85" t="str">
        <f t="shared" si="14"/>
        <v>2021-2</v>
      </c>
      <c r="L85">
        <v>96528</v>
      </c>
      <c r="O85" t="s">
        <v>35</v>
      </c>
      <c r="P85" t="s">
        <v>35</v>
      </c>
      <c r="Q85" t="str">
        <f t="shared" si="15"/>
        <v>14.3-2021-12-31</v>
      </c>
      <c r="R85">
        <v>0</v>
      </c>
      <c r="S85">
        <v>0</v>
      </c>
      <c r="T85" t="s">
        <v>443</v>
      </c>
      <c r="U85" t="s">
        <v>37</v>
      </c>
      <c r="V85" t="s">
        <v>30</v>
      </c>
      <c r="W85" t="s">
        <v>38</v>
      </c>
      <c r="X85" t="s">
        <v>39</v>
      </c>
      <c r="Y85" t="s">
        <v>40</v>
      </c>
      <c r="Z85" t="s">
        <v>86</v>
      </c>
      <c r="AA85" t="s">
        <v>339</v>
      </c>
      <c r="AB85" t="s">
        <v>78</v>
      </c>
      <c r="AC85" t="s">
        <v>31</v>
      </c>
    </row>
    <row r="86" spans="1:29" x14ac:dyDescent="0.3">
      <c r="A86">
        <v>14.3</v>
      </c>
      <c r="B86" t="s">
        <v>365</v>
      </c>
      <c r="C86" t="s">
        <v>186</v>
      </c>
      <c r="D86" t="s">
        <v>31</v>
      </c>
      <c r="E86" t="s">
        <v>32</v>
      </c>
      <c r="F86" s="3">
        <v>44742</v>
      </c>
      <c r="G86">
        <v>2022</v>
      </c>
      <c r="H86" t="s">
        <v>33</v>
      </c>
      <c r="I86" t="s">
        <v>34</v>
      </c>
      <c r="J86">
        <v>1</v>
      </c>
      <c r="K86">
        <v>48022</v>
      </c>
      <c r="L86">
        <v>48614</v>
      </c>
      <c r="M86">
        <v>1.012327683145225</v>
      </c>
      <c r="N86">
        <v>1.012327683145225</v>
      </c>
      <c r="O86" t="s">
        <v>35</v>
      </c>
      <c r="P86" t="s">
        <v>35</v>
      </c>
      <c r="Q86" t="s">
        <v>366</v>
      </c>
      <c r="R86">
        <v>0</v>
      </c>
      <c r="S86">
        <v>0</v>
      </c>
      <c r="T86" t="s">
        <v>31</v>
      </c>
      <c r="U86" t="s">
        <v>37</v>
      </c>
      <c r="V86" t="s">
        <v>30</v>
      </c>
      <c r="W86" t="s">
        <v>38</v>
      </c>
      <c r="X86" t="s">
        <v>39</v>
      </c>
      <c r="Y86" t="s">
        <v>40</v>
      </c>
      <c r="Z86" t="s">
        <v>86</v>
      </c>
      <c r="AA86" t="s">
        <v>339</v>
      </c>
      <c r="AB86" t="s">
        <v>78</v>
      </c>
      <c r="AC86" t="s">
        <v>31</v>
      </c>
    </row>
    <row r="87" spans="1:29" x14ac:dyDescent="0.3">
      <c r="A87">
        <v>14.3</v>
      </c>
      <c r="B87" t="s">
        <v>365</v>
      </c>
      <c r="C87" t="s">
        <v>186</v>
      </c>
      <c r="D87" t="s">
        <v>31</v>
      </c>
      <c r="E87" t="s">
        <v>32</v>
      </c>
      <c r="F87" s="3">
        <v>44926</v>
      </c>
      <c r="G87">
        <v>2022</v>
      </c>
      <c r="H87" t="s">
        <v>44</v>
      </c>
      <c r="I87" t="s">
        <v>45</v>
      </c>
      <c r="J87">
        <v>2</v>
      </c>
      <c r="K87">
        <v>46674</v>
      </c>
      <c r="L87">
        <v>47631</v>
      </c>
      <c r="M87">
        <v>1.020503920812444</v>
      </c>
      <c r="N87">
        <v>1.020503920812444</v>
      </c>
      <c r="O87" t="s">
        <v>35</v>
      </c>
      <c r="P87" t="s">
        <v>35</v>
      </c>
      <c r="Q87" t="s">
        <v>367</v>
      </c>
      <c r="R87">
        <v>0</v>
      </c>
      <c r="S87">
        <v>0</v>
      </c>
      <c r="T87" t="s">
        <v>31</v>
      </c>
      <c r="U87" t="s">
        <v>37</v>
      </c>
      <c r="V87" t="s">
        <v>30</v>
      </c>
      <c r="W87" t="s">
        <v>38</v>
      </c>
      <c r="X87" t="s">
        <v>39</v>
      </c>
      <c r="Y87" t="s">
        <v>40</v>
      </c>
      <c r="Z87" t="s">
        <v>86</v>
      </c>
      <c r="AA87" t="s">
        <v>339</v>
      </c>
      <c r="AB87" t="s">
        <v>78</v>
      </c>
      <c r="AC87" t="s">
        <v>31</v>
      </c>
    </row>
    <row r="88" spans="1:29" x14ac:dyDescent="0.3">
      <c r="A88">
        <v>14.3</v>
      </c>
      <c r="B88" t="s">
        <v>365</v>
      </c>
      <c r="C88" t="s">
        <v>186</v>
      </c>
      <c r="D88" t="s">
        <v>31</v>
      </c>
      <c r="E88" t="s">
        <v>32</v>
      </c>
      <c r="F88" s="3">
        <v>44926</v>
      </c>
      <c r="G88">
        <v>2022</v>
      </c>
      <c r="H88" t="s">
        <v>44</v>
      </c>
      <c r="I88" t="s">
        <v>45</v>
      </c>
      <c r="K88">
        <v>94696</v>
      </c>
      <c r="L88">
        <v>96245</v>
      </c>
      <c r="M88">
        <v>1.016357607501901</v>
      </c>
      <c r="N88">
        <v>1.016357607501901</v>
      </c>
      <c r="O88" t="s">
        <v>35</v>
      </c>
      <c r="P88" t="s">
        <v>35</v>
      </c>
      <c r="Q88" t="s">
        <v>367</v>
      </c>
      <c r="R88">
        <v>0</v>
      </c>
      <c r="S88">
        <v>0</v>
      </c>
      <c r="T88" t="s">
        <v>443</v>
      </c>
      <c r="U88" t="s">
        <v>37</v>
      </c>
      <c r="V88" t="s">
        <v>30</v>
      </c>
      <c r="W88" t="s">
        <v>38</v>
      </c>
      <c r="X88" t="s">
        <v>39</v>
      </c>
      <c r="Y88" t="s">
        <v>40</v>
      </c>
      <c r="Z88" t="s">
        <v>86</v>
      </c>
      <c r="AA88" t="s">
        <v>339</v>
      </c>
      <c r="AB88" t="s">
        <v>78</v>
      </c>
      <c r="AC88" t="s">
        <v>31</v>
      </c>
    </row>
    <row r="89" spans="1:29" x14ac:dyDescent="0.3">
      <c r="A89">
        <v>14.3</v>
      </c>
      <c r="B89" t="s">
        <v>365</v>
      </c>
      <c r="C89" t="s">
        <v>186</v>
      </c>
      <c r="D89" t="s">
        <v>31</v>
      </c>
      <c r="E89" t="s">
        <v>32</v>
      </c>
      <c r="F89" s="3">
        <v>45107</v>
      </c>
      <c r="G89">
        <v>2023</v>
      </c>
      <c r="H89" t="s">
        <v>33</v>
      </c>
      <c r="I89" t="s">
        <v>47</v>
      </c>
      <c r="J89">
        <v>1</v>
      </c>
      <c r="K89">
        <v>49451</v>
      </c>
      <c r="L89">
        <v>48483</v>
      </c>
      <c r="M89">
        <v>0.98042506723827627</v>
      </c>
      <c r="N89">
        <v>0.98042506723827627</v>
      </c>
      <c r="O89" t="s">
        <v>35</v>
      </c>
      <c r="P89" t="s">
        <v>35</v>
      </c>
      <c r="Q89" t="s">
        <v>368</v>
      </c>
      <c r="R89">
        <v>0</v>
      </c>
      <c r="S89">
        <v>0</v>
      </c>
      <c r="T89" t="s">
        <v>31</v>
      </c>
      <c r="U89" t="s">
        <v>37</v>
      </c>
      <c r="V89" t="s">
        <v>30</v>
      </c>
      <c r="W89" t="s">
        <v>38</v>
      </c>
      <c r="X89" t="s">
        <v>39</v>
      </c>
      <c r="Y89" t="s">
        <v>40</v>
      </c>
      <c r="Z89" t="s">
        <v>86</v>
      </c>
      <c r="AA89" t="s">
        <v>339</v>
      </c>
      <c r="AB89" t="s">
        <v>78</v>
      </c>
      <c r="AC89" t="s">
        <v>31</v>
      </c>
    </row>
    <row r="90" spans="1:29" x14ac:dyDescent="0.3">
      <c r="A90">
        <v>14.3</v>
      </c>
      <c r="B90" t="s">
        <v>365</v>
      </c>
      <c r="C90" t="s">
        <v>186</v>
      </c>
      <c r="D90" t="s">
        <v>31</v>
      </c>
      <c r="E90" t="s">
        <v>32</v>
      </c>
      <c r="F90" s="3">
        <v>45291</v>
      </c>
      <c r="G90">
        <v>2023</v>
      </c>
      <c r="H90" t="s">
        <v>44</v>
      </c>
      <c r="I90" t="s">
        <v>49</v>
      </c>
      <c r="J90">
        <v>2</v>
      </c>
      <c r="K90">
        <v>48891</v>
      </c>
      <c r="L90">
        <v>48047</v>
      </c>
      <c r="M90">
        <v>0.98273710907938061</v>
      </c>
      <c r="N90">
        <v>0.98273710907938061</v>
      </c>
      <c r="O90" t="s">
        <v>35</v>
      </c>
      <c r="P90" t="s">
        <v>35</v>
      </c>
      <c r="Q90" t="s">
        <v>369</v>
      </c>
      <c r="R90">
        <v>0</v>
      </c>
      <c r="S90">
        <v>0</v>
      </c>
      <c r="T90" t="s">
        <v>31</v>
      </c>
      <c r="U90" t="s">
        <v>37</v>
      </c>
      <c r="V90" t="s">
        <v>30</v>
      </c>
      <c r="W90" t="s">
        <v>38</v>
      </c>
      <c r="X90" t="s">
        <v>39</v>
      </c>
      <c r="Y90" t="s">
        <v>40</v>
      </c>
      <c r="Z90" t="s">
        <v>86</v>
      </c>
      <c r="AA90" t="s">
        <v>339</v>
      </c>
      <c r="AB90" t="s">
        <v>78</v>
      </c>
      <c r="AC90" t="s">
        <v>31</v>
      </c>
    </row>
    <row r="91" spans="1:29" x14ac:dyDescent="0.3">
      <c r="A91">
        <v>14.3</v>
      </c>
      <c r="B91" t="s">
        <v>365</v>
      </c>
      <c r="C91" t="s">
        <v>186</v>
      </c>
      <c r="D91" t="s">
        <v>31</v>
      </c>
      <c r="E91" t="s">
        <v>32</v>
      </c>
      <c r="F91" s="3">
        <v>45291</v>
      </c>
      <c r="G91">
        <v>2023</v>
      </c>
      <c r="H91" t="s">
        <v>44</v>
      </c>
      <c r="I91" t="s">
        <v>49</v>
      </c>
      <c r="K91">
        <v>98342</v>
      </c>
      <c r="L91">
        <v>96530</v>
      </c>
      <c r="M91">
        <v>0.98157450529783818</v>
      </c>
      <c r="N91">
        <v>0.98157450529783818</v>
      </c>
      <c r="O91" t="s">
        <v>35</v>
      </c>
      <c r="P91" t="s">
        <v>35</v>
      </c>
      <c r="Q91" t="s">
        <v>369</v>
      </c>
      <c r="R91">
        <v>0</v>
      </c>
      <c r="S91">
        <v>0</v>
      </c>
      <c r="T91" t="s">
        <v>443</v>
      </c>
      <c r="U91" t="s">
        <v>37</v>
      </c>
      <c r="V91" t="s">
        <v>30</v>
      </c>
      <c r="W91" t="s">
        <v>38</v>
      </c>
      <c r="X91" t="s">
        <v>39</v>
      </c>
      <c r="Y91" t="s">
        <v>40</v>
      </c>
      <c r="Z91" t="s">
        <v>86</v>
      </c>
      <c r="AA91" t="s">
        <v>339</v>
      </c>
      <c r="AB91" t="s">
        <v>78</v>
      </c>
      <c r="AC91" t="s">
        <v>31</v>
      </c>
    </row>
    <row r="92" spans="1:29" x14ac:dyDescent="0.3">
      <c r="A92">
        <v>14.3</v>
      </c>
      <c r="B92" t="s">
        <v>365</v>
      </c>
      <c r="C92" t="s">
        <v>186</v>
      </c>
      <c r="D92" t="s">
        <v>31</v>
      </c>
      <c r="E92" t="s">
        <v>32</v>
      </c>
      <c r="F92" s="3">
        <v>45473</v>
      </c>
      <c r="G92">
        <v>2024</v>
      </c>
      <c r="H92" t="s">
        <v>33</v>
      </c>
      <c r="I92" t="s">
        <v>51</v>
      </c>
      <c r="J92">
        <v>1</v>
      </c>
      <c r="K92">
        <v>49310</v>
      </c>
      <c r="L92">
        <v>49100</v>
      </c>
      <c r="M92">
        <v>0.99574122895964312</v>
      </c>
      <c r="N92">
        <v>0.99574122895964312</v>
      </c>
      <c r="O92" t="s">
        <v>35</v>
      </c>
      <c r="P92" t="s">
        <v>35</v>
      </c>
      <c r="Q92" t="s">
        <v>370</v>
      </c>
      <c r="R92">
        <v>0</v>
      </c>
      <c r="S92">
        <v>0</v>
      </c>
      <c r="T92" t="s">
        <v>31</v>
      </c>
      <c r="U92" t="s">
        <v>37</v>
      </c>
      <c r="V92" t="s">
        <v>30</v>
      </c>
      <c r="W92" t="s">
        <v>38</v>
      </c>
      <c r="X92" t="s">
        <v>39</v>
      </c>
      <c r="Y92" t="s">
        <v>40</v>
      </c>
      <c r="Z92" t="s">
        <v>86</v>
      </c>
      <c r="AA92" t="s">
        <v>339</v>
      </c>
      <c r="AB92" t="s">
        <v>78</v>
      </c>
      <c r="AC92" t="s">
        <v>31</v>
      </c>
    </row>
    <row r="93" spans="1:29" x14ac:dyDescent="0.3">
      <c r="A93">
        <v>14.3</v>
      </c>
      <c r="B93" t="s">
        <v>365</v>
      </c>
      <c r="C93" t="s">
        <v>186</v>
      </c>
      <c r="D93" t="s">
        <v>31</v>
      </c>
      <c r="E93" t="s">
        <v>32</v>
      </c>
      <c r="F93" s="3">
        <v>45657</v>
      </c>
      <c r="G93">
        <v>2024</v>
      </c>
      <c r="H93" t="s">
        <v>44</v>
      </c>
      <c r="I93" t="s">
        <v>53</v>
      </c>
      <c r="J93">
        <v>2</v>
      </c>
      <c r="K93">
        <v>48061</v>
      </c>
      <c r="L93">
        <v>48339</v>
      </c>
      <c r="M93">
        <v>1.005784315765381</v>
      </c>
      <c r="N93">
        <v>1.005784315765381</v>
      </c>
      <c r="O93" t="s">
        <v>35</v>
      </c>
      <c r="P93" t="s">
        <v>35</v>
      </c>
      <c r="Q93" t="s">
        <v>401</v>
      </c>
      <c r="R93">
        <v>0</v>
      </c>
      <c r="S93">
        <v>0</v>
      </c>
      <c r="T93" t="s">
        <v>31</v>
      </c>
      <c r="U93" t="s">
        <v>37</v>
      </c>
      <c r="V93" t="s">
        <v>30</v>
      </c>
      <c r="W93" t="s">
        <v>38</v>
      </c>
      <c r="X93" t="s">
        <v>39</v>
      </c>
      <c r="Y93" t="s">
        <v>40</v>
      </c>
      <c r="Z93" t="s">
        <v>86</v>
      </c>
      <c r="AA93" t="s">
        <v>339</v>
      </c>
      <c r="AB93" t="s">
        <v>78</v>
      </c>
      <c r="AC93" t="s">
        <v>31</v>
      </c>
    </row>
    <row r="94" spans="1:29" x14ac:dyDescent="0.3">
      <c r="A94">
        <v>14.3</v>
      </c>
      <c r="B94" t="s">
        <v>365</v>
      </c>
      <c r="C94" t="s">
        <v>186</v>
      </c>
      <c r="D94" t="s">
        <v>31</v>
      </c>
      <c r="E94" t="s">
        <v>32</v>
      </c>
      <c r="F94" s="3">
        <v>45657</v>
      </c>
      <c r="G94">
        <v>2024</v>
      </c>
      <c r="H94" t="s">
        <v>44</v>
      </c>
      <c r="I94" t="s">
        <v>53</v>
      </c>
      <c r="K94">
        <v>97371</v>
      </c>
      <c r="L94">
        <v>97439</v>
      </c>
      <c r="M94">
        <v>1.0006983598812791</v>
      </c>
      <c r="N94">
        <v>1.0006983598812791</v>
      </c>
      <c r="O94" t="s">
        <v>35</v>
      </c>
      <c r="P94" t="s">
        <v>35</v>
      </c>
      <c r="Q94" t="s">
        <v>401</v>
      </c>
      <c r="R94">
        <v>0</v>
      </c>
      <c r="S94">
        <v>0</v>
      </c>
      <c r="T94" t="s">
        <v>443</v>
      </c>
      <c r="U94" t="s">
        <v>37</v>
      </c>
      <c r="V94" t="s">
        <v>30</v>
      </c>
      <c r="W94" t="s">
        <v>38</v>
      </c>
      <c r="X94" t="s">
        <v>39</v>
      </c>
      <c r="Y94" t="s">
        <v>40</v>
      </c>
      <c r="Z94" t="s">
        <v>86</v>
      </c>
      <c r="AA94" t="s">
        <v>339</v>
      </c>
      <c r="AB94" t="s">
        <v>78</v>
      </c>
      <c r="AC94" t="s">
        <v>31</v>
      </c>
    </row>
    <row r="95" spans="1:29" x14ac:dyDescent="0.3">
      <c r="A95">
        <v>14.3</v>
      </c>
      <c r="B95" t="s">
        <v>365</v>
      </c>
      <c r="C95" t="s">
        <v>186</v>
      </c>
      <c r="D95" t="s">
        <v>31</v>
      </c>
      <c r="E95" t="s">
        <v>32</v>
      </c>
      <c r="F95" s="3">
        <v>45838</v>
      </c>
      <c r="G95">
        <v>2025</v>
      </c>
      <c r="H95" t="s">
        <v>33</v>
      </c>
      <c r="I95" t="s">
        <v>404</v>
      </c>
      <c r="J95">
        <v>1</v>
      </c>
      <c r="K95">
        <v>49640</v>
      </c>
      <c r="L95">
        <v>52096</v>
      </c>
      <c r="M95">
        <v>1.0494550875284541</v>
      </c>
      <c r="N95">
        <v>1.0494550875284541</v>
      </c>
      <c r="O95" t="s">
        <v>35</v>
      </c>
      <c r="P95" t="s">
        <v>35</v>
      </c>
      <c r="Q95" t="s">
        <v>416</v>
      </c>
      <c r="R95">
        <v>0</v>
      </c>
      <c r="S95">
        <v>0</v>
      </c>
      <c r="T95" t="s">
        <v>31</v>
      </c>
      <c r="U95" t="s">
        <v>37</v>
      </c>
      <c r="V95" t="s">
        <v>30</v>
      </c>
      <c r="W95" t="s">
        <v>38</v>
      </c>
      <c r="X95" t="s">
        <v>39</v>
      </c>
      <c r="Y95" t="s">
        <v>40</v>
      </c>
      <c r="Z95" t="s">
        <v>86</v>
      </c>
      <c r="AA95" t="s">
        <v>339</v>
      </c>
      <c r="AB95" t="s">
        <v>78</v>
      </c>
      <c r="AC95" t="s">
        <v>31</v>
      </c>
    </row>
    <row r="96" spans="1:29" x14ac:dyDescent="0.3">
      <c r="A96">
        <v>14.3</v>
      </c>
      <c r="B96" t="s">
        <v>365</v>
      </c>
      <c r="C96" t="s">
        <v>186</v>
      </c>
      <c r="D96" t="s">
        <v>31</v>
      </c>
      <c r="E96" t="s">
        <v>32</v>
      </c>
      <c r="F96" s="3">
        <v>46022</v>
      </c>
      <c r="G96">
        <v>2025</v>
      </c>
      <c r="H96" t="s">
        <v>44</v>
      </c>
      <c r="I96" t="s">
        <v>465</v>
      </c>
      <c r="J96">
        <v>2</v>
      </c>
      <c r="K96">
        <v>49176</v>
      </c>
      <c r="L96" s="4">
        <v>52279</v>
      </c>
      <c r="M96">
        <v>1</v>
      </c>
      <c r="N96">
        <v>1</v>
      </c>
      <c r="O96" t="s">
        <v>35</v>
      </c>
      <c r="P96" t="s">
        <v>35</v>
      </c>
      <c r="Q96" t="s">
        <v>484</v>
      </c>
      <c r="R96">
        <v>0</v>
      </c>
      <c r="S96">
        <v>0</v>
      </c>
      <c r="T96" t="s">
        <v>31</v>
      </c>
      <c r="U96" t="s">
        <v>37</v>
      </c>
      <c r="V96" t="s">
        <v>30</v>
      </c>
      <c r="W96" t="s">
        <v>38</v>
      </c>
      <c r="X96" t="s">
        <v>39</v>
      </c>
      <c r="Y96" t="s">
        <v>40</v>
      </c>
      <c r="Z96" t="s">
        <v>86</v>
      </c>
      <c r="AA96" t="s">
        <v>339</v>
      </c>
      <c r="AB96" t="s">
        <v>78</v>
      </c>
      <c r="AC96" t="s">
        <v>31</v>
      </c>
    </row>
    <row r="97" spans="1:29" x14ac:dyDescent="0.3">
      <c r="A97">
        <v>14.3</v>
      </c>
      <c r="B97" t="s">
        <v>365</v>
      </c>
      <c r="C97" t="s">
        <v>186</v>
      </c>
      <c r="D97" t="s">
        <v>31</v>
      </c>
      <c r="E97" t="s">
        <v>32</v>
      </c>
      <c r="F97" s="3">
        <v>46022</v>
      </c>
      <c r="G97">
        <v>2025</v>
      </c>
      <c r="H97" t="s">
        <v>44</v>
      </c>
      <c r="I97" t="s">
        <v>465</v>
      </c>
      <c r="L97">
        <v>104375</v>
      </c>
      <c r="O97" t="s">
        <v>35</v>
      </c>
      <c r="P97" t="s">
        <v>35</v>
      </c>
      <c r="Q97" t="s">
        <v>484</v>
      </c>
      <c r="R97">
        <v>0</v>
      </c>
      <c r="S97">
        <v>0</v>
      </c>
      <c r="T97" t="s">
        <v>443</v>
      </c>
      <c r="U97" t="s">
        <v>37</v>
      </c>
      <c r="V97" t="s">
        <v>30</v>
      </c>
      <c r="W97" t="s">
        <v>38</v>
      </c>
      <c r="X97" t="s">
        <v>39</v>
      </c>
      <c r="Y97" t="s">
        <v>40</v>
      </c>
      <c r="Z97" t="s">
        <v>86</v>
      </c>
      <c r="AA97" t="s">
        <v>339</v>
      </c>
      <c r="AB97" t="s">
        <v>78</v>
      </c>
      <c r="AC97" t="s">
        <v>31</v>
      </c>
    </row>
    <row r="98" spans="1:29" x14ac:dyDescent="0.3">
      <c r="A98">
        <v>14.4</v>
      </c>
      <c r="B98" t="s">
        <v>371</v>
      </c>
      <c r="C98" t="s">
        <v>186</v>
      </c>
      <c r="D98" t="s">
        <v>31</v>
      </c>
      <c r="E98" t="s">
        <v>32</v>
      </c>
      <c r="F98" s="3">
        <v>43281</v>
      </c>
      <c r="G98">
        <f t="shared" ref="G98:G109" si="16">YEAR(F98)</f>
        <v>2018</v>
      </c>
      <c r="H98" t="str">
        <f t="shared" ref="H98:H109" si="17">PROPER(TEXT(F98,"mmmm"))</f>
        <v>Junio</v>
      </c>
      <c r="I98" t="str">
        <f t="shared" ref="I98:I109" si="18">IF(H98="Junio",G98&amp;"-1",G98&amp;"-2")</f>
        <v>2018-1</v>
      </c>
      <c r="J98">
        <v>1</v>
      </c>
      <c r="L98" s="4">
        <v>1707</v>
      </c>
      <c r="O98" t="s">
        <v>35</v>
      </c>
      <c r="P98" t="s">
        <v>35</v>
      </c>
      <c r="Q98" t="str">
        <f t="shared" ref="Q98:Q109" si="19">MID(A98,1,2)&amp;"."&amp;RIGHT(A98,1)&amp;"-"&amp;TEXT(F98,"yyyy-mm-dd")</f>
        <v>14.4-2018-06-30</v>
      </c>
      <c r="R98">
        <v>0</v>
      </c>
      <c r="S98">
        <v>0</v>
      </c>
      <c r="T98" t="s">
        <v>31</v>
      </c>
      <c r="U98" t="s">
        <v>37</v>
      </c>
      <c r="V98" t="s">
        <v>30</v>
      </c>
      <c r="W98" t="s">
        <v>38</v>
      </c>
      <c r="X98" t="s">
        <v>39</v>
      </c>
      <c r="Y98" t="s">
        <v>40</v>
      </c>
      <c r="Z98" t="s">
        <v>86</v>
      </c>
      <c r="AA98" t="s">
        <v>339</v>
      </c>
      <c r="AB98" t="s">
        <v>78</v>
      </c>
      <c r="AC98" t="s">
        <v>31</v>
      </c>
    </row>
    <row r="99" spans="1:29" x14ac:dyDescent="0.3">
      <c r="A99">
        <v>14.4</v>
      </c>
      <c r="B99" t="s">
        <v>371</v>
      </c>
      <c r="C99" t="s">
        <v>186</v>
      </c>
      <c r="D99" t="s">
        <v>31</v>
      </c>
      <c r="E99" t="s">
        <v>32</v>
      </c>
      <c r="F99" s="3">
        <v>43465</v>
      </c>
      <c r="G99">
        <f t="shared" si="16"/>
        <v>2018</v>
      </c>
      <c r="H99" t="str">
        <f t="shared" si="17"/>
        <v>Diciembre</v>
      </c>
      <c r="I99" t="str">
        <f t="shared" si="18"/>
        <v>2018-2</v>
      </c>
      <c r="J99">
        <v>2</v>
      </c>
      <c r="L99" s="4">
        <v>1776</v>
      </c>
      <c r="O99" t="s">
        <v>35</v>
      </c>
      <c r="P99" t="s">
        <v>35</v>
      </c>
      <c r="Q99" t="str">
        <f t="shared" si="19"/>
        <v>14.4-2018-12-31</v>
      </c>
      <c r="R99">
        <v>0</v>
      </c>
      <c r="S99">
        <v>0</v>
      </c>
      <c r="T99" t="s">
        <v>31</v>
      </c>
      <c r="U99" t="s">
        <v>37</v>
      </c>
      <c r="V99" t="s">
        <v>30</v>
      </c>
      <c r="W99" t="s">
        <v>38</v>
      </c>
      <c r="X99" t="s">
        <v>39</v>
      </c>
      <c r="Y99" t="s">
        <v>40</v>
      </c>
      <c r="Z99" t="s">
        <v>86</v>
      </c>
      <c r="AA99" t="s">
        <v>339</v>
      </c>
      <c r="AB99" t="s">
        <v>78</v>
      </c>
      <c r="AC99" t="s">
        <v>31</v>
      </c>
    </row>
    <row r="100" spans="1:29" x14ac:dyDescent="0.3">
      <c r="A100">
        <v>14.4</v>
      </c>
      <c r="B100" t="s">
        <v>371</v>
      </c>
      <c r="C100" t="s">
        <v>186</v>
      </c>
      <c r="D100" t="s">
        <v>31</v>
      </c>
      <c r="E100" t="s">
        <v>32</v>
      </c>
      <c r="F100" s="3">
        <v>43465</v>
      </c>
      <c r="G100">
        <f t="shared" si="16"/>
        <v>2018</v>
      </c>
      <c r="H100" t="str">
        <f t="shared" si="17"/>
        <v>Diciembre</v>
      </c>
      <c r="I100" t="str">
        <f t="shared" si="18"/>
        <v>2018-2</v>
      </c>
      <c r="L100">
        <v>3483</v>
      </c>
      <c r="O100" t="s">
        <v>35</v>
      </c>
      <c r="P100" t="s">
        <v>35</v>
      </c>
      <c r="Q100" t="str">
        <f t="shared" si="19"/>
        <v>14.4-2018-12-31</v>
      </c>
      <c r="R100">
        <v>0</v>
      </c>
      <c r="S100">
        <v>0</v>
      </c>
      <c r="T100" t="s">
        <v>443</v>
      </c>
      <c r="U100" t="s">
        <v>37</v>
      </c>
      <c r="V100" t="s">
        <v>30</v>
      </c>
      <c r="W100" t="s">
        <v>38</v>
      </c>
      <c r="X100" t="s">
        <v>39</v>
      </c>
      <c r="Y100" t="s">
        <v>40</v>
      </c>
      <c r="Z100" t="s">
        <v>86</v>
      </c>
      <c r="AA100" t="s">
        <v>339</v>
      </c>
      <c r="AB100" t="s">
        <v>78</v>
      </c>
      <c r="AC100" t="s">
        <v>31</v>
      </c>
    </row>
    <row r="101" spans="1:29" x14ac:dyDescent="0.3">
      <c r="A101">
        <v>14.4</v>
      </c>
      <c r="B101" t="s">
        <v>371</v>
      </c>
      <c r="C101" t="s">
        <v>186</v>
      </c>
      <c r="D101" t="s">
        <v>31</v>
      </c>
      <c r="E101" t="s">
        <v>32</v>
      </c>
      <c r="F101" s="3">
        <v>43646</v>
      </c>
      <c r="G101">
        <f t="shared" si="16"/>
        <v>2019</v>
      </c>
      <c r="H101" t="str">
        <f t="shared" si="17"/>
        <v>Junio</v>
      </c>
      <c r="I101" t="str">
        <f t="shared" si="18"/>
        <v>2019-1</v>
      </c>
      <c r="J101">
        <v>1</v>
      </c>
      <c r="L101">
        <v>1969</v>
      </c>
      <c r="O101" t="s">
        <v>35</v>
      </c>
      <c r="P101" t="s">
        <v>35</v>
      </c>
      <c r="Q101" t="str">
        <f t="shared" si="19"/>
        <v>14.4-2019-06-30</v>
      </c>
      <c r="R101">
        <v>0</v>
      </c>
      <c r="S101">
        <v>0</v>
      </c>
      <c r="T101" t="s">
        <v>31</v>
      </c>
      <c r="U101" t="s">
        <v>37</v>
      </c>
      <c r="V101" t="s">
        <v>30</v>
      </c>
      <c r="W101" t="s">
        <v>38</v>
      </c>
      <c r="X101" t="s">
        <v>39</v>
      </c>
      <c r="Y101" t="s">
        <v>40</v>
      </c>
      <c r="Z101" t="s">
        <v>86</v>
      </c>
      <c r="AA101" t="s">
        <v>339</v>
      </c>
      <c r="AB101" t="s">
        <v>78</v>
      </c>
      <c r="AC101" t="s">
        <v>31</v>
      </c>
    </row>
    <row r="102" spans="1:29" x14ac:dyDescent="0.3">
      <c r="A102">
        <v>14.4</v>
      </c>
      <c r="B102" t="s">
        <v>371</v>
      </c>
      <c r="C102" t="s">
        <v>186</v>
      </c>
      <c r="D102" t="s">
        <v>31</v>
      </c>
      <c r="E102" t="s">
        <v>32</v>
      </c>
      <c r="F102" s="3">
        <v>43830</v>
      </c>
      <c r="G102">
        <f t="shared" si="16"/>
        <v>2019</v>
      </c>
      <c r="H102" t="str">
        <f t="shared" si="17"/>
        <v>Diciembre</v>
      </c>
      <c r="I102" t="str">
        <f t="shared" si="18"/>
        <v>2019-2</v>
      </c>
      <c r="J102">
        <v>2</v>
      </c>
      <c r="L102">
        <v>1901</v>
      </c>
      <c r="O102" t="s">
        <v>35</v>
      </c>
      <c r="P102" t="s">
        <v>35</v>
      </c>
      <c r="Q102" t="str">
        <f t="shared" si="19"/>
        <v>14.4-2019-12-31</v>
      </c>
      <c r="R102">
        <v>0</v>
      </c>
      <c r="S102">
        <v>0</v>
      </c>
      <c r="T102" t="s">
        <v>31</v>
      </c>
      <c r="U102" t="s">
        <v>37</v>
      </c>
      <c r="V102" t="s">
        <v>30</v>
      </c>
      <c r="W102" t="s">
        <v>38</v>
      </c>
      <c r="X102" t="s">
        <v>39</v>
      </c>
      <c r="Y102" t="s">
        <v>40</v>
      </c>
      <c r="Z102" t="s">
        <v>86</v>
      </c>
      <c r="AA102" t="s">
        <v>339</v>
      </c>
      <c r="AB102" t="s">
        <v>78</v>
      </c>
      <c r="AC102" t="s">
        <v>31</v>
      </c>
    </row>
    <row r="103" spans="1:29" x14ac:dyDescent="0.3">
      <c r="A103">
        <v>14.4</v>
      </c>
      <c r="B103" t="s">
        <v>371</v>
      </c>
      <c r="C103" t="s">
        <v>186</v>
      </c>
      <c r="D103" t="s">
        <v>31</v>
      </c>
      <c r="E103" t="s">
        <v>32</v>
      </c>
      <c r="F103" s="3">
        <v>43830</v>
      </c>
      <c r="G103">
        <f t="shared" si="16"/>
        <v>2019</v>
      </c>
      <c r="H103" t="str">
        <f t="shared" si="17"/>
        <v>Diciembre</v>
      </c>
      <c r="I103" t="str">
        <f t="shared" si="18"/>
        <v>2019-2</v>
      </c>
      <c r="L103">
        <v>3870</v>
      </c>
      <c r="O103" t="s">
        <v>35</v>
      </c>
      <c r="P103" t="s">
        <v>35</v>
      </c>
      <c r="Q103" t="str">
        <f t="shared" si="19"/>
        <v>14.4-2019-12-31</v>
      </c>
      <c r="R103">
        <v>0</v>
      </c>
      <c r="S103">
        <v>0</v>
      </c>
      <c r="T103" t="s">
        <v>443</v>
      </c>
      <c r="U103" t="s">
        <v>37</v>
      </c>
      <c r="V103" t="s">
        <v>30</v>
      </c>
      <c r="W103" t="s">
        <v>38</v>
      </c>
      <c r="X103" t="s">
        <v>39</v>
      </c>
      <c r="Y103" t="s">
        <v>40</v>
      </c>
      <c r="Z103" t="s">
        <v>86</v>
      </c>
      <c r="AA103" t="s">
        <v>339</v>
      </c>
      <c r="AB103" t="s">
        <v>78</v>
      </c>
      <c r="AC103" t="s">
        <v>31</v>
      </c>
    </row>
    <row r="104" spans="1:29" x14ac:dyDescent="0.3">
      <c r="A104">
        <v>14.4</v>
      </c>
      <c r="B104" t="s">
        <v>371</v>
      </c>
      <c r="C104" t="s">
        <v>186</v>
      </c>
      <c r="D104" t="s">
        <v>31</v>
      </c>
      <c r="E104" t="s">
        <v>32</v>
      </c>
      <c r="F104" s="3">
        <v>44012</v>
      </c>
      <c r="G104">
        <f t="shared" si="16"/>
        <v>2020</v>
      </c>
      <c r="H104" t="str">
        <f t="shared" si="17"/>
        <v>Junio</v>
      </c>
      <c r="I104" t="str">
        <f t="shared" si="18"/>
        <v>2020-1</v>
      </c>
      <c r="J104">
        <v>1</v>
      </c>
      <c r="L104" s="4">
        <v>2091</v>
      </c>
      <c r="O104" t="s">
        <v>35</v>
      </c>
      <c r="P104" t="s">
        <v>35</v>
      </c>
      <c r="Q104" t="str">
        <f t="shared" si="19"/>
        <v>14.4-2020-06-30</v>
      </c>
      <c r="R104">
        <v>0</v>
      </c>
      <c r="S104">
        <v>0</v>
      </c>
      <c r="T104" t="s">
        <v>31</v>
      </c>
      <c r="U104" t="s">
        <v>37</v>
      </c>
      <c r="V104" t="s">
        <v>30</v>
      </c>
      <c r="W104" t="s">
        <v>38</v>
      </c>
      <c r="X104" t="s">
        <v>39</v>
      </c>
      <c r="Y104" t="s">
        <v>40</v>
      </c>
      <c r="Z104" t="s">
        <v>86</v>
      </c>
      <c r="AA104" t="s">
        <v>339</v>
      </c>
      <c r="AB104" t="s">
        <v>78</v>
      </c>
      <c r="AC104" t="s">
        <v>31</v>
      </c>
    </row>
    <row r="105" spans="1:29" x14ac:dyDescent="0.3">
      <c r="A105">
        <v>14.4</v>
      </c>
      <c r="B105" t="s">
        <v>371</v>
      </c>
      <c r="C105" t="s">
        <v>186</v>
      </c>
      <c r="D105" t="s">
        <v>31</v>
      </c>
      <c r="E105" t="s">
        <v>32</v>
      </c>
      <c r="F105" s="3">
        <v>44196</v>
      </c>
      <c r="G105">
        <f t="shared" si="16"/>
        <v>2020</v>
      </c>
      <c r="H105" t="str">
        <f t="shared" si="17"/>
        <v>Diciembre</v>
      </c>
      <c r="I105" t="str">
        <f t="shared" si="18"/>
        <v>2020-2</v>
      </c>
      <c r="J105">
        <v>2</v>
      </c>
      <c r="L105" s="4">
        <v>2144</v>
      </c>
      <c r="O105" t="s">
        <v>35</v>
      </c>
      <c r="P105" t="s">
        <v>35</v>
      </c>
      <c r="Q105" t="str">
        <f t="shared" si="19"/>
        <v>14.4-2020-12-31</v>
      </c>
      <c r="R105">
        <v>0</v>
      </c>
      <c r="S105">
        <v>0</v>
      </c>
      <c r="T105" t="s">
        <v>31</v>
      </c>
      <c r="U105" t="s">
        <v>37</v>
      </c>
      <c r="V105" t="s">
        <v>30</v>
      </c>
      <c r="W105" t="s">
        <v>38</v>
      </c>
      <c r="X105" t="s">
        <v>39</v>
      </c>
      <c r="Y105" t="s">
        <v>40</v>
      </c>
      <c r="Z105" t="s">
        <v>86</v>
      </c>
      <c r="AA105" t="s">
        <v>339</v>
      </c>
      <c r="AB105" t="s">
        <v>78</v>
      </c>
      <c r="AC105" t="s">
        <v>31</v>
      </c>
    </row>
    <row r="106" spans="1:29" x14ac:dyDescent="0.3">
      <c r="A106">
        <v>14.4</v>
      </c>
      <c r="B106" t="s">
        <v>371</v>
      </c>
      <c r="C106" t="s">
        <v>186</v>
      </c>
      <c r="D106" t="s">
        <v>31</v>
      </c>
      <c r="E106" t="s">
        <v>32</v>
      </c>
      <c r="F106" s="3">
        <v>44196</v>
      </c>
      <c r="G106">
        <f t="shared" si="16"/>
        <v>2020</v>
      </c>
      <c r="H106" t="str">
        <f t="shared" si="17"/>
        <v>Diciembre</v>
      </c>
      <c r="I106" t="str">
        <f t="shared" si="18"/>
        <v>2020-2</v>
      </c>
      <c r="L106">
        <v>4235</v>
      </c>
      <c r="O106" t="s">
        <v>35</v>
      </c>
      <c r="P106" t="s">
        <v>35</v>
      </c>
      <c r="Q106" t="str">
        <f t="shared" si="19"/>
        <v>14.4-2020-12-31</v>
      </c>
      <c r="R106">
        <v>0</v>
      </c>
      <c r="S106">
        <v>0</v>
      </c>
      <c r="T106" t="s">
        <v>443</v>
      </c>
      <c r="U106" t="s">
        <v>37</v>
      </c>
      <c r="V106" t="s">
        <v>30</v>
      </c>
      <c r="W106" t="s">
        <v>38</v>
      </c>
      <c r="X106" t="s">
        <v>39</v>
      </c>
      <c r="Y106" t="s">
        <v>40</v>
      </c>
      <c r="Z106" t="s">
        <v>86</v>
      </c>
      <c r="AA106" t="s">
        <v>339</v>
      </c>
      <c r="AB106" t="s">
        <v>78</v>
      </c>
      <c r="AC106" t="s">
        <v>31</v>
      </c>
    </row>
    <row r="107" spans="1:29" x14ac:dyDescent="0.3">
      <c r="A107">
        <v>14.4</v>
      </c>
      <c r="B107" t="s">
        <v>371</v>
      </c>
      <c r="C107" t="s">
        <v>186</v>
      </c>
      <c r="D107" t="s">
        <v>31</v>
      </c>
      <c r="E107" t="s">
        <v>32</v>
      </c>
      <c r="F107" s="3">
        <v>44377</v>
      </c>
      <c r="G107">
        <f t="shared" si="16"/>
        <v>2021</v>
      </c>
      <c r="H107" t="str">
        <f t="shared" si="17"/>
        <v>Junio</v>
      </c>
      <c r="I107" t="str">
        <f t="shared" si="18"/>
        <v>2021-1</v>
      </c>
      <c r="J107">
        <v>1</v>
      </c>
      <c r="L107" s="4">
        <v>2245</v>
      </c>
      <c r="O107" t="s">
        <v>35</v>
      </c>
      <c r="P107" t="s">
        <v>35</v>
      </c>
      <c r="Q107" t="str">
        <f t="shared" si="19"/>
        <v>14.4-2021-06-30</v>
      </c>
      <c r="R107">
        <v>0</v>
      </c>
      <c r="S107">
        <v>0</v>
      </c>
      <c r="T107" t="s">
        <v>31</v>
      </c>
      <c r="U107" t="s">
        <v>37</v>
      </c>
      <c r="V107" t="s">
        <v>30</v>
      </c>
      <c r="W107" t="s">
        <v>38</v>
      </c>
      <c r="X107" t="s">
        <v>39</v>
      </c>
      <c r="Y107" t="s">
        <v>40</v>
      </c>
      <c r="Z107" t="s">
        <v>86</v>
      </c>
      <c r="AA107" t="s">
        <v>339</v>
      </c>
      <c r="AB107" t="s">
        <v>78</v>
      </c>
      <c r="AC107" t="s">
        <v>31</v>
      </c>
    </row>
    <row r="108" spans="1:29" x14ac:dyDescent="0.3">
      <c r="A108">
        <v>14.4</v>
      </c>
      <c r="B108" t="s">
        <v>371</v>
      </c>
      <c r="C108" t="s">
        <v>186</v>
      </c>
      <c r="D108" t="s">
        <v>31</v>
      </c>
      <c r="E108" t="s">
        <v>32</v>
      </c>
      <c r="F108" s="3">
        <v>44561</v>
      </c>
      <c r="G108">
        <f t="shared" si="16"/>
        <v>2021</v>
      </c>
      <c r="H108" t="str">
        <f t="shared" si="17"/>
        <v>Diciembre</v>
      </c>
      <c r="I108" t="str">
        <f t="shared" si="18"/>
        <v>2021-2</v>
      </c>
      <c r="J108">
        <v>2</v>
      </c>
      <c r="L108" s="4">
        <v>2087</v>
      </c>
      <c r="O108" t="s">
        <v>35</v>
      </c>
      <c r="P108" t="s">
        <v>35</v>
      </c>
      <c r="Q108" t="str">
        <f t="shared" si="19"/>
        <v>14.4-2021-12-31</v>
      </c>
      <c r="R108">
        <v>0</v>
      </c>
      <c r="S108">
        <v>0</v>
      </c>
      <c r="T108" t="s">
        <v>31</v>
      </c>
      <c r="U108" t="s">
        <v>37</v>
      </c>
      <c r="V108" t="s">
        <v>30</v>
      </c>
      <c r="W108" t="s">
        <v>38</v>
      </c>
      <c r="X108" t="s">
        <v>39</v>
      </c>
      <c r="Y108" t="s">
        <v>40</v>
      </c>
      <c r="Z108" t="s">
        <v>86</v>
      </c>
      <c r="AA108" t="s">
        <v>339</v>
      </c>
      <c r="AB108" t="s">
        <v>78</v>
      </c>
      <c r="AC108" t="s">
        <v>31</v>
      </c>
    </row>
    <row r="109" spans="1:29" x14ac:dyDescent="0.3">
      <c r="A109">
        <v>14.4</v>
      </c>
      <c r="B109" t="s">
        <v>371</v>
      </c>
      <c r="C109" t="s">
        <v>186</v>
      </c>
      <c r="D109" t="s">
        <v>31</v>
      </c>
      <c r="E109" t="s">
        <v>32</v>
      </c>
      <c r="F109" s="3">
        <v>44561</v>
      </c>
      <c r="G109">
        <f t="shared" si="16"/>
        <v>2021</v>
      </c>
      <c r="H109" t="str">
        <f t="shared" si="17"/>
        <v>Diciembre</v>
      </c>
      <c r="I109" t="str">
        <f t="shared" si="18"/>
        <v>2021-2</v>
      </c>
      <c r="L109">
        <v>4332</v>
      </c>
      <c r="O109" t="s">
        <v>35</v>
      </c>
      <c r="P109" t="s">
        <v>35</v>
      </c>
      <c r="Q109" t="str">
        <f t="shared" si="19"/>
        <v>14.4-2021-12-31</v>
      </c>
      <c r="R109">
        <v>0</v>
      </c>
      <c r="S109">
        <v>0</v>
      </c>
      <c r="T109" t="s">
        <v>443</v>
      </c>
      <c r="U109" t="s">
        <v>37</v>
      </c>
      <c r="V109" t="s">
        <v>30</v>
      </c>
      <c r="W109" t="s">
        <v>38</v>
      </c>
      <c r="X109" t="s">
        <v>39</v>
      </c>
      <c r="Y109" t="s">
        <v>40</v>
      </c>
      <c r="Z109" t="s">
        <v>86</v>
      </c>
      <c r="AA109" t="s">
        <v>339</v>
      </c>
      <c r="AB109" t="s">
        <v>78</v>
      </c>
      <c r="AC109" t="s">
        <v>31</v>
      </c>
    </row>
    <row r="110" spans="1:29" x14ac:dyDescent="0.3">
      <c r="A110">
        <v>14.4</v>
      </c>
      <c r="B110" t="s">
        <v>371</v>
      </c>
      <c r="C110" t="s">
        <v>186</v>
      </c>
      <c r="D110" t="s">
        <v>31</v>
      </c>
      <c r="E110" t="s">
        <v>32</v>
      </c>
      <c r="F110" s="3">
        <v>44742</v>
      </c>
      <c r="G110">
        <v>2022</v>
      </c>
      <c r="H110" t="s">
        <v>33</v>
      </c>
      <c r="I110" t="s">
        <v>34</v>
      </c>
      <c r="J110">
        <v>1</v>
      </c>
      <c r="K110">
        <v>2408</v>
      </c>
      <c r="L110">
        <v>2398</v>
      </c>
      <c r="M110">
        <v>0.99584717607973416</v>
      </c>
      <c r="N110">
        <v>0.99584717607973416</v>
      </c>
      <c r="O110" t="s">
        <v>35</v>
      </c>
      <c r="P110" t="s">
        <v>35</v>
      </c>
      <c r="Q110" t="s">
        <v>372</v>
      </c>
      <c r="R110">
        <v>0</v>
      </c>
      <c r="S110">
        <v>0</v>
      </c>
      <c r="T110" t="s">
        <v>31</v>
      </c>
      <c r="U110" t="s">
        <v>37</v>
      </c>
      <c r="V110" t="s">
        <v>30</v>
      </c>
      <c r="W110" t="s">
        <v>38</v>
      </c>
      <c r="X110" t="s">
        <v>39</v>
      </c>
      <c r="Y110" t="s">
        <v>40</v>
      </c>
      <c r="Z110" t="s">
        <v>86</v>
      </c>
      <c r="AA110" t="s">
        <v>339</v>
      </c>
      <c r="AB110" t="s">
        <v>78</v>
      </c>
      <c r="AC110" t="s">
        <v>31</v>
      </c>
    </row>
    <row r="111" spans="1:29" x14ac:dyDescent="0.3">
      <c r="A111">
        <v>14.4</v>
      </c>
      <c r="B111" t="s">
        <v>371</v>
      </c>
      <c r="C111" t="s">
        <v>186</v>
      </c>
      <c r="D111" t="s">
        <v>31</v>
      </c>
      <c r="E111" t="s">
        <v>32</v>
      </c>
      <c r="F111" s="3">
        <v>44925</v>
      </c>
      <c r="G111">
        <v>2022</v>
      </c>
      <c r="H111" t="s">
        <v>44</v>
      </c>
      <c r="I111" t="s">
        <v>45</v>
      </c>
      <c r="J111">
        <v>2</v>
      </c>
      <c r="K111">
        <v>2230</v>
      </c>
      <c r="L111">
        <v>2610</v>
      </c>
      <c r="M111">
        <v>1.170403587443946</v>
      </c>
      <c r="N111">
        <v>1.170403587443946</v>
      </c>
      <c r="O111" t="s">
        <v>35</v>
      </c>
      <c r="P111" t="s">
        <v>35</v>
      </c>
      <c r="Q111" t="s">
        <v>373</v>
      </c>
      <c r="R111">
        <v>0</v>
      </c>
      <c r="S111">
        <v>0</v>
      </c>
      <c r="T111" t="s">
        <v>31</v>
      </c>
      <c r="U111" t="s">
        <v>37</v>
      </c>
      <c r="V111" t="s">
        <v>30</v>
      </c>
      <c r="W111" t="s">
        <v>38</v>
      </c>
      <c r="X111" t="s">
        <v>39</v>
      </c>
      <c r="Y111" t="s">
        <v>40</v>
      </c>
      <c r="Z111" t="s">
        <v>86</v>
      </c>
      <c r="AA111" t="s">
        <v>339</v>
      </c>
      <c r="AB111" t="s">
        <v>78</v>
      </c>
      <c r="AC111" t="s">
        <v>31</v>
      </c>
    </row>
    <row r="112" spans="1:29" x14ac:dyDescent="0.3">
      <c r="A112">
        <v>14.4</v>
      </c>
      <c r="B112" t="s">
        <v>371</v>
      </c>
      <c r="C112" t="s">
        <v>186</v>
      </c>
      <c r="D112" t="s">
        <v>31</v>
      </c>
      <c r="E112" t="s">
        <v>32</v>
      </c>
      <c r="F112" s="3">
        <v>44925</v>
      </c>
      <c r="G112">
        <v>2022</v>
      </c>
      <c r="H112" t="s">
        <v>44</v>
      </c>
      <c r="I112" t="s">
        <v>45</v>
      </c>
      <c r="K112">
        <v>4638</v>
      </c>
      <c r="L112">
        <v>5008</v>
      </c>
      <c r="M112">
        <v>1.079775765416128</v>
      </c>
      <c r="N112">
        <v>1.079775765416128</v>
      </c>
      <c r="O112" t="s">
        <v>35</v>
      </c>
      <c r="P112" t="s">
        <v>35</v>
      </c>
      <c r="Q112" t="s">
        <v>373</v>
      </c>
      <c r="R112">
        <v>0</v>
      </c>
      <c r="S112">
        <v>0</v>
      </c>
      <c r="T112" t="s">
        <v>443</v>
      </c>
      <c r="U112" t="s">
        <v>37</v>
      </c>
      <c r="V112" t="s">
        <v>30</v>
      </c>
      <c r="W112" t="s">
        <v>38</v>
      </c>
      <c r="X112" t="s">
        <v>39</v>
      </c>
      <c r="Y112" t="s">
        <v>40</v>
      </c>
      <c r="Z112" t="s">
        <v>86</v>
      </c>
      <c r="AA112" t="s">
        <v>339</v>
      </c>
      <c r="AB112" t="s">
        <v>78</v>
      </c>
      <c r="AC112" t="s">
        <v>31</v>
      </c>
    </row>
    <row r="113" spans="1:29" x14ac:dyDescent="0.3">
      <c r="A113">
        <v>14.4</v>
      </c>
      <c r="B113" t="s">
        <v>371</v>
      </c>
      <c r="C113" t="s">
        <v>186</v>
      </c>
      <c r="D113" t="s">
        <v>31</v>
      </c>
      <c r="E113" t="s">
        <v>32</v>
      </c>
      <c r="F113" s="3">
        <v>45107</v>
      </c>
      <c r="G113">
        <v>2023</v>
      </c>
      <c r="H113" t="s">
        <v>33</v>
      </c>
      <c r="I113" t="s">
        <v>47</v>
      </c>
      <c r="J113">
        <v>1</v>
      </c>
      <c r="K113">
        <v>2726</v>
      </c>
      <c r="L113">
        <v>2990</v>
      </c>
      <c r="M113">
        <v>1.096845194424064</v>
      </c>
      <c r="N113">
        <v>1.096845194424064</v>
      </c>
      <c r="O113" t="s">
        <v>35</v>
      </c>
      <c r="P113" t="s">
        <v>35</v>
      </c>
      <c r="Q113" t="s">
        <v>374</v>
      </c>
      <c r="R113">
        <v>0</v>
      </c>
      <c r="S113">
        <v>0</v>
      </c>
      <c r="T113" t="s">
        <v>31</v>
      </c>
      <c r="U113" t="s">
        <v>37</v>
      </c>
      <c r="V113" t="s">
        <v>30</v>
      </c>
      <c r="W113" t="s">
        <v>38</v>
      </c>
      <c r="X113" t="s">
        <v>39</v>
      </c>
      <c r="Y113" t="s">
        <v>40</v>
      </c>
      <c r="Z113" t="s">
        <v>86</v>
      </c>
      <c r="AA113" t="s">
        <v>339</v>
      </c>
      <c r="AB113" t="s">
        <v>78</v>
      </c>
      <c r="AC113" t="s">
        <v>31</v>
      </c>
    </row>
    <row r="114" spans="1:29" x14ac:dyDescent="0.3">
      <c r="A114">
        <v>14.4</v>
      </c>
      <c r="B114" t="s">
        <v>371</v>
      </c>
      <c r="C114" t="s">
        <v>186</v>
      </c>
      <c r="D114" t="s">
        <v>31</v>
      </c>
      <c r="E114" t="s">
        <v>32</v>
      </c>
      <c r="F114" s="3">
        <v>45291</v>
      </c>
      <c r="G114">
        <v>2023</v>
      </c>
      <c r="H114" t="s">
        <v>44</v>
      </c>
      <c r="I114" t="s">
        <v>49</v>
      </c>
      <c r="J114">
        <v>2</v>
      </c>
      <c r="K114">
        <v>2796</v>
      </c>
      <c r="L114">
        <v>3328</v>
      </c>
      <c r="M114">
        <v>1.1902718168812589</v>
      </c>
      <c r="N114">
        <v>1.1902718168812589</v>
      </c>
      <c r="O114" t="s">
        <v>35</v>
      </c>
      <c r="P114" t="s">
        <v>35</v>
      </c>
      <c r="Q114" t="s">
        <v>375</v>
      </c>
      <c r="R114">
        <v>0</v>
      </c>
      <c r="S114">
        <v>0</v>
      </c>
      <c r="T114" t="s">
        <v>31</v>
      </c>
      <c r="U114" t="s">
        <v>37</v>
      </c>
      <c r="V114" t="s">
        <v>30</v>
      </c>
      <c r="W114" t="s">
        <v>38</v>
      </c>
      <c r="X114" t="s">
        <v>39</v>
      </c>
      <c r="Y114" t="s">
        <v>40</v>
      </c>
      <c r="Z114" t="s">
        <v>86</v>
      </c>
      <c r="AA114" t="s">
        <v>339</v>
      </c>
      <c r="AB114" t="s">
        <v>78</v>
      </c>
      <c r="AC114" t="s">
        <v>31</v>
      </c>
    </row>
    <row r="115" spans="1:29" x14ac:dyDescent="0.3">
      <c r="A115">
        <v>14.4</v>
      </c>
      <c r="B115" t="s">
        <v>371</v>
      </c>
      <c r="C115" t="s">
        <v>186</v>
      </c>
      <c r="D115" t="s">
        <v>31</v>
      </c>
      <c r="E115" t="s">
        <v>32</v>
      </c>
      <c r="F115" s="3">
        <v>45291</v>
      </c>
      <c r="G115">
        <v>2023</v>
      </c>
      <c r="H115" t="s">
        <v>44</v>
      </c>
      <c r="I115" t="s">
        <v>49</v>
      </c>
      <c r="K115">
        <v>5522</v>
      </c>
      <c r="L115">
        <v>6318</v>
      </c>
      <c r="M115">
        <v>1.144150670047084</v>
      </c>
      <c r="N115">
        <v>1.144150670047084</v>
      </c>
      <c r="O115" t="s">
        <v>35</v>
      </c>
      <c r="P115" t="s">
        <v>35</v>
      </c>
      <c r="Q115" t="s">
        <v>375</v>
      </c>
      <c r="R115">
        <v>0</v>
      </c>
      <c r="S115">
        <v>0</v>
      </c>
      <c r="T115" t="s">
        <v>443</v>
      </c>
      <c r="U115" t="s">
        <v>37</v>
      </c>
      <c r="V115" t="s">
        <v>30</v>
      </c>
      <c r="W115" t="s">
        <v>38</v>
      </c>
      <c r="X115" t="s">
        <v>39</v>
      </c>
      <c r="Y115" t="s">
        <v>40</v>
      </c>
      <c r="Z115" t="s">
        <v>86</v>
      </c>
      <c r="AA115" t="s">
        <v>339</v>
      </c>
      <c r="AB115" t="s">
        <v>78</v>
      </c>
      <c r="AC115" t="s">
        <v>31</v>
      </c>
    </row>
    <row r="116" spans="1:29" x14ac:dyDescent="0.3">
      <c r="A116">
        <v>14.4</v>
      </c>
      <c r="B116" t="s">
        <v>371</v>
      </c>
      <c r="C116" t="s">
        <v>186</v>
      </c>
      <c r="D116" t="s">
        <v>31</v>
      </c>
      <c r="E116" t="s">
        <v>32</v>
      </c>
      <c r="F116" s="3">
        <v>45473</v>
      </c>
      <c r="G116">
        <v>2024</v>
      </c>
      <c r="H116" t="s">
        <v>33</v>
      </c>
      <c r="I116" t="s">
        <v>51</v>
      </c>
      <c r="J116">
        <v>1</v>
      </c>
      <c r="K116">
        <v>3093</v>
      </c>
      <c r="L116">
        <v>3485</v>
      </c>
      <c r="M116">
        <v>1.1267377950210149</v>
      </c>
      <c r="N116">
        <v>1.1267377950210149</v>
      </c>
      <c r="O116" t="s">
        <v>35</v>
      </c>
      <c r="P116" t="s">
        <v>35</v>
      </c>
      <c r="Q116" t="s">
        <v>376</v>
      </c>
      <c r="R116">
        <v>0</v>
      </c>
      <c r="S116">
        <v>0</v>
      </c>
      <c r="T116" t="s">
        <v>31</v>
      </c>
      <c r="U116" t="s">
        <v>37</v>
      </c>
      <c r="V116" t="s">
        <v>30</v>
      </c>
      <c r="W116" t="s">
        <v>38</v>
      </c>
      <c r="X116" t="s">
        <v>39</v>
      </c>
      <c r="Y116" t="s">
        <v>40</v>
      </c>
      <c r="Z116" t="s">
        <v>86</v>
      </c>
      <c r="AA116" t="s">
        <v>339</v>
      </c>
      <c r="AB116" t="s">
        <v>78</v>
      </c>
      <c r="AC116" t="s">
        <v>31</v>
      </c>
    </row>
    <row r="117" spans="1:29" x14ac:dyDescent="0.3">
      <c r="A117">
        <v>14.4</v>
      </c>
      <c r="B117" t="s">
        <v>371</v>
      </c>
      <c r="C117" t="s">
        <v>186</v>
      </c>
      <c r="D117" t="s">
        <v>31</v>
      </c>
      <c r="E117" t="s">
        <v>32</v>
      </c>
      <c r="F117" s="3">
        <v>45657</v>
      </c>
      <c r="G117">
        <v>2024</v>
      </c>
      <c r="H117" t="s">
        <v>44</v>
      </c>
      <c r="I117" t="s">
        <v>53</v>
      </c>
      <c r="J117">
        <v>2</v>
      </c>
      <c r="K117">
        <v>3055</v>
      </c>
      <c r="L117">
        <v>3666</v>
      </c>
      <c r="M117">
        <v>1.2</v>
      </c>
      <c r="N117">
        <v>1.2</v>
      </c>
      <c r="O117" t="s">
        <v>35</v>
      </c>
      <c r="P117" t="s">
        <v>35</v>
      </c>
      <c r="Q117" t="s">
        <v>402</v>
      </c>
      <c r="R117">
        <v>0</v>
      </c>
      <c r="S117">
        <v>0</v>
      </c>
      <c r="T117" t="s">
        <v>31</v>
      </c>
      <c r="U117" t="s">
        <v>37</v>
      </c>
      <c r="V117" t="s">
        <v>30</v>
      </c>
      <c r="W117" t="s">
        <v>38</v>
      </c>
      <c r="X117" t="s">
        <v>39</v>
      </c>
      <c r="Y117" t="s">
        <v>40</v>
      </c>
      <c r="Z117" t="s">
        <v>86</v>
      </c>
      <c r="AA117" t="s">
        <v>339</v>
      </c>
      <c r="AB117" t="s">
        <v>78</v>
      </c>
      <c r="AC117" t="s">
        <v>31</v>
      </c>
    </row>
    <row r="118" spans="1:29" x14ac:dyDescent="0.3">
      <c r="A118">
        <v>14.4</v>
      </c>
      <c r="B118" t="s">
        <v>371</v>
      </c>
      <c r="C118" t="s">
        <v>186</v>
      </c>
      <c r="D118" t="s">
        <v>31</v>
      </c>
      <c r="E118" t="s">
        <v>32</v>
      </c>
      <c r="F118" s="3">
        <v>45657</v>
      </c>
      <c r="G118">
        <v>2024</v>
      </c>
      <c r="H118" t="s">
        <v>44</v>
      </c>
      <c r="I118" t="s">
        <v>53</v>
      </c>
      <c r="K118">
        <v>6148</v>
      </c>
      <c r="L118">
        <v>7151</v>
      </c>
      <c r="M118">
        <v>1.163142485361093</v>
      </c>
      <c r="N118">
        <v>1.163142485361093</v>
      </c>
      <c r="O118" t="s">
        <v>35</v>
      </c>
      <c r="P118" t="s">
        <v>35</v>
      </c>
      <c r="Q118" t="s">
        <v>402</v>
      </c>
      <c r="R118">
        <v>0</v>
      </c>
      <c r="S118">
        <v>0</v>
      </c>
      <c r="T118" t="s">
        <v>443</v>
      </c>
      <c r="U118" t="s">
        <v>37</v>
      </c>
      <c r="V118" t="s">
        <v>30</v>
      </c>
      <c r="W118" t="s">
        <v>38</v>
      </c>
      <c r="X118" t="s">
        <v>39</v>
      </c>
      <c r="Y118" t="s">
        <v>40</v>
      </c>
      <c r="Z118" t="s">
        <v>86</v>
      </c>
      <c r="AA118" t="s">
        <v>339</v>
      </c>
      <c r="AB118" t="s">
        <v>78</v>
      </c>
      <c r="AC118" t="s">
        <v>31</v>
      </c>
    </row>
    <row r="119" spans="1:29" x14ac:dyDescent="0.3">
      <c r="A119">
        <v>14.4</v>
      </c>
      <c r="B119" t="s">
        <v>371</v>
      </c>
      <c r="C119" t="s">
        <v>186</v>
      </c>
      <c r="D119" t="s">
        <v>31</v>
      </c>
      <c r="E119" t="s">
        <v>32</v>
      </c>
      <c r="F119" s="3">
        <v>45838</v>
      </c>
      <c r="G119">
        <v>2025</v>
      </c>
      <c r="H119" t="s">
        <v>33</v>
      </c>
      <c r="I119" t="s">
        <v>404</v>
      </c>
      <c r="J119">
        <v>1</v>
      </c>
      <c r="K119">
        <v>3994</v>
      </c>
      <c r="L119">
        <v>4409</v>
      </c>
      <c r="M119">
        <v>1.103905858788182</v>
      </c>
      <c r="N119">
        <v>1.103905858788182</v>
      </c>
      <c r="O119" t="s">
        <v>35</v>
      </c>
      <c r="P119" t="s">
        <v>35</v>
      </c>
      <c r="Q119" t="s">
        <v>417</v>
      </c>
      <c r="R119">
        <v>0</v>
      </c>
      <c r="S119">
        <v>0</v>
      </c>
      <c r="T119" t="s">
        <v>31</v>
      </c>
      <c r="U119" t="s">
        <v>37</v>
      </c>
      <c r="V119" t="s">
        <v>30</v>
      </c>
      <c r="W119" t="s">
        <v>38</v>
      </c>
      <c r="X119" t="s">
        <v>39</v>
      </c>
      <c r="Y119" t="s">
        <v>40</v>
      </c>
      <c r="Z119" t="s">
        <v>86</v>
      </c>
      <c r="AA119" t="s">
        <v>339</v>
      </c>
      <c r="AB119" t="s">
        <v>78</v>
      </c>
      <c r="AC119" t="s">
        <v>31</v>
      </c>
    </row>
    <row r="120" spans="1:29" x14ac:dyDescent="0.3">
      <c r="A120">
        <v>14.4</v>
      </c>
      <c r="B120" t="s">
        <v>371</v>
      </c>
      <c r="C120" t="s">
        <v>186</v>
      </c>
      <c r="D120" t="s">
        <v>31</v>
      </c>
      <c r="E120" t="s">
        <v>32</v>
      </c>
      <c r="F120" s="3">
        <v>46022</v>
      </c>
      <c r="G120">
        <v>2025</v>
      </c>
      <c r="H120" t="s">
        <v>44</v>
      </c>
      <c r="I120" t="s">
        <v>465</v>
      </c>
      <c r="J120">
        <v>2</v>
      </c>
      <c r="K120">
        <v>3862</v>
      </c>
      <c r="L120" s="4">
        <v>4656</v>
      </c>
      <c r="M120">
        <v>1</v>
      </c>
      <c r="N120">
        <v>1</v>
      </c>
      <c r="O120" t="s">
        <v>35</v>
      </c>
      <c r="P120" t="s">
        <v>35</v>
      </c>
      <c r="Q120" t="s">
        <v>485</v>
      </c>
      <c r="R120">
        <v>0</v>
      </c>
      <c r="S120">
        <v>0</v>
      </c>
      <c r="T120" t="s">
        <v>31</v>
      </c>
      <c r="U120" t="s">
        <v>37</v>
      </c>
      <c r="V120" t="s">
        <v>30</v>
      </c>
      <c r="W120" t="s">
        <v>38</v>
      </c>
      <c r="X120" t="s">
        <v>39</v>
      </c>
      <c r="Y120" t="s">
        <v>40</v>
      </c>
      <c r="Z120" t="s">
        <v>86</v>
      </c>
      <c r="AA120" t="s">
        <v>339</v>
      </c>
      <c r="AB120" t="s">
        <v>78</v>
      </c>
      <c r="AC120" t="s">
        <v>31</v>
      </c>
    </row>
    <row r="121" spans="1:29" x14ac:dyDescent="0.3">
      <c r="A121">
        <v>14.4</v>
      </c>
      <c r="B121" t="s">
        <v>371</v>
      </c>
      <c r="C121" t="s">
        <v>186</v>
      </c>
      <c r="D121" t="s">
        <v>31</v>
      </c>
      <c r="E121" t="s">
        <v>32</v>
      </c>
      <c r="F121" s="3">
        <v>46022</v>
      </c>
      <c r="G121">
        <v>2025</v>
      </c>
      <c r="H121" t="s">
        <v>44</v>
      </c>
      <c r="I121" t="s">
        <v>465</v>
      </c>
      <c r="L121">
        <v>9065</v>
      </c>
      <c r="O121" t="s">
        <v>35</v>
      </c>
      <c r="P121" t="s">
        <v>35</v>
      </c>
      <c r="Q121" t="s">
        <v>485</v>
      </c>
      <c r="R121">
        <v>0</v>
      </c>
      <c r="S121">
        <v>0</v>
      </c>
      <c r="T121" t="s">
        <v>443</v>
      </c>
      <c r="U121" t="s">
        <v>37</v>
      </c>
      <c r="V121" t="s">
        <v>30</v>
      </c>
      <c r="W121" t="s">
        <v>38</v>
      </c>
      <c r="X121" t="s">
        <v>39</v>
      </c>
      <c r="Y121" t="s">
        <v>40</v>
      </c>
      <c r="Z121" t="s">
        <v>86</v>
      </c>
      <c r="AA121" t="s">
        <v>339</v>
      </c>
      <c r="AB121" t="s">
        <v>78</v>
      </c>
      <c r="AC121" t="s">
        <v>31</v>
      </c>
    </row>
    <row r="122" spans="1:29" x14ac:dyDescent="0.3">
      <c r="A122">
        <v>77</v>
      </c>
      <c r="B122" t="s">
        <v>55</v>
      </c>
      <c r="C122" t="s">
        <v>56</v>
      </c>
      <c r="D122" t="s">
        <v>57</v>
      </c>
      <c r="E122" t="s">
        <v>32</v>
      </c>
      <c r="F122" s="3">
        <v>44742</v>
      </c>
      <c r="G122">
        <v>2022</v>
      </c>
      <c r="H122" t="s">
        <v>33</v>
      </c>
      <c r="I122" t="s">
        <v>34</v>
      </c>
      <c r="J122">
        <v>1</v>
      </c>
      <c r="K122">
        <v>97</v>
      </c>
      <c r="L122">
        <v>97.683333333333323</v>
      </c>
      <c r="M122">
        <v>1.0070446735395191</v>
      </c>
      <c r="N122">
        <v>1.0070446735395191</v>
      </c>
      <c r="O122" t="s">
        <v>58</v>
      </c>
      <c r="P122" t="s">
        <v>58</v>
      </c>
      <c r="Q122" t="s">
        <v>59</v>
      </c>
      <c r="R122">
        <v>0</v>
      </c>
      <c r="S122">
        <v>1</v>
      </c>
      <c r="T122" t="s">
        <v>31</v>
      </c>
      <c r="U122" t="s">
        <v>37</v>
      </c>
      <c r="V122" t="s">
        <v>56</v>
      </c>
      <c r="W122" t="s">
        <v>60</v>
      </c>
      <c r="X122" t="s">
        <v>61</v>
      </c>
      <c r="Y122" t="s">
        <v>62</v>
      </c>
      <c r="Z122" t="s">
        <v>63</v>
      </c>
      <c r="AA122" t="s">
        <v>64</v>
      </c>
      <c r="AB122" t="s">
        <v>65</v>
      </c>
      <c r="AC122" t="s">
        <v>66</v>
      </c>
    </row>
    <row r="123" spans="1:29" x14ac:dyDescent="0.3">
      <c r="A123">
        <v>77</v>
      </c>
      <c r="B123" t="s">
        <v>55</v>
      </c>
      <c r="C123" t="s">
        <v>56</v>
      </c>
      <c r="D123" t="s">
        <v>57</v>
      </c>
      <c r="E123" t="s">
        <v>32</v>
      </c>
      <c r="F123" s="3">
        <v>44926</v>
      </c>
      <c r="G123">
        <v>2022</v>
      </c>
      <c r="H123" t="s">
        <v>44</v>
      </c>
      <c r="I123" t="s">
        <v>45</v>
      </c>
      <c r="J123">
        <v>2</v>
      </c>
      <c r="K123">
        <v>97</v>
      </c>
      <c r="L123">
        <v>98.116666666666674</v>
      </c>
      <c r="M123">
        <v>1.0115120274914089</v>
      </c>
      <c r="N123">
        <v>1.0115120274914089</v>
      </c>
      <c r="O123" t="s">
        <v>58</v>
      </c>
      <c r="P123" t="s">
        <v>58</v>
      </c>
      <c r="Q123" t="s">
        <v>67</v>
      </c>
      <c r="R123">
        <v>0</v>
      </c>
      <c r="S123">
        <v>1</v>
      </c>
      <c r="T123" t="s">
        <v>31</v>
      </c>
      <c r="U123" t="s">
        <v>37</v>
      </c>
      <c r="V123" t="s">
        <v>56</v>
      </c>
      <c r="W123" t="s">
        <v>60</v>
      </c>
      <c r="X123" t="s">
        <v>61</v>
      </c>
      <c r="Y123" t="s">
        <v>62</v>
      </c>
      <c r="Z123" t="s">
        <v>63</v>
      </c>
      <c r="AA123" t="s">
        <v>64</v>
      </c>
      <c r="AB123" t="s">
        <v>65</v>
      </c>
      <c r="AC123" t="s">
        <v>66</v>
      </c>
    </row>
    <row r="124" spans="1:29" x14ac:dyDescent="0.3">
      <c r="A124">
        <v>77</v>
      </c>
      <c r="B124" t="s">
        <v>55</v>
      </c>
      <c r="C124" t="s">
        <v>56</v>
      </c>
      <c r="D124" t="s">
        <v>57</v>
      </c>
      <c r="E124" t="s">
        <v>32</v>
      </c>
      <c r="F124" s="3">
        <v>44926</v>
      </c>
      <c r="G124">
        <v>2022</v>
      </c>
      <c r="H124" t="s">
        <v>44</v>
      </c>
      <c r="I124" t="s">
        <v>45</v>
      </c>
      <c r="K124">
        <v>97</v>
      </c>
      <c r="L124">
        <v>97.899999999999991</v>
      </c>
      <c r="M124">
        <v>1.0092783505154641</v>
      </c>
      <c r="N124">
        <v>1.0092783505154641</v>
      </c>
      <c r="O124" t="s">
        <v>58</v>
      </c>
      <c r="P124" t="s">
        <v>58</v>
      </c>
      <c r="Q124" t="s">
        <v>67</v>
      </c>
      <c r="R124">
        <v>0</v>
      </c>
      <c r="S124">
        <v>1</v>
      </c>
      <c r="T124" t="s">
        <v>443</v>
      </c>
      <c r="U124" t="s">
        <v>37</v>
      </c>
      <c r="V124" t="s">
        <v>56</v>
      </c>
      <c r="W124" t="s">
        <v>60</v>
      </c>
      <c r="X124" t="s">
        <v>61</v>
      </c>
      <c r="Y124" t="s">
        <v>62</v>
      </c>
      <c r="Z124" t="s">
        <v>63</v>
      </c>
      <c r="AA124" t="s">
        <v>64</v>
      </c>
      <c r="AB124" t="s">
        <v>65</v>
      </c>
      <c r="AC124" t="s">
        <v>66</v>
      </c>
    </row>
    <row r="125" spans="1:29" x14ac:dyDescent="0.3">
      <c r="A125">
        <v>77</v>
      </c>
      <c r="B125" t="s">
        <v>55</v>
      </c>
      <c r="C125" t="s">
        <v>56</v>
      </c>
      <c r="D125" t="s">
        <v>57</v>
      </c>
      <c r="E125" t="s">
        <v>32</v>
      </c>
      <c r="F125" s="3">
        <v>45107</v>
      </c>
      <c r="G125">
        <v>2023</v>
      </c>
      <c r="H125" t="s">
        <v>33</v>
      </c>
      <c r="I125" t="s">
        <v>47</v>
      </c>
      <c r="J125">
        <v>1</v>
      </c>
      <c r="K125">
        <v>97</v>
      </c>
      <c r="L125">
        <v>97.683333333333337</v>
      </c>
      <c r="M125">
        <v>1.0070446735395191</v>
      </c>
      <c r="N125">
        <v>1.0070446735395191</v>
      </c>
      <c r="O125" t="s">
        <v>58</v>
      </c>
      <c r="P125" t="s">
        <v>58</v>
      </c>
      <c r="Q125" t="s">
        <v>68</v>
      </c>
      <c r="R125">
        <v>0</v>
      </c>
      <c r="S125">
        <v>1</v>
      </c>
      <c r="T125" t="s">
        <v>31</v>
      </c>
      <c r="U125" t="s">
        <v>37</v>
      </c>
      <c r="V125" t="s">
        <v>56</v>
      </c>
      <c r="W125" t="s">
        <v>60</v>
      </c>
      <c r="X125" t="s">
        <v>61</v>
      </c>
      <c r="Y125" t="s">
        <v>62</v>
      </c>
      <c r="Z125" t="s">
        <v>63</v>
      </c>
      <c r="AA125" t="s">
        <v>64</v>
      </c>
      <c r="AB125" t="s">
        <v>65</v>
      </c>
      <c r="AC125" t="s">
        <v>66</v>
      </c>
    </row>
    <row r="126" spans="1:29" x14ac:dyDescent="0.3">
      <c r="A126">
        <v>77</v>
      </c>
      <c r="B126" t="s">
        <v>55</v>
      </c>
      <c r="C126" t="s">
        <v>56</v>
      </c>
      <c r="D126" t="s">
        <v>57</v>
      </c>
      <c r="E126" t="s">
        <v>32</v>
      </c>
      <c r="F126" s="3">
        <v>45291</v>
      </c>
      <c r="G126">
        <v>2023</v>
      </c>
      <c r="H126" t="s">
        <v>44</v>
      </c>
      <c r="I126" t="s">
        <v>49</v>
      </c>
      <c r="J126">
        <v>2</v>
      </c>
      <c r="K126">
        <v>97</v>
      </c>
      <c r="L126">
        <v>97.583333333333329</v>
      </c>
      <c r="M126">
        <v>1.0060137457044671</v>
      </c>
      <c r="N126">
        <v>1.0060137457044671</v>
      </c>
      <c r="O126" t="s">
        <v>58</v>
      </c>
      <c r="P126" t="s">
        <v>58</v>
      </c>
      <c r="Q126" t="s">
        <v>69</v>
      </c>
      <c r="R126">
        <v>0</v>
      </c>
      <c r="S126">
        <v>1</v>
      </c>
      <c r="T126" t="s">
        <v>31</v>
      </c>
      <c r="U126" t="s">
        <v>37</v>
      </c>
      <c r="V126" t="s">
        <v>56</v>
      </c>
      <c r="W126" t="s">
        <v>60</v>
      </c>
      <c r="X126" t="s">
        <v>61</v>
      </c>
      <c r="Y126" t="s">
        <v>62</v>
      </c>
      <c r="Z126" t="s">
        <v>63</v>
      </c>
      <c r="AA126" t="s">
        <v>64</v>
      </c>
      <c r="AB126" t="s">
        <v>65</v>
      </c>
      <c r="AC126" t="s">
        <v>66</v>
      </c>
    </row>
    <row r="127" spans="1:29" x14ac:dyDescent="0.3">
      <c r="A127">
        <v>77</v>
      </c>
      <c r="B127" t="s">
        <v>55</v>
      </c>
      <c r="C127" t="s">
        <v>56</v>
      </c>
      <c r="D127" t="s">
        <v>57</v>
      </c>
      <c r="E127" t="s">
        <v>32</v>
      </c>
      <c r="F127" s="3">
        <v>45291</v>
      </c>
      <c r="G127">
        <v>2023</v>
      </c>
      <c r="H127" t="s">
        <v>44</v>
      </c>
      <c r="I127" t="s">
        <v>49</v>
      </c>
      <c r="K127">
        <v>97</v>
      </c>
      <c r="L127">
        <v>97.633333333333326</v>
      </c>
      <c r="M127">
        <v>1.0065292096219931</v>
      </c>
      <c r="N127">
        <v>1.0065292096219931</v>
      </c>
      <c r="O127" t="s">
        <v>58</v>
      </c>
      <c r="P127" t="s">
        <v>58</v>
      </c>
      <c r="Q127" t="s">
        <v>69</v>
      </c>
      <c r="R127">
        <v>0</v>
      </c>
      <c r="S127">
        <v>1</v>
      </c>
      <c r="T127" t="s">
        <v>443</v>
      </c>
      <c r="U127" t="s">
        <v>37</v>
      </c>
      <c r="V127" t="s">
        <v>56</v>
      </c>
      <c r="W127" t="s">
        <v>60</v>
      </c>
      <c r="X127" t="s">
        <v>61</v>
      </c>
      <c r="Y127" t="s">
        <v>62</v>
      </c>
      <c r="Z127" t="s">
        <v>63</v>
      </c>
      <c r="AA127" t="s">
        <v>64</v>
      </c>
      <c r="AB127" t="s">
        <v>65</v>
      </c>
      <c r="AC127" t="s">
        <v>66</v>
      </c>
    </row>
    <row r="128" spans="1:29" x14ac:dyDescent="0.3">
      <c r="A128">
        <v>77</v>
      </c>
      <c r="B128" t="s">
        <v>55</v>
      </c>
      <c r="C128" t="s">
        <v>56</v>
      </c>
      <c r="D128" t="s">
        <v>57</v>
      </c>
      <c r="E128" t="s">
        <v>32</v>
      </c>
      <c r="F128" s="3">
        <v>45473</v>
      </c>
      <c r="G128">
        <v>2024</v>
      </c>
      <c r="H128" t="s">
        <v>33</v>
      </c>
      <c r="I128" t="s">
        <v>51</v>
      </c>
      <c r="J128">
        <v>1</v>
      </c>
      <c r="K128">
        <v>97</v>
      </c>
      <c r="L128">
        <v>98.331666666666663</v>
      </c>
      <c r="M128">
        <v>1.01372852233677</v>
      </c>
      <c r="N128">
        <v>1.01372852233677</v>
      </c>
      <c r="O128" t="s">
        <v>58</v>
      </c>
      <c r="P128" t="s">
        <v>58</v>
      </c>
      <c r="Q128" t="s">
        <v>392</v>
      </c>
      <c r="R128">
        <v>0</v>
      </c>
      <c r="S128">
        <v>1</v>
      </c>
      <c r="T128" t="s">
        <v>31</v>
      </c>
      <c r="U128" t="s">
        <v>37</v>
      </c>
      <c r="V128" t="s">
        <v>56</v>
      </c>
      <c r="W128" t="s">
        <v>60</v>
      </c>
      <c r="X128" t="s">
        <v>61</v>
      </c>
      <c r="Y128" t="s">
        <v>62</v>
      </c>
      <c r="Z128" t="s">
        <v>63</v>
      </c>
      <c r="AA128" t="s">
        <v>64</v>
      </c>
      <c r="AB128" t="s">
        <v>65</v>
      </c>
      <c r="AC128" t="s">
        <v>66</v>
      </c>
    </row>
    <row r="129" spans="1:29" x14ac:dyDescent="0.3">
      <c r="A129">
        <v>77</v>
      </c>
      <c r="B129" t="s">
        <v>55</v>
      </c>
      <c r="C129" t="s">
        <v>56</v>
      </c>
      <c r="D129" t="s">
        <v>57</v>
      </c>
      <c r="E129" t="s">
        <v>32</v>
      </c>
      <c r="F129" s="3">
        <v>45657</v>
      </c>
      <c r="G129">
        <v>2024</v>
      </c>
      <c r="H129" t="s">
        <v>44</v>
      </c>
      <c r="I129" t="s">
        <v>53</v>
      </c>
      <c r="J129">
        <v>2</v>
      </c>
      <c r="K129">
        <v>97</v>
      </c>
      <c r="L129">
        <v>96.533333333333346</v>
      </c>
      <c r="M129">
        <v>0.99518900343642624</v>
      </c>
      <c r="N129">
        <v>0.99518900343642624</v>
      </c>
      <c r="O129" t="s">
        <v>58</v>
      </c>
      <c r="P129" t="s">
        <v>58</v>
      </c>
      <c r="Q129" t="s">
        <v>393</v>
      </c>
      <c r="R129">
        <v>0</v>
      </c>
      <c r="S129">
        <v>1</v>
      </c>
      <c r="T129" t="s">
        <v>31</v>
      </c>
      <c r="U129" t="s">
        <v>37</v>
      </c>
      <c r="V129" t="s">
        <v>56</v>
      </c>
      <c r="W129" t="s">
        <v>60</v>
      </c>
      <c r="X129" t="s">
        <v>61</v>
      </c>
      <c r="Y129" t="s">
        <v>62</v>
      </c>
      <c r="Z129" t="s">
        <v>63</v>
      </c>
      <c r="AA129" t="s">
        <v>64</v>
      </c>
      <c r="AB129" t="s">
        <v>65</v>
      </c>
      <c r="AC129" t="s">
        <v>66</v>
      </c>
    </row>
    <row r="130" spans="1:29" x14ac:dyDescent="0.3">
      <c r="A130">
        <v>77</v>
      </c>
      <c r="B130" t="s">
        <v>55</v>
      </c>
      <c r="C130" t="s">
        <v>56</v>
      </c>
      <c r="D130" t="s">
        <v>57</v>
      </c>
      <c r="E130" t="s">
        <v>32</v>
      </c>
      <c r="F130" s="3">
        <v>45657</v>
      </c>
      <c r="G130">
        <v>2024</v>
      </c>
      <c r="H130" t="s">
        <v>44</v>
      </c>
      <c r="I130" t="s">
        <v>53</v>
      </c>
      <c r="K130">
        <v>97</v>
      </c>
      <c r="L130">
        <v>97.432500000000005</v>
      </c>
      <c r="M130">
        <v>1.004458762886598</v>
      </c>
      <c r="N130">
        <v>1.004458762886598</v>
      </c>
      <c r="O130" t="s">
        <v>58</v>
      </c>
      <c r="P130" t="s">
        <v>58</v>
      </c>
      <c r="Q130" t="s">
        <v>393</v>
      </c>
      <c r="R130">
        <v>0</v>
      </c>
      <c r="S130">
        <v>1</v>
      </c>
      <c r="T130" t="s">
        <v>443</v>
      </c>
      <c r="U130" t="s">
        <v>37</v>
      </c>
      <c r="V130" t="s">
        <v>56</v>
      </c>
      <c r="W130" t="s">
        <v>60</v>
      </c>
      <c r="X130" t="s">
        <v>61</v>
      </c>
      <c r="Y130" t="s">
        <v>62</v>
      </c>
      <c r="Z130" t="s">
        <v>63</v>
      </c>
      <c r="AA130" t="s">
        <v>64</v>
      </c>
      <c r="AB130" t="s">
        <v>65</v>
      </c>
      <c r="AC130" t="s">
        <v>66</v>
      </c>
    </row>
    <row r="131" spans="1:29" x14ac:dyDescent="0.3">
      <c r="A131">
        <v>77</v>
      </c>
      <c r="B131" t="s">
        <v>55</v>
      </c>
      <c r="C131" t="s">
        <v>56</v>
      </c>
      <c r="D131" t="s">
        <v>57</v>
      </c>
      <c r="E131" t="s">
        <v>32</v>
      </c>
      <c r="F131" s="3">
        <v>45838</v>
      </c>
      <c r="G131">
        <v>2025</v>
      </c>
      <c r="H131" t="s">
        <v>33</v>
      </c>
      <c r="I131" t="s">
        <v>404</v>
      </c>
      <c r="J131">
        <v>1</v>
      </c>
      <c r="K131">
        <v>97</v>
      </c>
      <c r="L131">
        <v>94.65</v>
      </c>
      <c r="M131">
        <v>0.97577319587628875</v>
      </c>
      <c r="N131">
        <v>0.97577319587628875</v>
      </c>
      <c r="O131" t="s">
        <v>58</v>
      </c>
      <c r="P131" t="s">
        <v>58</v>
      </c>
      <c r="Q131" t="s">
        <v>433</v>
      </c>
      <c r="R131">
        <v>0</v>
      </c>
      <c r="S131">
        <v>1</v>
      </c>
      <c r="T131" t="s">
        <v>31</v>
      </c>
      <c r="U131" t="s">
        <v>37</v>
      </c>
      <c r="V131" t="s">
        <v>56</v>
      </c>
      <c r="W131" t="s">
        <v>60</v>
      </c>
      <c r="X131" t="s">
        <v>61</v>
      </c>
      <c r="Y131" t="s">
        <v>62</v>
      </c>
      <c r="Z131" t="s">
        <v>63</v>
      </c>
      <c r="AA131" t="s">
        <v>64</v>
      </c>
      <c r="AB131" t="s">
        <v>65</v>
      </c>
      <c r="AC131" t="s">
        <v>66</v>
      </c>
    </row>
    <row r="132" spans="1:29" x14ac:dyDescent="0.3">
      <c r="A132">
        <v>77</v>
      </c>
      <c r="B132" t="s">
        <v>55</v>
      </c>
      <c r="C132" t="s">
        <v>56</v>
      </c>
      <c r="D132" t="s">
        <v>57</v>
      </c>
      <c r="E132" t="s">
        <v>32</v>
      </c>
      <c r="F132" s="3">
        <v>45838</v>
      </c>
      <c r="G132">
        <v>2025</v>
      </c>
      <c r="H132" t="s">
        <v>33</v>
      </c>
      <c r="I132" t="s">
        <v>404</v>
      </c>
      <c r="K132">
        <v>97</v>
      </c>
      <c r="L132">
        <v>94.65</v>
      </c>
      <c r="M132">
        <v>0.97577319587628875</v>
      </c>
      <c r="N132">
        <v>0.97577319587628875</v>
      </c>
      <c r="O132" t="s">
        <v>58</v>
      </c>
      <c r="P132" t="s">
        <v>58</v>
      </c>
      <c r="Q132" t="s">
        <v>433</v>
      </c>
      <c r="R132">
        <v>0</v>
      </c>
      <c r="S132">
        <v>1</v>
      </c>
      <c r="T132" t="s">
        <v>443</v>
      </c>
      <c r="U132" t="s">
        <v>37</v>
      </c>
      <c r="V132" t="s">
        <v>56</v>
      </c>
      <c r="W132" t="s">
        <v>60</v>
      </c>
      <c r="X132" t="s">
        <v>61</v>
      </c>
      <c r="Y132" t="s">
        <v>62</v>
      </c>
      <c r="Z132" t="s">
        <v>63</v>
      </c>
      <c r="AA132" t="s">
        <v>64</v>
      </c>
      <c r="AB132" t="s">
        <v>65</v>
      </c>
      <c r="AC132" t="s">
        <v>66</v>
      </c>
    </row>
    <row r="133" spans="1:29" x14ac:dyDescent="0.3">
      <c r="A133">
        <v>96</v>
      </c>
      <c r="B133" t="s">
        <v>70</v>
      </c>
      <c r="C133" t="s">
        <v>71</v>
      </c>
      <c r="D133" t="s">
        <v>66</v>
      </c>
      <c r="E133" t="s">
        <v>32</v>
      </c>
      <c r="F133" s="3">
        <v>44926</v>
      </c>
      <c r="G133">
        <v>2022</v>
      </c>
      <c r="H133" t="s">
        <v>44</v>
      </c>
      <c r="I133" t="s">
        <v>45</v>
      </c>
      <c r="J133">
        <v>2</v>
      </c>
      <c r="K133">
        <v>509</v>
      </c>
      <c r="L133">
        <v>565</v>
      </c>
      <c r="M133">
        <v>1.1100196463654219</v>
      </c>
      <c r="N133">
        <v>1.1100196463654219</v>
      </c>
      <c r="O133" t="s">
        <v>35</v>
      </c>
      <c r="P133" t="s">
        <v>35</v>
      </c>
      <c r="Q133" t="s">
        <v>72</v>
      </c>
      <c r="R133">
        <v>0</v>
      </c>
      <c r="S133">
        <v>0</v>
      </c>
      <c r="T133" t="s">
        <v>31</v>
      </c>
      <c r="U133" t="s">
        <v>37</v>
      </c>
      <c r="V133" t="s">
        <v>71</v>
      </c>
      <c r="W133" t="s">
        <v>73</v>
      </c>
      <c r="X133" t="s">
        <v>74</v>
      </c>
      <c r="Y133" t="s">
        <v>75</v>
      </c>
      <c r="Z133" t="s">
        <v>76</v>
      </c>
      <c r="AA133" t="s">
        <v>77</v>
      </c>
      <c r="AB133" t="s">
        <v>78</v>
      </c>
      <c r="AC133" t="s">
        <v>66</v>
      </c>
    </row>
    <row r="134" spans="1:29" x14ac:dyDescent="0.3">
      <c r="A134">
        <v>96</v>
      </c>
      <c r="B134" t="s">
        <v>70</v>
      </c>
      <c r="C134" t="s">
        <v>71</v>
      </c>
      <c r="D134" t="s">
        <v>66</v>
      </c>
      <c r="E134" t="s">
        <v>32</v>
      </c>
      <c r="F134" s="3">
        <v>44926</v>
      </c>
      <c r="G134">
        <v>2022</v>
      </c>
      <c r="H134" t="s">
        <v>44</v>
      </c>
      <c r="I134" t="s">
        <v>45</v>
      </c>
      <c r="K134">
        <v>509</v>
      </c>
      <c r="L134">
        <v>565</v>
      </c>
      <c r="M134">
        <v>1.1100196463654219</v>
      </c>
      <c r="N134">
        <v>1.1100196463654219</v>
      </c>
      <c r="O134" t="s">
        <v>35</v>
      </c>
      <c r="P134" t="s">
        <v>35</v>
      </c>
      <c r="Q134" t="s">
        <v>72</v>
      </c>
      <c r="R134">
        <v>0</v>
      </c>
      <c r="S134">
        <v>0</v>
      </c>
      <c r="T134" t="s">
        <v>443</v>
      </c>
      <c r="U134" t="s">
        <v>37</v>
      </c>
      <c r="V134" t="s">
        <v>71</v>
      </c>
      <c r="W134" t="s">
        <v>73</v>
      </c>
      <c r="X134" t="s">
        <v>74</v>
      </c>
      <c r="Y134" t="s">
        <v>75</v>
      </c>
      <c r="Z134" t="s">
        <v>76</v>
      </c>
      <c r="AA134" t="s">
        <v>77</v>
      </c>
      <c r="AB134" t="s">
        <v>78</v>
      </c>
      <c r="AC134" t="s">
        <v>66</v>
      </c>
    </row>
    <row r="135" spans="1:29" x14ac:dyDescent="0.3">
      <c r="A135">
        <v>96</v>
      </c>
      <c r="B135" t="s">
        <v>70</v>
      </c>
      <c r="C135" t="s">
        <v>71</v>
      </c>
      <c r="D135" t="s">
        <v>66</v>
      </c>
      <c r="E135" t="s">
        <v>32</v>
      </c>
      <c r="F135" s="3">
        <v>45107</v>
      </c>
      <c r="G135">
        <v>2023</v>
      </c>
      <c r="H135" t="s">
        <v>33</v>
      </c>
      <c r="I135" t="s">
        <v>47</v>
      </c>
      <c r="J135">
        <v>1</v>
      </c>
      <c r="K135">
        <v>305</v>
      </c>
      <c r="L135">
        <v>209</v>
      </c>
      <c r="M135">
        <v>0.68524590163934429</v>
      </c>
      <c r="N135">
        <v>0.68524590163934429</v>
      </c>
      <c r="O135" t="s">
        <v>35</v>
      </c>
      <c r="P135" t="s">
        <v>35</v>
      </c>
      <c r="Q135" t="s">
        <v>79</v>
      </c>
      <c r="R135">
        <v>0</v>
      </c>
      <c r="S135">
        <v>0</v>
      </c>
      <c r="T135" t="s">
        <v>31</v>
      </c>
      <c r="U135" t="s">
        <v>37</v>
      </c>
      <c r="V135" t="s">
        <v>71</v>
      </c>
      <c r="W135" t="s">
        <v>73</v>
      </c>
      <c r="X135" t="s">
        <v>74</v>
      </c>
      <c r="Y135" t="s">
        <v>75</v>
      </c>
      <c r="Z135" t="s">
        <v>76</v>
      </c>
      <c r="AA135" t="s">
        <v>77</v>
      </c>
      <c r="AB135" t="s">
        <v>78</v>
      </c>
      <c r="AC135" t="s">
        <v>66</v>
      </c>
    </row>
    <row r="136" spans="1:29" x14ac:dyDescent="0.3">
      <c r="A136">
        <v>96</v>
      </c>
      <c r="B136" t="s">
        <v>70</v>
      </c>
      <c r="C136" t="s">
        <v>71</v>
      </c>
      <c r="D136" t="s">
        <v>66</v>
      </c>
      <c r="E136" t="s">
        <v>32</v>
      </c>
      <c r="F136" s="3">
        <v>45291</v>
      </c>
      <c r="G136">
        <v>2023</v>
      </c>
      <c r="H136" t="s">
        <v>44</v>
      </c>
      <c r="I136" t="s">
        <v>49</v>
      </c>
      <c r="J136">
        <v>2</v>
      </c>
      <c r="K136">
        <v>306</v>
      </c>
      <c r="L136">
        <v>496</v>
      </c>
      <c r="M136">
        <v>1.3</v>
      </c>
      <c r="N136">
        <v>1.620915032679739</v>
      </c>
      <c r="O136" t="s">
        <v>35</v>
      </c>
      <c r="P136" t="s">
        <v>35</v>
      </c>
      <c r="Q136" t="s">
        <v>80</v>
      </c>
      <c r="R136">
        <v>0</v>
      </c>
      <c r="S136">
        <v>0</v>
      </c>
      <c r="T136" t="s">
        <v>31</v>
      </c>
      <c r="U136" t="s">
        <v>37</v>
      </c>
      <c r="V136" t="s">
        <v>71</v>
      </c>
      <c r="W136" t="s">
        <v>73</v>
      </c>
      <c r="X136" t="s">
        <v>74</v>
      </c>
      <c r="Y136" t="s">
        <v>75</v>
      </c>
      <c r="Z136" t="s">
        <v>76</v>
      </c>
      <c r="AA136" t="s">
        <v>77</v>
      </c>
      <c r="AB136" t="s">
        <v>78</v>
      </c>
      <c r="AC136" t="s">
        <v>66</v>
      </c>
    </row>
    <row r="137" spans="1:29" x14ac:dyDescent="0.3">
      <c r="A137">
        <v>96</v>
      </c>
      <c r="B137" t="s">
        <v>70</v>
      </c>
      <c r="C137" t="s">
        <v>71</v>
      </c>
      <c r="D137" t="s">
        <v>66</v>
      </c>
      <c r="E137" t="s">
        <v>32</v>
      </c>
      <c r="F137" s="3">
        <v>45291</v>
      </c>
      <c r="G137">
        <v>2023</v>
      </c>
      <c r="H137" t="s">
        <v>44</v>
      </c>
      <c r="I137" t="s">
        <v>49</v>
      </c>
      <c r="K137">
        <v>611</v>
      </c>
      <c r="L137">
        <v>705</v>
      </c>
      <c r="M137">
        <v>1.153846153846154</v>
      </c>
      <c r="N137">
        <v>1.153846153846154</v>
      </c>
      <c r="O137" t="s">
        <v>35</v>
      </c>
      <c r="P137" t="s">
        <v>35</v>
      </c>
      <c r="Q137" t="s">
        <v>80</v>
      </c>
      <c r="R137">
        <v>0</v>
      </c>
      <c r="S137">
        <v>0</v>
      </c>
      <c r="T137" t="s">
        <v>443</v>
      </c>
      <c r="U137" t="s">
        <v>37</v>
      </c>
      <c r="V137" t="s">
        <v>71</v>
      </c>
      <c r="W137" t="s">
        <v>73</v>
      </c>
      <c r="X137" t="s">
        <v>74</v>
      </c>
      <c r="Y137" t="s">
        <v>75</v>
      </c>
      <c r="Z137" t="s">
        <v>76</v>
      </c>
      <c r="AA137" t="s">
        <v>77</v>
      </c>
      <c r="AB137" t="s">
        <v>78</v>
      </c>
      <c r="AC137" t="s">
        <v>66</v>
      </c>
    </row>
    <row r="138" spans="1:29" x14ac:dyDescent="0.3">
      <c r="A138">
        <v>96</v>
      </c>
      <c r="B138" t="s">
        <v>70</v>
      </c>
      <c r="C138" t="s">
        <v>71</v>
      </c>
      <c r="D138" t="s">
        <v>66</v>
      </c>
      <c r="E138" t="s">
        <v>32</v>
      </c>
      <c r="F138" s="3">
        <v>45473</v>
      </c>
      <c r="G138">
        <v>2024</v>
      </c>
      <c r="H138" t="s">
        <v>33</v>
      </c>
      <c r="I138" t="s">
        <v>51</v>
      </c>
      <c r="J138">
        <v>1</v>
      </c>
      <c r="K138">
        <v>336</v>
      </c>
      <c r="L138">
        <v>143</v>
      </c>
      <c r="M138">
        <v>0.42559523809523808</v>
      </c>
      <c r="N138">
        <v>0.42559523809523808</v>
      </c>
      <c r="O138" t="s">
        <v>35</v>
      </c>
      <c r="P138" t="s">
        <v>35</v>
      </c>
      <c r="Q138" t="s">
        <v>81</v>
      </c>
      <c r="R138">
        <v>0</v>
      </c>
      <c r="S138">
        <v>0</v>
      </c>
      <c r="T138" t="s">
        <v>31</v>
      </c>
      <c r="U138" t="s">
        <v>37</v>
      </c>
      <c r="V138" t="s">
        <v>71</v>
      </c>
      <c r="W138" t="s">
        <v>73</v>
      </c>
      <c r="X138" t="s">
        <v>74</v>
      </c>
      <c r="Y138" t="s">
        <v>75</v>
      </c>
      <c r="Z138" t="s">
        <v>76</v>
      </c>
      <c r="AA138" t="s">
        <v>77</v>
      </c>
      <c r="AB138" t="s">
        <v>78</v>
      </c>
      <c r="AC138" t="s">
        <v>66</v>
      </c>
    </row>
    <row r="139" spans="1:29" x14ac:dyDescent="0.3">
      <c r="A139">
        <v>96</v>
      </c>
      <c r="B139" t="s">
        <v>70</v>
      </c>
      <c r="C139" t="s">
        <v>71</v>
      </c>
      <c r="D139" t="s">
        <v>66</v>
      </c>
      <c r="E139" t="s">
        <v>32</v>
      </c>
      <c r="F139" s="3">
        <v>45657</v>
      </c>
      <c r="G139">
        <v>2024</v>
      </c>
      <c r="H139" t="s">
        <v>44</v>
      </c>
      <c r="I139" t="s">
        <v>53</v>
      </c>
      <c r="J139">
        <v>2</v>
      </c>
      <c r="K139">
        <v>336</v>
      </c>
      <c r="L139">
        <v>597</v>
      </c>
      <c r="M139">
        <v>1.3</v>
      </c>
      <c r="N139">
        <v>1.776785714285714</v>
      </c>
      <c r="O139" t="s">
        <v>35</v>
      </c>
      <c r="P139" t="s">
        <v>35</v>
      </c>
      <c r="Q139" t="s">
        <v>394</v>
      </c>
      <c r="R139">
        <v>0</v>
      </c>
      <c r="S139">
        <v>0</v>
      </c>
      <c r="T139" t="s">
        <v>31</v>
      </c>
      <c r="U139" t="s">
        <v>37</v>
      </c>
      <c r="V139" t="s">
        <v>71</v>
      </c>
      <c r="W139" t="s">
        <v>73</v>
      </c>
      <c r="X139" t="s">
        <v>74</v>
      </c>
      <c r="Y139" t="s">
        <v>75</v>
      </c>
      <c r="Z139" t="s">
        <v>76</v>
      </c>
      <c r="AA139" t="s">
        <v>77</v>
      </c>
      <c r="AB139" t="s">
        <v>78</v>
      </c>
      <c r="AC139" t="s">
        <v>66</v>
      </c>
    </row>
    <row r="140" spans="1:29" x14ac:dyDescent="0.3">
      <c r="A140">
        <v>96</v>
      </c>
      <c r="B140" t="s">
        <v>70</v>
      </c>
      <c r="C140" t="s">
        <v>71</v>
      </c>
      <c r="D140" t="s">
        <v>66</v>
      </c>
      <c r="E140" t="s">
        <v>32</v>
      </c>
      <c r="F140" s="3">
        <v>45657</v>
      </c>
      <c r="G140">
        <v>2024</v>
      </c>
      <c r="H140" t="s">
        <v>44</v>
      </c>
      <c r="I140" t="s">
        <v>53</v>
      </c>
      <c r="K140">
        <v>672</v>
      </c>
      <c r="L140">
        <v>740</v>
      </c>
      <c r="M140">
        <v>1.1011904761904761</v>
      </c>
      <c r="N140">
        <v>1.1011904761904761</v>
      </c>
      <c r="O140" t="s">
        <v>35</v>
      </c>
      <c r="P140" t="s">
        <v>35</v>
      </c>
      <c r="Q140" t="s">
        <v>394</v>
      </c>
      <c r="R140">
        <v>0</v>
      </c>
      <c r="S140">
        <v>0</v>
      </c>
      <c r="T140" t="s">
        <v>443</v>
      </c>
      <c r="U140" t="s">
        <v>37</v>
      </c>
      <c r="V140" t="s">
        <v>71</v>
      </c>
      <c r="W140" t="s">
        <v>73</v>
      </c>
      <c r="X140" t="s">
        <v>74</v>
      </c>
      <c r="Y140" t="s">
        <v>75</v>
      </c>
      <c r="Z140" t="s">
        <v>76</v>
      </c>
      <c r="AA140" t="s">
        <v>77</v>
      </c>
      <c r="AB140" t="s">
        <v>78</v>
      </c>
      <c r="AC140" t="s">
        <v>66</v>
      </c>
    </row>
    <row r="141" spans="1:29" x14ac:dyDescent="0.3">
      <c r="A141">
        <v>97</v>
      </c>
      <c r="B141" t="s">
        <v>82</v>
      </c>
      <c r="C141" t="s">
        <v>83</v>
      </c>
      <c r="D141" t="s">
        <v>31</v>
      </c>
      <c r="E141" t="s">
        <v>32</v>
      </c>
      <c r="F141" s="3">
        <v>44742</v>
      </c>
      <c r="G141">
        <v>2022</v>
      </c>
      <c r="H141" t="s">
        <v>33</v>
      </c>
      <c r="I141" t="s">
        <v>34</v>
      </c>
      <c r="J141">
        <v>1</v>
      </c>
      <c r="K141">
        <v>2</v>
      </c>
      <c r="L141">
        <v>2</v>
      </c>
      <c r="M141">
        <v>1</v>
      </c>
      <c r="N141">
        <v>1</v>
      </c>
      <c r="O141" t="s">
        <v>35</v>
      </c>
      <c r="P141" t="s">
        <v>35</v>
      </c>
      <c r="Q141" t="s">
        <v>84</v>
      </c>
      <c r="R141">
        <v>0</v>
      </c>
      <c r="S141">
        <v>0</v>
      </c>
      <c r="T141" t="s">
        <v>31</v>
      </c>
      <c r="U141" t="s">
        <v>37</v>
      </c>
      <c r="V141" t="s">
        <v>83</v>
      </c>
      <c r="W141" t="s">
        <v>38</v>
      </c>
      <c r="X141" t="s">
        <v>39</v>
      </c>
      <c r="Y141" t="s">
        <v>85</v>
      </c>
      <c r="Z141" t="s">
        <v>86</v>
      </c>
      <c r="AA141" t="s">
        <v>87</v>
      </c>
      <c r="AB141" t="s">
        <v>78</v>
      </c>
      <c r="AC141" t="s">
        <v>66</v>
      </c>
    </row>
    <row r="142" spans="1:29" x14ac:dyDescent="0.3">
      <c r="A142">
        <v>97</v>
      </c>
      <c r="B142" t="s">
        <v>82</v>
      </c>
      <c r="C142" t="s">
        <v>83</v>
      </c>
      <c r="D142" t="s">
        <v>31</v>
      </c>
      <c r="E142" t="s">
        <v>32</v>
      </c>
      <c r="F142" s="3">
        <v>44926</v>
      </c>
      <c r="G142">
        <v>2022</v>
      </c>
      <c r="H142" t="s">
        <v>44</v>
      </c>
      <c r="I142" t="s">
        <v>45</v>
      </c>
      <c r="J142">
        <v>2</v>
      </c>
      <c r="K142">
        <v>0</v>
      </c>
      <c r="L142">
        <v>0</v>
      </c>
      <c r="O142" t="s">
        <v>35</v>
      </c>
      <c r="P142" t="s">
        <v>35</v>
      </c>
      <c r="Q142" t="s">
        <v>88</v>
      </c>
      <c r="R142">
        <v>0</v>
      </c>
      <c r="S142">
        <v>0</v>
      </c>
      <c r="T142" t="s">
        <v>31</v>
      </c>
      <c r="U142" t="s">
        <v>37</v>
      </c>
      <c r="V142" t="s">
        <v>83</v>
      </c>
      <c r="W142" t="s">
        <v>38</v>
      </c>
      <c r="X142" t="s">
        <v>39</v>
      </c>
      <c r="Y142" t="s">
        <v>85</v>
      </c>
      <c r="Z142" t="s">
        <v>86</v>
      </c>
      <c r="AA142" t="s">
        <v>87</v>
      </c>
      <c r="AB142" t="s">
        <v>78</v>
      </c>
      <c r="AC142" t="s">
        <v>66</v>
      </c>
    </row>
    <row r="143" spans="1:29" x14ac:dyDescent="0.3">
      <c r="A143">
        <v>97</v>
      </c>
      <c r="B143" t="s">
        <v>82</v>
      </c>
      <c r="C143" t="s">
        <v>83</v>
      </c>
      <c r="D143" t="s">
        <v>31</v>
      </c>
      <c r="E143" t="s">
        <v>32</v>
      </c>
      <c r="F143" s="3">
        <v>44926</v>
      </c>
      <c r="G143">
        <v>2022</v>
      </c>
      <c r="H143" t="s">
        <v>44</v>
      </c>
      <c r="I143" t="s">
        <v>45</v>
      </c>
      <c r="K143">
        <v>2</v>
      </c>
      <c r="L143">
        <v>2</v>
      </c>
      <c r="M143">
        <v>1</v>
      </c>
      <c r="N143">
        <v>1</v>
      </c>
      <c r="O143" t="s">
        <v>35</v>
      </c>
      <c r="P143" t="s">
        <v>35</v>
      </c>
      <c r="Q143" t="s">
        <v>88</v>
      </c>
      <c r="R143">
        <v>0</v>
      </c>
      <c r="S143">
        <v>0</v>
      </c>
      <c r="T143" t="s">
        <v>443</v>
      </c>
      <c r="U143" t="s">
        <v>37</v>
      </c>
      <c r="V143" t="s">
        <v>83</v>
      </c>
      <c r="W143" t="s">
        <v>38</v>
      </c>
      <c r="X143" t="s">
        <v>39</v>
      </c>
      <c r="Y143" t="s">
        <v>85</v>
      </c>
      <c r="Z143" t="s">
        <v>86</v>
      </c>
      <c r="AA143" t="s">
        <v>87</v>
      </c>
      <c r="AB143" t="s">
        <v>78</v>
      </c>
      <c r="AC143" t="s">
        <v>66</v>
      </c>
    </row>
    <row r="144" spans="1:29" x14ac:dyDescent="0.3">
      <c r="A144">
        <v>97</v>
      </c>
      <c r="B144" t="s">
        <v>82</v>
      </c>
      <c r="C144" t="s">
        <v>83</v>
      </c>
      <c r="D144" t="s">
        <v>31</v>
      </c>
      <c r="E144" t="s">
        <v>32</v>
      </c>
      <c r="F144" s="3">
        <v>45107</v>
      </c>
      <c r="G144">
        <v>2023</v>
      </c>
      <c r="H144" t="s">
        <v>33</v>
      </c>
      <c r="I144" t="s">
        <v>47</v>
      </c>
      <c r="J144">
        <v>1</v>
      </c>
      <c r="K144">
        <v>0</v>
      </c>
      <c r="L144">
        <v>0</v>
      </c>
      <c r="Q144" t="s">
        <v>89</v>
      </c>
      <c r="R144">
        <v>0</v>
      </c>
      <c r="S144">
        <v>0</v>
      </c>
      <c r="T144" t="s">
        <v>31</v>
      </c>
      <c r="U144" t="s">
        <v>37</v>
      </c>
      <c r="V144" t="s">
        <v>83</v>
      </c>
      <c r="W144" t="s">
        <v>38</v>
      </c>
      <c r="X144" t="s">
        <v>39</v>
      </c>
      <c r="Y144" t="s">
        <v>85</v>
      </c>
      <c r="Z144" t="s">
        <v>86</v>
      </c>
      <c r="AA144" t="s">
        <v>87</v>
      </c>
      <c r="AB144" t="s">
        <v>78</v>
      </c>
      <c r="AC144" t="s">
        <v>66</v>
      </c>
    </row>
    <row r="145" spans="1:29" x14ac:dyDescent="0.3">
      <c r="A145">
        <v>97</v>
      </c>
      <c r="B145" t="s">
        <v>82</v>
      </c>
      <c r="C145" t="s">
        <v>83</v>
      </c>
      <c r="D145" t="s">
        <v>31</v>
      </c>
      <c r="E145" t="s">
        <v>32</v>
      </c>
      <c r="F145" s="3">
        <v>45291</v>
      </c>
      <c r="G145">
        <v>2023</v>
      </c>
      <c r="H145" t="s">
        <v>44</v>
      </c>
      <c r="I145" t="s">
        <v>49</v>
      </c>
      <c r="J145">
        <v>2</v>
      </c>
      <c r="K145">
        <v>0</v>
      </c>
      <c r="L145">
        <v>0</v>
      </c>
      <c r="Q145" t="s">
        <v>90</v>
      </c>
      <c r="R145">
        <v>0</v>
      </c>
      <c r="S145">
        <v>0</v>
      </c>
      <c r="T145" t="s">
        <v>31</v>
      </c>
      <c r="U145" t="s">
        <v>37</v>
      </c>
      <c r="V145" t="s">
        <v>83</v>
      </c>
      <c r="W145" t="s">
        <v>38</v>
      </c>
      <c r="X145" t="s">
        <v>39</v>
      </c>
      <c r="Y145" t="s">
        <v>85</v>
      </c>
      <c r="Z145" t="s">
        <v>86</v>
      </c>
      <c r="AA145" t="s">
        <v>87</v>
      </c>
      <c r="AB145" t="s">
        <v>78</v>
      </c>
      <c r="AC145" t="s">
        <v>66</v>
      </c>
    </row>
    <row r="146" spans="1:29" x14ac:dyDescent="0.3">
      <c r="A146">
        <v>97</v>
      </c>
      <c r="B146" t="s">
        <v>82</v>
      </c>
      <c r="C146" t="s">
        <v>83</v>
      </c>
      <c r="D146" t="s">
        <v>31</v>
      </c>
      <c r="E146" t="s">
        <v>32</v>
      </c>
      <c r="F146" s="3">
        <v>45291</v>
      </c>
      <c r="G146">
        <v>2023</v>
      </c>
      <c r="H146" t="s">
        <v>44</v>
      </c>
      <c r="I146" t="s">
        <v>49</v>
      </c>
      <c r="K146">
        <v>0</v>
      </c>
      <c r="L146">
        <v>0</v>
      </c>
      <c r="O146" t="s">
        <v>35</v>
      </c>
      <c r="P146" t="s">
        <v>35</v>
      </c>
      <c r="Q146" t="s">
        <v>90</v>
      </c>
      <c r="R146">
        <v>0</v>
      </c>
      <c r="S146">
        <v>0</v>
      </c>
      <c r="T146" t="s">
        <v>443</v>
      </c>
      <c r="U146" t="s">
        <v>37</v>
      </c>
      <c r="V146" t="s">
        <v>83</v>
      </c>
      <c r="W146" t="s">
        <v>38</v>
      </c>
      <c r="X146" t="s">
        <v>39</v>
      </c>
      <c r="Y146" t="s">
        <v>85</v>
      </c>
      <c r="Z146" t="s">
        <v>86</v>
      </c>
      <c r="AA146" t="s">
        <v>87</v>
      </c>
      <c r="AB146" t="s">
        <v>78</v>
      </c>
      <c r="AC146" t="s">
        <v>66</v>
      </c>
    </row>
    <row r="147" spans="1:29" x14ac:dyDescent="0.3">
      <c r="A147">
        <v>97</v>
      </c>
      <c r="B147" t="s">
        <v>82</v>
      </c>
      <c r="C147" t="s">
        <v>83</v>
      </c>
      <c r="D147" t="s">
        <v>31</v>
      </c>
      <c r="E147" t="s">
        <v>32</v>
      </c>
      <c r="F147" s="3">
        <v>45473</v>
      </c>
      <c r="G147">
        <v>2024</v>
      </c>
      <c r="H147" t="s">
        <v>33</v>
      </c>
      <c r="I147" t="s">
        <v>51</v>
      </c>
      <c r="J147">
        <v>1</v>
      </c>
      <c r="K147">
        <v>0</v>
      </c>
      <c r="L147">
        <v>0</v>
      </c>
      <c r="Q147" t="s">
        <v>395</v>
      </c>
      <c r="R147">
        <v>0</v>
      </c>
      <c r="S147">
        <v>0</v>
      </c>
      <c r="T147" t="s">
        <v>31</v>
      </c>
      <c r="U147" t="s">
        <v>37</v>
      </c>
      <c r="V147" t="s">
        <v>83</v>
      </c>
      <c r="W147" t="s">
        <v>38</v>
      </c>
      <c r="X147" t="s">
        <v>39</v>
      </c>
      <c r="Y147" t="s">
        <v>85</v>
      </c>
      <c r="Z147" t="s">
        <v>86</v>
      </c>
      <c r="AA147" t="s">
        <v>87</v>
      </c>
      <c r="AB147" t="s">
        <v>78</v>
      </c>
      <c r="AC147" t="s">
        <v>66</v>
      </c>
    </row>
    <row r="148" spans="1:29" x14ac:dyDescent="0.3">
      <c r="A148">
        <v>97</v>
      </c>
      <c r="B148" t="s">
        <v>82</v>
      </c>
      <c r="C148" t="s">
        <v>83</v>
      </c>
      <c r="D148" t="s">
        <v>31</v>
      </c>
      <c r="E148" t="s">
        <v>32</v>
      </c>
      <c r="F148" s="3">
        <v>45657</v>
      </c>
      <c r="G148">
        <v>2024</v>
      </c>
      <c r="H148" t="s">
        <v>44</v>
      </c>
      <c r="I148" t="s">
        <v>53</v>
      </c>
      <c r="J148">
        <v>2</v>
      </c>
      <c r="K148">
        <v>0</v>
      </c>
      <c r="L148">
        <v>0</v>
      </c>
      <c r="Q148" t="s">
        <v>396</v>
      </c>
      <c r="R148">
        <v>0</v>
      </c>
      <c r="S148">
        <v>0</v>
      </c>
      <c r="T148" t="s">
        <v>31</v>
      </c>
      <c r="U148" t="s">
        <v>37</v>
      </c>
      <c r="V148" t="s">
        <v>83</v>
      </c>
      <c r="W148" t="s">
        <v>38</v>
      </c>
      <c r="X148" t="s">
        <v>39</v>
      </c>
      <c r="Y148" t="s">
        <v>85</v>
      </c>
      <c r="Z148" t="s">
        <v>86</v>
      </c>
      <c r="AA148" t="s">
        <v>87</v>
      </c>
      <c r="AB148" t="s">
        <v>78</v>
      </c>
      <c r="AC148" t="s">
        <v>66</v>
      </c>
    </row>
    <row r="149" spans="1:29" x14ac:dyDescent="0.3">
      <c r="A149">
        <v>97</v>
      </c>
      <c r="B149" t="s">
        <v>82</v>
      </c>
      <c r="C149" t="s">
        <v>83</v>
      </c>
      <c r="D149" t="s">
        <v>31</v>
      </c>
      <c r="E149" t="s">
        <v>32</v>
      </c>
      <c r="F149" s="3">
        <v>45657</v>
      </c>
      <c r="G149">
        <v>2024</v>
      </c>
      <c r="H149" t="s">
        <v>44</v>
      </c>
      <c r="I149" t="s">
        <v>53</v>
      </c>
      <c r="K149">
        <v>0</v>
      </c>
      <c r="L149">
        <v>0</v>
      </c>
      <c r="O149" t="s">
        <v>35</v>
      </c>
      <c r="P149" t="s">
        <v>35</v>
      </c>
      <c r="Q149" t="s">
        <v>396</v>
      </c>
      <c r="R149">
        <v>0</v>
      </c>
      <c r="S149">
        <v>0</v>
      </c>
      <c r="T149" t="s">
        <v>443</v>
      </c>
      <c r="U149" t="s">
        <v>37</v>
      </c>
      <c r="V149" t="s">
        <v>83</v>
      </c>
      <c r="W149" t="s">
        <v>38</v>
      </c>
      <c r="X149" t="s">
        <v>39</v>
      </c>
      <c r="Y149" t="s">
        <v>85</v>
      </c>
      <c r="Z149" t="s">
        <v>86</v>
      </c>
      <c r="AA149" t="s">
        <v>87</v>
      </c>
      <c r="AB149" t="s">
        <v>78</v>
      </c>
      <c r="AC149" t="s">
        <v>66</v>
      </c>
    </row>
    <row r="150" spans="1:29" x14ac:dyDescent="0.3">
      <c r="A150">
        <v>97</v>
      </c>
      <c r="B150" t="s">
        <v>82</v>
      </c>
      <c r="C150" t="s">
        <v>83</v>
      </c>
      <c r="D150" t="s">
        <v>31</v>
      </c>
      <c r="E150" t="s">
        <v>32</v>
      </c>
      <c r="F150" s="3">
        <v>45838</v>
      </c>
      <c r="G150">
        <v>2025</v>
      </c>
      <c r="H150" t="s">
        <v>33</v>
      </c>
      <c r="I150" t="s">
        <v>404</v>
      </c>
      <c r="K150">
        <v>0</v>
      </c>
      <c r="L150">
        <v>0</v>
      </c>
      <c r="O150" t="s">
        <v>35</v>
      </c>
      <c r="P150" t="s">
        <v>35</v>
      </c>
      <c r="Q150" t="s">
        <v>456</v>
      </c>
      <c r="R150">
        <v>0</v>
      </c>
      <c r="S150">
        <v>0</v>
      </c>
      <c r="T150" t="s">
        <v>443</v>
      </c>
      <c r="U150" t="s">
        <v>37</v>
      </c>
      <c r="V150" t="s">
        <v>83</v>
      </c>
      <c r="W150" t="s">
        <v>38</v>
      </c>
      <c r="X150" t="s">
        <v>39</v>
      </c>
      <c r="Y150" t="s">
        <v>85</v>
      </c>
      <c r="Z150" t="s">
        <v>86</v>
      </c>
      <c r="AA150" t="s">
        <v>87</v>
      </c>
      <c r="AB150" t="s">
        <v>78</v>
      </c>
      <c r="AC150" t="s">
        <v>66</v>
      </c>
    </row>
    <row r="151" spans="1:29" x14ac:dyDescent="0.3">
      <c r="A151">
        <v>98</v>
      </c>
      <c r="B151" t="s">
        <v>91</v>
      </c>
      <c r="C151" t="s">
        <v>83</v>
      </c>
      <c r="D151" t="s">
        <v>31</v>
      </c>
      <c r="E151" t="s">
        <v>32</v>
      </c>
      <c r="F151" s="3">
        <v>44742</v>
      </c>
      <c r="G151">
        <v>2022</v>
      </c>
      <c r="H151" t="s">
        <v>33</v>
      </c>
      <c r="I151" t="s">
        <v>34</v>
      </c>
      <c r="J151">
        <v>1</v>
      </c>
      <c r="K151">
        <v>0</v>
      </c>
      <c r="L151">
        <v>0</v>
      </c>
      <c r="O151" t="s">
        <v>35</v>
      </c>
      <c r="P151" t="s">
        <v>35</v>
      </c>
      <c r="Q151" t="s">
        <v>92</v>
      </c>
      <c r="R151">
        <v>0</v>
      </c>
      <c r="S151">
        <v>0</v>
      </c>
      <c r="T151" t="s">
        <v>31</v>
      </c>
      <c r="U151" t="s">
        <v>37</v>
      </c>
      <c r="V151" t="s">
        <v>83</v>
      </c>
      <c r="W151" t="s">
        <v>38</v>
      </c>
      <c r="X151" t="s">
        <v>39</v>
      </c>
      <c r="Y151" t="s">
        <v>85</v>
      </c>
      <c r="Z151" t="s">
        <v>86</v>
      </c>
      <c r="AA151" t="s">
        <v>87</v>
      </c>
      <c r="AB151" t="s">
        <v>78</v>
      </c>
      <c r="AC151" t="s">
        <v>66</v>
      </c>
    </row>
    <row r="152" spans="1:29" x14ac:dyDescent="0.3">
      <c r="A152">
        <v>98</v>
      </c>
      <c r="B152" t="s">
        <v>91</v>
      </c>
      <c r="C152" t="s">
        <v>83</v>
      </c>
      <c r="D152" t="s">
        <v>31</v>
      </c>
      <c r="E152" t="s">
        <v>32</v>
      </c>
      <c r="F152" s="3">
        <v>44926</v>
      </c>
      <c r="G152">
        <v>2022</v>
      </c>
      <c r="H152" t="s">
        <v>44</v>
      </c>
      <c r="I152" t="s">
        <v>45</v>
      </c>
      <c r="J152">
        <v>2</v>
      </c>
      <c r="K152">
        <v>2</v>
      </c>
      <c r="L152">
        <v>2</v>
      </c>
      <c r="M152">
        <v>1</v>
      </c>
      <c r="N152">
        <v>1</v>
      </c>
      <c r="O152" t="s">
        <v>35</v>
      </c>
      <c r="P152" t="s">
        <v>35</v>
      </c>
      <c r="Q152" t="s">
        <v>93</v>
      </c>
      <c r="R152">
        <v>0</v>
      </c>
      <c r="S152">
        <v>0</v>
      </c>
      <c r="T152" t="s">
        <v>31</v>
      </c>
      <c r="U152" t="s">
        <v>37</v>
      </c>
      <c r="V152" t="s">
        <v>83</v>
      </c>
      <c r="W152" t="s">
        <v>38</v>
      </c>
      <c r="X152" t="s">
        <v>39</v>
      </c>
      <c r="Y152" t="s">
        <v>85</v>
      </c>
      <c r="Z152" t="s">
        <v>86</v>
      </c>
      <c r="AA152" t="s">
        <v>87</v>
      </c>
      <c r="AB152" t="s">
        <v>78</v>
      </c>
      <c r="AC152" t="s">
        <v>66</v>
      </c>
    </row>
    <row r="153" spans="1:29" x14ac:dyDescent="0.3">
      <c r="A153">
        <v>98</v>
      </c>
      <c r="B153" t="s">
        <v>91</v>
      </c>
      <c r="C153" t="s">
        <v>83</v>
      </c>
      <c r="D153" t="s">
        <v>31</v>
      </c>
      <c r="E153" t="s">
        <v>32</v>
      </c>
      <c r="F153" s="3">
        <v>44926</v>
      </c>
      <c r="G153">
        <v>2022</v>
      </c>
      <c r="H153" t="s">
        <v>44</v>
      </c>
      <c r="I153" t="s">
        <v>45</v>
      </c>
      <c r="K153">
        <v>2</v>
      </c>
      <c r="L153">
        <v>2</v>
      </c>
      <c r="M153">
        <v>1</v>
      </c>
      <c r="N153">
        <v>1</v>
      </c>
      <c r="O153" t="s">
        <v>35</v>
      </c>
      <c r="P153" t="s">
        <v>35</v>
      </c>
      <c r="Q153" t="s">
        <v>93</v>
      </c>
      <c r="R153">
        <v>0</v>
      </c>
      <c r="S153">
        <v>0</v>
      </c>
      <c r="T153" t="s">
        <v>443</v>
      </c>
      <c r="U153" t="s">
        <v>37</v>
      </c>
      <c r="V153" t="s">
        <v>83</v>
      </c>
      <c r="W153" t="s">
        <v>38</v>
      </c>
      <c r="X153" t="s">
        <v>39</v>
      </c>
      <c r="Y153" t="s">
        <v>85</v>
      </c>
      <c r="Z153" t="s">
        <v>86</v>
      </c>
      <c r="AA153" t="s">
        <v>87</v>
      </c>
      <c r="AB153" t="s">
        <v>78</v>
      </c>
      <c r="AC153" t="s">
        <v>66</v>
      </c>
    </row>
    <row r="154" spans="1:29" x14ac:dyDescent="0.3">
      <c r="A154">
        <v>98</v>
      </c>
      <c r="B154" t="s">
        <v>91</v>
      </c>
      <c r="C154" t="s">
        <v>83</v>
      </c>
      <c r="D154" t="s">
        <v>31</v>
      </c>
      <c r="E154" t="s">
        <v>32</v>
      </c>
      <c r="F154" s="3">
        <v>45107</v>
      </c>
      <c r="G154">
        <v>2023</v>
      </c>
      <c r="H154" t="s">
        <v>33</v>
      </c>
      <c r="I154" t="s">
        <v>47</v>
      </c>
      <c r="J154">
        <v>1</v>
      </c>
      <c r="K154">
        <v>0</v>
      </c>
      <c r="L154">
        <v>0</v>
      </c>
      <c r="O154" t="s">
        <v>35</v>
      </c>
      <c r="P154" t="s">
        <v>35</v>
      </c>
      <c r="Q154" t="s">
        <v>94</v>
      </c>
      <c r="R154">
        <v>0</v>
      </c>
      <c r="S154">
        <v>0</v>
      </c>
      <c r="T154" t="s">
        <v>31</v>
      </c>
      <c r="U154" t="s">
        <v>37</v>
      </c>
      <c r="V154" t="s">
        <v>83</v>
      </c>
      <c r="W154" t="s">
        <v>38</v>
      </c>
      <c r="X154" t="s">
        <v>39</v>
      </c>
      <c r="Y154" t="s">
        <v>85</v>
      </c>
      <c r="Z154" t="s">
        <v>86</v>
      </c>
      <c r="AA154" t="s">
        <v>87</v>
      </c>
      <c r="AB154" t="s">
        <v>78</v>
      </c>
      <c r="AC154" t="s">
        <v>66</v>
      </c>
    </row>
    <row r="155" spans="1:29" x14ac:dyDescent="0.3">
      <c r="A155">
        <v>98</v>
      </c>
      <c r="B155" t="s">
        <v>91</v>
      </c>
      <c r="C155" t="s">
        <v>83</v>
      </c>
      <c r="D155" t="s">
        <v>31</v>
      </c>
      <c r="E155" t="s">
        <v>32</v>
      </c>
      <c r="F155" s="3">
        <v>45291</v>
      </c>
      <c r="G155">
        <v>2023</v>
      </c>
      <c r="H155" t="s">
        <v>44</v>
      </c>
      <c r="I155" t="s">
        <v>49</v>
      </c>
      <c r="J155">
        <v>2</v>
      </c>
      <c r="K155">
        <v>1</v>
      </c>
      <c r="L155">
        <v>1</v>
      </c>
      <c r="M155">
        <v>1</v>
      </c>
      <c r="N155">
        <v>1</v>
      </c>
      <c r="O155" t="s">
        <v>35</v>
      </c>
      <c r="P155" t="s">
        <v>35</v>
      </c>
      <c r="Q155" t="s">
        <v>95</v>
      </c>
      <c r="R155">
        <v>0</v>
      </c>
      <c r="S155">
        <v>0</v>
      </c>
      <c r="T155" t="s">
        <v>31</v>
      </c>
      <c r="U155" t="s">
        <v>37</v>
      </c>
      <c r="V155" t="s">
        <v>83</v>
      </c>
      <c r="W155" t="s">
        <v>38</v>
      </c>
      <c r="X155" t="s">
        <v>39</v>
      </c>
      <c r="Y155" t="s">
        <v>85</v>
      </c>
      <c r="Z155" t="s">
        <v>86</v>
      </c>
      <c r="AA155" t="s">
        <v>87</v>
      </c>
      <c r="AB155" t="s">
        <v>78</v>
      </c>
      <c r="AC155" t="s">
        <v>66</v>
      </c>
    </row>
    <row r="156" spans="1:29" x14ac:dyDescent="0.3">
      <c r="A156">
        <v>98</v>
      </c>
      <c r="B156" t="s">
        <v>91</v>
      </c>
      <c r="C156" t="s">
        <v>83</v>
      </c>
      <c r="D156" t="s">
        <v>31</v>
      </c>
      <c r="E156" t="s">
        <v>32</v>
      </c>
      <c r="F156" s="3">
        <v>45291</v>
      </c>
      <c r="G156">
        <v>2023</v>
      </c>
      <c r="H156" t="s">
        <v>44</v>
      </c>
      <c r="I156" t="s">
        <v>49</v>
      </c>
      <c r="K156">
        <v>1</v>
      </c>
      <c r="L156">
        <v>1</v>
      </c>
      <c r="M156">
        <v>1</v>
      </c>
      <c r="N156">
        <v>1</v>
      </c>
      <c r="O156" t="s">
        <v>35</v>
      </c>
      <c r="P156" t="s">
        <v>35</v>
      </c>
      <c r="Q156" t="s">
        <v>95</v>
      </c>
      <c r="R156">
        <v>0</v>
      </c>
      <c r="S156">
        <v>0</v>
      </c>
      <c r="T156" t="s">
        <v>443</v>
      </c>
      <c r="U156" t="s">
        <v>37</v>
      </c>
      <c r="V156" t="s">
        <v>83</v>
      </c>
      <c r="W156" t="s">
        <v>38</v>
      </c>
      <c r="X156" t="s">
        <v>39</v>
      </c>
      <c r="Y156" t="s">
        <v>85</v>
      </c>
      <c r="Z156" t="s">
        <v>86</v>
      </c>
      <c r="AA156" t="s">
        <v>87</v>
      </c>
      <c r="AB156" t="s">
        <v>78</v>
      </c>
      <c r="AC156" t="s">
        <v>66</v>
      </c>
    </row>
    <row r="157" spans="1:29" x14ac:dyDescent="0.3">
      <c r="A157">
        <v>98</v>
      </c>
      <c r="B157" t="s">
        <v>91</v>
      </c>
      <c r="C157" t="s">
        <v>83</v>
      </c>
      <c r="D157" t="s">
        <v>31</v>
      </c>
      <c r="E157" t="s">
        <v>32</v>
      </c>
      <c r="F157" s="3">
        <v>45473</v>
      </c>
      <c r="G157">
        <v>2024</v>
      </c>
      <c r="H157" t="s">
        <v>33</v>
      </c>
      <c r="I157" t="s">
        <v>47</v>
      </c>
      <c r="J157">
        <v>1</v>
      </c>
      <c r="K157">
        <v>0</v>
      </c>
      <c r="L157">
        <v>0</v>
      </c>
      <c r="Q157" t="s">
        <v>397</v>
      </c>
      <c r="R157">
        <v>0</v>
      </c>
      <c r="S157">
        <v>0</v>
      </c>
      <c r="T157" t="s">
        <v>31</v>
      </c>
      <c r="U157" t="s">
        <v>37</v>
      </c>
      <c r="V157" t="s">
        <v>83</v>
      </c>
      <c r="W157" t="s">
        <v>38</v>
      </c>
      <c r="X157" t="s">
        <v>39</v>
      </c>
      <c r="Y157" t="s">
        <v>85</v>
      </c>
      <c r="Z157" t="s">
        <v>86</v>
      </c>
      <c r="AA157" t="s">
        <v>87</v>
      </c>
      <c r="AB157" t="s">
        <v>78</v>
      </c>
      <c r="AC157" t="s">
        <v>66</v>
      </c>
    </row>
    <row r="158" spans="1:29" x14ac:dyDescent="0.3">
      <c r="A158">
        <v>98</v>
      </c>
      <c r="B158" t="s">
        <v>91</v>
      </c>
      <c r="C158" t="s">
        <v>83</v>
      </c>
      <c r="D158" t="s">
        <v>31</v>
      </c>
      <c r="E158" t="s">
        <v>32</v>
      </c>
      <c r="F158" s="3">
        <v>45657</v>
      </c>
      <c r="G158">
        <v>2024</v>
      </c>
      <c r="H158" t="s">
        <v>44</v>
      </c>
      <c r="I158" t="s">
        <v>53</v>
      </c>
      <c r="J158">
        <v>2</v>
      </c>
      <c r="K158">
        <v>5</v>
      </c>
      <c r="L158">
        <v>5</v>
      </c>
      <c r="M158">
        <v>1</v>
      </c>
      <c r="N158">
        <v>1</v>
      </c>
      <c r="O158" t="s">
        <v>35</v>
      </c>
      <c r="P158" t="s">
        <v>35</v>
      </c>
      <c r="Q158" t="s">
        <v>398</v>
      </c>
      <c r="R158">
        <v>0</v>
      </c>
      <c r="S158">
        <v>0</v>
      </c>
      <c r="T158" t="s">
        <v>31</v>
      </c>
      <c r="U158" t="s">
        <v>37</v>
      </c>
      <c r="V158" t="s">
        <v>83</v>
      </c>
      <c r="W158" t="s">
        <v>38</v>
      </c>
      <c r="X158" t="s">
        <v>39</v>
      </c>
      <c r="Y158" t="s">
        <v>85</v>
      </c>
      <c r="Z158" t="s">
        <v>86</v>
      </c>
      <c r="AA158" t="s">
        <v>87</v>
      </c>
      <c r="AB158" t="s">
        <v>78</v>
      </c>
      <c r="AC158" t="s">
        <v>66</v>
      </c>
    </row>
    <row r="159" spans="1:29" x14ac:dyDescent="0.3">
      <c r="A159">
        <v>98</v>
      </c>
      <c r="B159" t="s">
        <v>91</v>
      </c>
      <c r="C159" t="s">
        <v>83</v>
      </c>
      <c r="D159" t="s">
        <v>31</v>
      </c>
      <c r="E159" t="s">
        <v>32</v>
      </c>
      <c r="F159" s="3">
        <v>45657</v>
      </c>
      <c r="G159">
        <v>2024</v>
      </c>
      <c r="H159" t="s">
        <v>44</v>
      </c>
      <c r="I159" t="s">
        <v>53</v>
      </c>
      <c r="K159">
        <v>5</v>
      </c>
      <c r="L159">
        <v>5</v>
      </c>
      <c r="M159">
        <v>1</v>
      </c>
      <c r="N159">
        <v>1</v>
      </c>
      <c r="O159" t="s">
        <v>35</v>
      </c>
      <c r="P159" t="s">
        <v>35</v>
      </c>
      <c r="Q159" t="s">
        <v>398</v>
      </c>
      <c r="R159">
        <v>0</v>
      </c>
      <c r="S159">
        <v>0</v>
      </c>
      <c r="T159" t="s">
        <v>443</v>
      </c>
      <c r="U159" t="s">
        <v>37</v>
      </c>
      <c r="V159" t="s">
        <v>83</v>
      </c>
      <c r="W159" t="s">
        <v>38</v>
      </c>
      <c r="X159" t="s">
        <v>39</v>
      </c>
      <c r="Y159" t="s">
        <v>85</v>
      </c>
      <c r="Z159" t="s">
        <v>86</v>
      </c>
      <c r="AA159" t="s">
        <v>87</v>
      </c>
      <c r="AB159" t="s">
        <v>78</v>
      </c>
      <c r="AC159" t="s">
        <v>66</v>
      </c>
    </row>
    <row r="160" spans="1:29" x14ac:dyDescent="0.3">
      <c r="A160">
        <v>98</v>
      </c>
      <c r="B160" t="s">
        <v>91</v>
      </c>
      <c r="C160" t="s">
        <v>83</v>
      </c>
      <c r="D160" t="s">
        <v>31</v>
      </c>
      <c r="E160" t="s">
        <v>32</v>
      </c>
      <c r="F160" s="3">
        <v>45838</v>
      </c>
      <c r="G160">
        <v>2025</v>
      </c>
      <c r="H160" t="s">
        <v>33</v>
      </c>
      <c r="I160" t="s">
        <v>404</v>
      </c>
      <c r="J160">
        <v>1</v>
      </c>
      <c r="K160">
        <v>10</v>
      </c>
      <c r="L160">
        <v>10</v>
      </c>
      <c r="M160">
        <v>1</v>
      </c>
      <c r="N160">
        <v>1</v>
      </c>
      <c r="O160" t="s">
        <v>35</v>
      </c>
      <c r="P160" t="s">
        <v>35</v>
      </c>
      <c r="Q160" t="s">
        <v>418</v>
      </c>
      <c r="R160">
        <v>0</v>
      </c>
      <c r="S160">
        <v>0</v>
      </c>
      <c r="T160" t="s">
        <v>31</v>
      </c>
      <c r="U160" t="s">
        <v>37</v>
      </c>
      <c r="V160" t="s">
        <v>83</v>
      </c>
      <c r="W160" t="s">
        <v>38</v>
      </c>
      <c r="X160" t="s">
        <v>39</v>
      </c>
      <c r="Y160" t="s">
        <v>85</v>
      </c>
      <c r="Z160" t="s">
        <v>86</v>
      </c>
      <c r="AA160" t="s">
        <v>87</v>
      </c>
      <c r="AB160" t="s">
        <v>78</v>
      </c>
      <c r="AC160" t="s">
        <v>66</v>
      </c>
    </row>
    <row r="161" spans="1:29" x14ac:dyDescent="0.3">
      <c r="A161">
        <v>98</v>
      </c>
      <c r="B161" t="s">
        <v>91</v>
      </c>
      <c r="C161" t="s">
        <v>83</v>
      </c>
      <c r="D161" t="s">
        <v>31</v>
      </c>
      <c r="E161" t="s">
        <v>32</v>
      </c>
      <c r="F161" s="3">
        <v>45838</v>
      </c>
      <c r="G161">
        <v>2025</v>
      </c>
      <c r="H161" t="s">
        <v>33</v>
      </c>
      <c r="I161" t="s">
        <v>404</v>
      </c>
      <c r="K161">
        <v>10</v>
      </c>
      <c r="L161">
        <v>10</v>
      </c>
      <c r="M161">
        <v>1</v>
      </c>
      <c r="N161">
        <v>1</v>
      </c>
      <c r="O161" t="s">
        <v>35</v>
      </c>
      <c r="P161" t="s">
        <v>35</v>
      </c>
      <c r="Q161" t="s">
        <v>418</v>
      </c>
      <c r="R161">
        <v>0</v>
      </c>
      <c r="S161">
        <v>0</v>
      </c>
      <c r="T161" t="s">
        <v>443</v>
      </c>
      <c r="U161" t="s">
        <v>37</v>
      </c>
      <c r="V161" t="s">
        <v>83</v>
      </c>
      <c r="W161" t="s">
        <v>38</v>
      </c>
      <c r="X161" t="s">
        <v>39</v>
      </c>
      <c r="Y161" t="s">
        <v>85</v>
      </c>
      <c r="Z161" t="s">
        <v>86</v>
      </c>
      <c r="AA161" t="s">
        <v>87</v>
      </c>
      <c r="AB161" t="s">
        <v>78</v>
      </c>
      <c r="AC161" t="s">
        <v>66</v>
      </c>
    </row>
    <row r="162" spans="1:29" x14ac:dyDescent="0.3">
      <c r="A162">
        <v>109</v>
      </c>
      <c r="B162" t="s">
        <v>96</v>
      </c>
      <c r="C162" t="s">
        <v>97</v>
      </c>
      <c r="D162" t="s">
        <v>66</v>
      </c>
      <c r="E162" t="s">
        <v>32</v>
      </c>
      <c r="F162" s="3">
        <v>45291</v>
      </c>
      <c r="G162">
        <v>2023</v>
      </c>
      <c r="H162" t="s">
        <v>44</v>
      </c>
      <c r="I162" t="s">
        <v>49</v>
      </c>
      <c r="J162">
        <v>2</v>
      </c>
      <c r="K162">
        <v>80</v>
      </c>
      <c r="L162">
        <v>87.392767703668298</v>
      </c>
      <c r="M162">
        <v>1.092409596295854</v>
      </c>
      <c r="N162">
        <v>1.092409596295854</v>
      </c>
      <c r="O162" t="s">
        <v>58</v>
      </c>
      <c r="P162" t="s">
        <v>58</v>
      </c>
      <c r="Q162" t="s">
        <v>98</v>
      </c>
      <c r="R162">
        <v>0</v>
      </c>
      <c r="S162">
        <v>0</v>
      </c>
      <c r="T162" t="s">
        <v>31</v>
      </c>
      <c r="U162" t="s">
        <v>37</v>
      </c>
      <c r="V162" t="s">
        <v>99</v>
      </c>
      <c r="W162" t="s">
        <v>60</v>
      </c>
      <c r="X162" t="s">
        <v>100</v>
      </c>
      <c r="Z162" t="s">
        <v>101</v>
      </c>
      <c r="AA162" t="s">
        <v>102</v>
      </c>
      <c r="AB162" t="s">
        <v>65</v>
      </c>
      <c r="AC162" t="s">
        <v>66</v>
      </c>
    </row>
    <row r="163" spans="1:29" x14ac:dyDescent="0.3">
      <c r="A163">
        <v>109</v>
      </c>
      <c r="B163" t="s">
        <v>96</v>
      </c>
      <c r="C163" t="s">
        <v>99</v>
      </c>
      <c r="D163" t="s">
        <v>66</v>
      </c>
      <c r="E163" t="s">
        <v>32</v>
      </c>
      <c r="F163" s="3">
        <v>45291</v>
      </c>
      <c r="G163">
        <v>2023</v>
      </c>
      <c r="H163" t="s">
        <v>44</v>
      </c>
      <c r="I163" t="s">
        <v>49</v>
      </c>
      <c r="K163">
        <v>80</v>
      </c>
      <c r="L163">
        <v>87.392767703668298</v>
      </c>
      <c r="M163">
        <v>1.092409596295854</v>
      </c>
      <c r="N163">
        <v>1.092409596295854</v>
      </c>
      <c r="O163" t="s">
        <v>58</v>
      </c>
      <c r="P163" t="s">
        <v>58</v>
      </c>
      <c r="Q163" t="s">
        <v>98</v>
      </c>
      <c r="R163">
        <v>0</v>
      </c>
      <c r="S163">
        <v>0</v>
      </c>
      <c r="T163" t="s">
        <v>443</v>
      </c>
      <c r="U163" t="s">
        <v>37</v>
      </c>
      <c r="V163" t="s">
        <v>99</v>
      </c>
      <c r="W163" t="s">
        <v>60</v>
      </c>
      <c r="X163" t="s">
        <v>100</v>
      </c>
      <c r="Z163" t="s">
        <v>101</v>
      </c>
      <c r="AA163" t="s">
        <v>102</v>
      </c>
      <c r="AB163" t="s">
        <v>65</v>
      </c>
      <c r="AC163" t="s">
        <v>66</v>
      </c>
    </row>
    <row r="164" spans="1:29" x14ac:dyDescent="0.3">
      <c r="A164">
        <v>109</v>
      </c>
      <c r="B164" t="s">
        <v>96</v>
      </c>
      <c r="C164" t="s">
        <v>99</v>
      </c>
      <c r="D164" t="s">
        <v>66</v>
      </c>
      <c r="E164" t="s">
        <v>32</v>
      </c>
      <c r="F164" s="3">
        <v>45657</v>
      </c>
      <c r="G164">
        <v>2024</v>
      </c>
      <c r="H164" t="s">
        <v>44</v>
      </c>
      <c r="I164" t="s">
        <v>53</v>
      </c>
      <c r="J164">
        <v>2</v>
      </c>
      <c r="K164">
        <v>80</v>
      </c>
      <c r="L164">
        <v>85</v>
      </c>
      <c r="M164">
        <v>1.0625</v>
      </c>
      <c r="N164">
        <v>1.0625</v>
      </c>
      <c r="O164" t="s">
        <v>58</v>
      </c>
      <c r="P164" t="s">
        <v>58</v>
      </c>
      <c r="Q164" t="s">
        <v>103</v>
      </c>
      <c r="R164">
        <v>0</v>
      </c>
      <c r="S164">
        <v>0</v>
      </c>
      <c r="T164" t="s">
        <v>31</v>
      </c>
      <c r="U164" t="s">
        <v>37</v>
      </c>
      <c r="V164" t="s">
        <v>99</v>
      </c>
      <c r="W164" t="s">
        <v>60</v>
      </c>
      <c r="X164" t="s">
        <v>100</v>
      </c>
      <c r="Z164" t="s">
        <v>101</v>
      </c>
      <c r="AA164" t="s">
        <v>102</v>
      </c>
      <c r="AB164" t="s">
        <v>65</v>
      </c>
      <c r="AC164" t="s">
        <v>66</v>
      </c>
    </row>
    <row r="165" spans="1:29" x14ac:dyDescent="0.3">
      <c r="A165">
        <v>109</v>
      </c>
      <c r="B165" t="s">
        <v>96</v>
      </c>
      <c r="C165" t="s">
        <v>99</v>
      </c>
      <c r="D165" t="s">
        <v>66</v>
      </c>
      <c r="E165" t="s">
        <v>32</v>
      </c>
      <c r="F165" s="3">
        <v>45657</v>
      </c>
      <c r="G165">
        <v>2024</v>
      </c>
      <c r="H165" t="s">
        <v>44</v>
      </c>
      <c r="I165" t="s">
        <v>53</v>
      </c>
      <c r="K165">
        <v>80</v>
      </c>
      <c r="L165">
        <v>85</v>
      </c>
      <c r="M165">
        <v>1.0625</v>
      </c>
      <c r="N165">
        <v>1.0625</v>
      </c>
      <c r="O165" t="s">
        <v>58</v>
      </c>
      <c r="P165" t="s">
        <v>58</v>
      </c>
      <c r="Q165" t="s">
        <v>103</v>
      </c>
      <c r="R165">
        <v>0</v>
      </c>
      <c r="S165">
        <v>0</v>
      </c>
      <c r="T165" t="s">
        <v>443</v>
      </c>
      <c r="U165" t="s">
        <v>37</v>
      </c>
      <c r="V165" t="s">
        <v>99</v>
      </c>
      <c r="W165" t="s">
        <v>60</v>
      </c>
      <c r="X165" t="s">
        <v>100</v>
      </c>
      <c r="Z165" t="s">
        <v>101</v>
      </c>
      <c r="AA165" t="s">
        <v>102</v>
      </c>
      <c r="AB165" t="s">
        <v>65</v>
      </c>
      <c r="AC165" t="s">
        <v>66</v>
      </c>
    </row>
    <row r="166" spans="1:29" x14ac:dyDescent="0.3">
      <c r="A166">
        <v>109</v>
      </c>
      <c r="B166" t="s">
        <v>96</v>
      </c>
      <c r="C166" t="s">
        <v>99</v>
      </c>
      <c r="D166" t="s">
        <v>66</v>
      </c>
      <c r="E166" t="s">
        <v>32</v>
      </c>
      <c r="F166" s="3">
        <v>46022</v>
      </c>
      <c r="G166">
        <v>2025</v>
      </c>
      <c r="H166" t="s">
        <v>44</v>
      </c>
      <c r="I166" t="s">
        <v>465</v>
      </c>
      <c r="K166">
        <v>80</v>
      </c>
      <c r="L166">
        <v>94</v>
      </c>
      <c r="M166">
        <f>+L166/K166</f>
        <v>1.175</v>
      </c>
      <c r="N166">
        <v>1.0625</v>
      </c>
      <c r="O166" t="s">
        <v>58</v>
      </c>
      <c r="P166" t="s">
        <v>58</v>
      </c>
      <c r="Q166" t="s">
        <v>488</v>
      </c>
      <c r="R166">
        <v>0</v>
      </c>
      <c r="S166">
        <v>0</v>
      </c>
      <c r="T166" t="s">
        <v>443</v>
      </c>
      <c r="U166" t="s">
        <v>37</v>
      </c>
      <c r="V166" t="s">
        <v>99</v>
      </c>
      <c r="W166" t="s">
        <v>60</v>
      </c>
      <c r="X166" t="s">
        <v>100</v>
      </c>
      <c r="Z166" t="s">
        <v>101</v>
      </c>
      <c r="AA166" t="s">
        <v>102</v>
      </c>
      <c r="AB166" t="s">
        <v>65</v>
      </c>
      <c r="AC166" t="s">
        <v>66</v>
      </c>
    </row>
    <row r="167" spans="1:29" x14ac:dyDescent="0.3">
      <c r="A167">
        <v>148</v>
      </c>
      <c r="B167" t="s">
        <v>104</v>
      </c>
      <c r="C167" t="s">
        <v>105</v>
      </c>
      <c r="D167" t="s">
        <v>31</v>
      </c>
      <c r="E167" t="s">
        <v>32</v>
      </c>
      <c r="F167" s="3">
        <v>44926</v>
      </c>
      <c r="G167">
        <v>2022</v>
      </c>
      <c r="H167" t="s">
        <v>44</v>
      </c>
      <c r="I167" t="s">
        <v>45</v>
      </c>
      <c r="K167">
        <v>5</v>
      </c>
      <c r="L167">
        <v>4.66</v>
      </c>
      <c r="M167">
        <v>0.93200000000000005</v>
      </c>
      <c r="N167">
        <v>0.93200000000000005</v>
      </c>
      <c r="O167" t="s">
        <v>58</v>
      </c>
      <c r="P167" t="s">
        <v>58</v>
      </c>
      <c r="Q167" t="s">
        <v>444</v>
      </c>
      <c r="R167">
        <v>0</v>
      </c>
      <c r="S167">
        <v>1</v>
      </c>
      <c r="T167" t="s">
        <v>443</v>
      </c>
      <c r="U167" t="s">
        <v>37</v>
      </c>
      <c r="V167" t="s">
        <v>105</v>
      </c>
      <c r="W167" t="s">
        <v>73</v>
      </c>
      <c r="X167" t="s">
        <v>74</v>
      </c>
      <c r="Y167" t="s">
        <v>75</v>
      </c>
      <c r="Z167" t="s">
        <v>76</v>
      </c>
      <c r="AA167" t="s">
        <v>77</v>
      </c>
      <c r="AB167" t="s">
        <v>43</v>
      </c>
      <c r="AC167" t="s">
        <v>31</v>
      </c>
    </row>
    <row r="168" spans="1:29" x14ac:dyDescent="0.3">
      <c r="A168">
        <v>148</v>
      </c>
      <c r="B168" t="s">
        <v>104</v>
      </c>
      <c r="C168" t="s">
        <v>105</v>
      </c>
      <c r="D168" t="s">
        <v>31</v>
      </c>
      <c r="E168" t="s">
        <v>32</v>
      </c>
      <c r="F168" s="3">
        <v>45107</v>
      </c>
      <c r="G168">
        <v>2023</v>
      </c>
      <c r="H168" t="s">
        <v>33</v>
      </c>
      <c r="I168" t="s">
        <v>47</v>
      </c>
      <c r="J168">
        <v>1</v>
      </c>
      <c r="K168">
        <v>2.5</v>
      </c>
      <c r="L168">
        <v>3.57</v>
      </c>
      <c r="M168">
        <v>1.3</v>
      </c>
      <c r="N168">
        <v>1.4279999999999999</v>
      </c>
      <c r="O168" t="s">
        <v>58</v>
      </c>
      <c r="P168" t="s">
        <v>58</v>
      </c>
      <c r="Q168" t="s">
        <v>106</v>
      </c>
      <c r="R168">
        <v>1</v>
      </c>
      <c r="S168">
        <v>1</v>
      </c>
      <c r="T168" t="s">
        <v>31</v>
      </c>
      <c r="U168" t="s">
        <v>37</v>
      </c>
      <c r="V168" t="s">
        <v>105</v>
      </c>
      <c r="W168" t="s">
        <v>73</v>
      </c>
      <c r="X168" t="s">
        <v>74</v>
      </c>
      <c r="Y168" t="s">
        <v>75</v>
      </c>
      <c r="Z168" t="s">
        <v>76</v>
      </c>
      <c r="AA168" t="s">
        <v>77</v>
      </c>
      <c r="AB168" t="s">
        <v>43</v>
      </c>
      <c r="AC168" t="s">
        <v>31</v>
      </c>
    </row>
    <row r="169" spans="1:29" x14ac:dyDescent="0.3">
      <c r="A169">
        <v>148</v>
      </c>
      <c r="B169" t="s">
        <v>104</v>
      </c>
      <c r="C169" t="s">
        <v>105</v>
      </c>
      <c r="D169" t="s">
        <v>31</v>
      </c>
      <c r="E169" t="s">
        <v>32</v>
      </c>
      <c r="F169" s="3">
        <v>45291</v>
      </c>
      <c r="G169">
        <v>2023</v>
      </c>
      <c r="H169" t="s">
        <v>44</v>
      </c>
      <c r="I169" t="s">
        <v>49</v>
      </c>
      <c r="J169">
        <v>2</v>
      </c>
      <c r="K169">
        <v>5</v>
      </c>
      <c r="L169">
        <v>5.71</v>
      </c>
      <c r="M169">
        <v>1.1419999999999999</v>
      </c>
      <c r="N169">
        <v>1.1419999999999999</v>
      </c>
      <c r="O169" t="s">
        <v>58</v>
      </c>
      <c r="P169" t="s">
        <v>58</v>
      </c>
      <c r="Q169" t="s">
        <v>107</v>
      </c>
      <c r="R169">
        <v>1</v>
      </c>
      <c r="S169">
        <v>1</v>
      </c>
      <c r="T169" t="s">
        <v>31</v>
      </c>
      <c r="U169" t="s">
        <v>37</v>
      </c>
      <c r="V169" t="s">
        <v>105</v>
      </c>
      <c r="W169" t="s">
        <v>73</v>
      </c>
      <c r="X169" t="s">
        <v>74</v>
      </c>
      <c r="Y169" t="s">
        <v>75</v>
      </c>
      <c r="Z169" t="s">
        <v>76</v>
      </c>
      <c r="AA169" t="s">
        <v>77</v>
      </c>
      <c r="AB169" t="s">
        <v>43</v>
      </c>
      <c r="AC169" t="s">
        <v>31</v>
      </c>
    </row>
    <row r="170" spans="1:29" x14ac:dyDescent="0.3">
      <c r="A170">
        <v>148</v>
      </c>
      <c r="B170" t="s">
        <v>104</v>
      </c>
      <c r="C170" t="s">
        <v>105</v>
      </c>
      <c r="D170" t="s">
        <v>31</v>
      </c>
      <c r="E170" t="s">
        <v>32</v>
      </c>
      <c r="F170" s="3">
        <v>45291</v>
      </c>
      <c r="G170">
        <v>2023</v>
      </c>
      <c r="H170" t="s">
        <v>44</v>
      </c>
      <c r="I170" t="s">
        <v>49</v>
      </c>
      <c r="K170">
        <v>5</v>
      </c>
      <c r="L170">
        <v>5.71</v>
      </c>
      <c r="M170">
        <v>1.1419999999999999</v>
      </c>
      <c r="N170">
        <v>1.1419999999999999</v>
      </c>
      <c r="O170" t="s">
        <v>58</v>
      </c>
      <c r="P170" t="s">
        <v>58</v>
      </c>
      <c r="Q170" t="s">
        <v>107</v>
      </c>
      <c r="R170">
        <v>0</v>
      </c>
      <c r="S170">
        <v>1</v>
      </c>
      <c r="T170" t="s">
        <v>443</v>
      </c>
      <c r="U170" t="s">
        <v>37</v>
      </c>
      <c r="V170" t="s">
        <v>105</v>
      </c>
      <c r="W170" t="s">
        <v>73</v>
      </c>
      <c r="X170" t="s">
        <v>74</v>
      </c>
      <c r="Y170" t="s">
        <v>75</v>
      </c>
      <c r="Z170" t="s">
        <v>76</v>
      </c>
      <c r="AA170" t="s">
        <v>77</v>
      </c>
      <c r="AB170" t="s">
        <v>43</v>
      </c>
      <c r="AC170" t="s">
        <v>31</v>
      </c>
    </row>
    <row r="171" spans="1:29" x14ac:dyDescent="0.3">
      <c r="A171">
        <v>148</v>
      </c>
      <c r="B171" t="s">
        <v>104</v>
      </c>
      <c r="C171" t="s">
        <v>105</v>
      </c>
      <c r="D171" t="s">
        <v>31</v>
      </c>
      <c r="E171" t="s">
        <v>32</v>
      </c>
      <c r="F171" s="3">
        <v>45473</v>
      </c>
      <c r="G171">
        <v>2024</v>
      </c>
      <c r="H171" t="s">
        <v>33</v>
      </c>
      <c r="I171" t="s">
        <v>51</v>
      </c>
      <c r="J171">
        <v>1</v>
      </c>
      <c r="K171">
        <v>5</v>
      </c>
      <c r="L171">
        <v>4.3</v>
      </c>
      <c r="M171">
        <v>0.86</v>
      </c>
      <c r="N171">
        <v>0.86</v>
      </c>
      <c r="O171" t="s">
        <v>58</v>
      </c>
      <c r="P171" t="s">
        <v>58</v>
      </c>
      <c r="Q171" t="s">
        <v>108</v>
      </c>
      <c r="R171">
        <v>1</v>
      </c>
      <c r="S171">
        <v>1</v>
      </c>
      <c r="T171" t="s">
        <v>31</v>
      </c>
      <c r="U171" t="s">
        <v>37</v>
      </c>
      <c r="V171" t="s">
        <v>105</v>
      </c>
      <c r="W171" t="s">
        <v>73</v>
      </c>
      <c r="X171" t="s">
        <v>74</v>
      </c>
      <c r="Y171" t="s">
        <v>75</v>
      </c>
      <c r="Z171" t="s">
        <v>76</v>
      </c>
      <c r="AA171" t="s">
        <v>77</v>
      </c>
      <c r="AB171" t="s">
        <v>43</v>
      </c>
      <c r="AC171" t="s">
        <v>31</v>
      </c>
    </row>
    <row r="172" spans="1:29" x14ac:dyDescent="0.3">
      <c r="A172">
        <v>148</v>
      </c>
      <c r="B172" t="s">
        <v>104</v>
      </c>
      <c r="C172" t="s">
        <v>105</v>
      </c>
      <c r="D172" t="s">
        <v>31</v>
      </c>
      <c r="E172" t="s">
        <v>32</v>
      </c>
      <c r="F172" s="3">
        <v>45657</v>
      </c>
      <c r="G172">
        <v>2024</v>
      </c>
      <c r="H172" t="s">
        <v>44</v>
      </c>
      <c r="I172" t="s">
        <v>53</v>
      </c>
      <c r="J172">
        <v>2</v>
      </c>
      <c r="K172">
        <v>5</v>
      </c>
      <c r="L172">
        <v>6.3</v>
      </c>
      <c r="M172">
        <v>1.26</v>
      </c>
      <c r="N172">
        <v>1.26</v>
      </c>
      <c r="O172" t="s">
        <v>58</v>
      </c>
      <c r="P172" t="s">
        <v>58</v>
      </c>
      <c r="Q172" t="s">
        <v>109</v>
      </c>
      <c r="R172">
        <v>0</v>
      </c>
      <c r="S172">
        <v>0</v>
      </c>
      <c r="T172" t="s">
        <v>31</v>
      </c>
      <c r="U172" t="s">
        <v>37</v>
      </c>
      <c r="V172" t="s">
        <v>105</v>
      </c>
      <c r="W172" t="s">
        <v>73</v>
      </c>
      <c r="X172" t="s">
        <v>74</v>
      </c>
      <c r="Y172" t="s">
        <v>75</v>
      </c>
      <c r="Z172" t="s">
        <v>76</v>
      </c>
      <c r="AA172" t="s">
        <v>77</v>
      </c>
      <c r="AB172" t="s">
        <v>43</v>
      </c>
      <c r="AC172" t="s">
        <v>31</v>
      </c>
    </row>
    <row r="173" spans="1:29" x14ac:dyDescent="0.3">
      <c r="A173">
        <v>148</v>
      </c>
      <c r="B173" t="s">
        <v>104</v>
      </c>
      <c r="C173" t="s">
        <v>105</v>
      </c>
      <c r="D173" t="s">
        <v>31</v>
      </c>
      <c r="E173" t="s">
        <v>32</v>
      </c>
      <c r="F173" s="3">
        <v>45657</v>
      </c>
      <c r="G173">
        <v>2024</v>
      </c>
      <c r="H173" t="s">
        <v>44</v>
      </c>
      <c r="I173" t="s">
        <v>53</v>
      </c>
      <c r="K173">
        <v>5</v>
      </c>
      <c r="L173">
        <v>6.3</v>
      </c>
      <c r="M173">
        <v>1.26</v>
      </c>
      <c r="N173">
        <v>1.26</v>
      </c>
      <c r="O173" t="s">
        <v>58</v>
      </c>
      <c r="P173" t="s">
        <v>58</v>
      </c>
      <c r="Q173" t="s">
        <v>109</v>
      </c>
      <c r="R173">
        <v>0</v>
      </c>
      <c r="S173">
        <v>1</v>
      </c>
      <c r="T173" t="s">
        <v>443</v>
      </c>
      <c r="U173" t="s">
        <v>37</v>
      </c>
      <c r="V173" t="s">
        <v>105</v>
      </c>
      <c r="W173" t="s">
        <v>73</v>
      </c>
      <c r="X173" t="s">
        <v>74</v>
      </c>
      <c r="Y173" t="s">
        <v>75</v>
      </c>
      <c r="Z173" t="s">
        <v>76</v>
      </c>
      <c r="AA173" t="s">
        <v>77</v>
      </c>
      <c r="AB173" t="s">
        <v>43</v>
      </c>
      <c r="AC173" t="s">
        <v>31</v>
      </c>
    </row>
    <row r="174" spans="1:29" x14ac:dyDescent="0.3">
      <c r="A174">
        <v>148</v>
      </c>
      <c r="B174" t="s">
        <v>104</v>
      </c>
      <c r="C174" t="s">
        <v>105</v>
      </c>
      <c r="D174" t="s">
        <v>31</v>
      </c>
      <c r="E174" t="s">
        <v>32</v>
      </c>
      <c r="F174" s="3">
        <v>45838</v>
      </c>
      <c r="G174">
        <v>2025</v>
      </c>
      <c r="H174" t="s">
        <v>33</v>
      </c>
      <c r="I174" t="s">
        <v>404</v>
      </c>
      <c r="J174">
        <v>1</v>
      </c>
      <c r="K174">
        <v>4</v>
      </c>
      <c r="L174">
        <v>4.08</v>
      </c>
      <c r="M174">
        <v>1.02</v>
      </c>
      <c r="N174">
        <v>1.02</v>
      </c>
      <c r="O174" t="s">
        <v>58</v>
      </c>
      <c r="P174" t="s">
        <v>58</v>
      </c>
      <c r="Q174" t="s">
        <v>406</v>
      </c>
      <c r="R174">
        <v>0</v>
      </c>
      <c r="S174">
        <v>1</v>
      </c>
      <c r="T174" t="s">
        <v>31</v>
      </c>
      <c r="U174" t="s">
        <v>37</v>
      </c>
      <c r="V174" t="s">
        <v>105</v>
      </c>
      <c r="W174" t="s">
        <v>73</v>
      </c>
      <c r="X174" t="s">
        <v>74</v>
      </c>
      <c r="Y174" t="s">
        <v>75</v>
      </c>
      <c r="Z174" t="s">
        <v>76</v>
      </c>
      <c r="AA174" t="s">
        <v>77</v>
      </c>
      <c r="AB174" t="s">
        <v>43</v>
      </c>
      <c r="AC174" t="s">
        <v>31</v>
      </c>
    </row>
    <row r="175" spans="1:29" x14ac:dyDescent="0.3">
      <c r="A175">
        <v>148</v>
      </c>
      <c r="B175" t="s">
        <v>104</v>
      </c>
      <c r="C175" t="s">
        <v>105</v>
      </c>
      <c r="D175" t="s">
        <v>31</v>
      </c>
      <c r="E175" t="s">
        <v>32</v>
      </c>
      <c r="F175" s="3">
        <v>45838</v>
      </c>
      <c r="G175">
        <v>2025</v>
      </c>
      <c r="H175" t="s">
        <v>33</v>
      </c>
      <c r="I175" t="s">
        <v>404</v>
      </c>
      <c r="K175">
        <v>4</v>
      </c>
      <c r="L175">
        <v>4.08</v>
      </c>
      <c r="M175">
        <v>1.02</v>
      </c>
      <c r="N175">
        <v>1.02</v>
      </c>
      <c r="O175" t="s">
        <v>58</v>
      </c>
      <c r="P175" t="s">
        <v>58</v>
      </c>
      <c r="Q175" t="s">
        <v>406</v>
      </c>
      <c r="R175">
        <v>0</v>
      </c>
      <c r="S175">
        <v>1</v>
      </c>
      <c r="T175" t="s">
        <v>443</v>
      </c>
      <c r="U175" t="s">
        <v>37</v>
      </c>
      <c r="V175" t="s">
        <v>105</v>
      </c>
      <c r="W175" t="s">
        <v>73</v>
      </c>
      <c r="X175" t="s">
        <v>74</v>
      </c>
      <c r="Y175" t="s">
        <v>75</v>
      </c>
      <c r="Z175" t="s">
        <v>76</v>
      </c>
      <c r="AA175" t="s">
        <v>77</v>
      </c>
      <c r="AB175" t="s">
        <v>43</v>
      </c>
      <c r="AC175" t="s">
        <v>31</v>
      </c>
    </row>
    <row r="176" spans="1:29" x14ac:dyDescent="0.3">
      <c r="A176">
        <v>193</v>
      </c>
      <c r="B176" s="5" t="s">
        <v>478</v>
      </c>
      <c r="C176" t="s">
        <v>30</v>
      </c>
      <c r="D176" t="s">
        <v>31</v>
      </c>
      <c r="E176" t="s">
        <v>32</v>
      </c>
      <c r="F176" s="3">
        <v>44742</v>
      </c>
      <c r="G176">
        <v>2022</v>
      </c>
      <c r="H176" t="s">
        <v>33</v>
      </c>
      <c r="I176" t="s">
        <v>34</v>
      </c>
      <c r="J176">
        <v>1</v>
      </c>
      <c r="K176">
        <v>76</v>
      </c>
      <c r="L176">
        <v>91.8</v>
      </c>
      <c r="M176">
        <v>1.2078947368421049</v>
      </c>
      <c r="N176">
        <v>1.2078947368421049</v>
      </c>
      <c r="O176" t="s">
        <v>58</v>
      </c>
      <c r="P176" t="s">
        <v>58</v>
      </c>
      <c r="Q176" t="s">
        <v>111</v>
      </c>
      <c r="R176">
        <v>1</v>
      </c>
      <c r="S176">
        <v>1</v>
      </c>
      <c r="T176" t="s">
        <v>31</v>
      </c>
      <c r="U176" t="s">
        <v>37</v>
      </c>
      <c r="V176" t="s">
        <v>30</v>
      </c>
      <c r="W176" t="s">
        <v>112</v>
      </c>
      <c r="X176" t="s">
        <v>113</v>
      </c>
      <c r="Y176" t="s">
        <v>114</v>
      </c>
      <c r="Z176" t="s">
        <v>63</v>
      </c>
      <c r="AA176" t="s">
        <v>115</v>
      </c>
      <c r="AB176" t="s">
        <v>65</v>
      </c>
      <c r="AC176" t="s">
        <v>31</v>
      </c>
    </row>
    <row r="177" spans="1:29" x14ac:dyDescent="0.3">
      <c r="A177">
        <v>193</v>
      </c>
      <c r="B177" s="5" t="s">
        <v>478</v>
      </c>
      <c r="C177" t="s">
        <v>30</v>
      </c>
      <c r="D177" t="s">
        <v>31</v>
      </c>
      <c r="E177" t="s">
        <v>32</v>
      </c>
      <c r="F177" s="3">
        <v>44926</v>
      </c>
      <c r="G177">
        <v>2022</v>
      </c>
      <c r="H177" t="s">
        <v>44</v>
      </c>
      <c r="I177" t="s">
        <v>45</v>
      </c>
      <c r="J177">
        <v>2</v>
      </c>
      <c r="K177">
        <v>76</v>
      </c>
      <c r="L177">
        <v>92.4</v>
      </c>
      <c r="M177">
        <v>1.215789473684211</v>
      </c>
      <c r="N177">
        <v>1.215789473684211</v>
      </c>
      <c r="O177" t="s">
        <v>58</v>
      </c>
      <c r="P177" t="s">
        <v>58</v>
      </c>
      <c r="Q177" t="s">
        <v>116</v>
      </c>
      <c r="R177">
        <v>1</v>
      </c>
      <c r="S177">
        <v>1</v>
      </c>
      <c r="T177" t="s">
        <v>31</v>
      </c>
      <c r="U177" t="s">
        <v>37</v>
      </c>
      <c r="V177" t="s">
        <v>30</v>
      </c>
      <c r="W177" t="s">
        <v>112</v>
      </c>
      <c r="X177" t="s">
        <v>113</v>
      </c>
      <c r="Y177" t="s">
        <v>114</v>
      </c>
      <c r="Z177" t="s">
        <v>63</v>
      </c>
      <c r="AA177" t="s">
        <v>115</v>
      </c>
      <c r="AB177" t="s">
        <v>65</v>
      </c>
      <c r="AC177" t="s">
        <v>31</v>
      </c>
    </row>
    <row r="178" spans="1:29" x14ac:dyDescent="0.3">
      <c r="A178">
        <v>193</v>
      </c>
      <c r="B178" s="5" t="s">
        <v>478</v>
      </c>
      <c r="C178" t="s">
        <v>30</v>
      </c>
      <c r="D178" t="s">
        <v>31</v>
      </c>
      <c r="E178" t="s">
        <v>32</v>
      </c>
      <c r="F178" s="3">
        <v>44926</v>
      </c>
      <c r="G178">
        <v>2022</v>
      </c>
      <c r="H178" t="s">
        <v>44</v>
      </c>
      <c r="I178" t="s">
        <v>45</v>
      </c>
      <c r="K178">
        <v>76</v>
      </c>
      <c r="L178">
        <v>92.4</v>
      </c>
      <c r="M178">
        <v>1.215789473684211</v>
      </c>
      <c r="N178">
        <v>1.215789473684211</v>
      </c>
      <c r="O178" t="s">
        <v>58</v>
      </c>
      <c r="P178" t="s">
        <v>58</v>
      </c>
      <c r="Q178" t="s">
        <v>116</v>
      </c>
      <c r="R178">
        <v>1</v>
      </c>
      <c r="S178">
        <v>1</v>
      </c>
      <c r="T178" t="s">
        <v>443</v>
      </c>
      <c r="U178" t="s">
        <v>37</v>
      </c>
      <c r="V178" t="s">
        <v>30</v>
      </c>
      <c r="W178" t="s">
        <v>112</v>
      </c>
      <c r="X178" t="s">
        <v>113</v>
      </c>
      <c r="Y178" t="s">
        <v>114</v>
      </c>
      <c r="Z178" t="s">
        <v>63</v>
      </c>
      <c r="AA178" t="s">
        <v>115</v>
      </c>
      <c r="AB178" t="s">
        <v>65</v>
      </c>
      <c r="AC178" t="s">
        <v>31</v>
      </c>
    </row>
    <row r="179" spans="1:29" x14ac:dyDescent="0.3">
      <c r="A179">
        <v>193</v>
      </c>
      <c r="B179" s="5" t="s">
        <v>478</v>
      </c>
      <c r="C179" t="s">
        <v>30</v>
      </c>
      <c r="D179" t="s">
        <v>31</v>
      </c>
      <c r="E179" t="s">
        <v>32</v>
      </c>
      <c r="F179" s="3">
        <v>45107</v>
      </c>
      <c r="G179">
        <v>2023</v>
      </c>
      <c r="H179" t="s">
        <v>33</v>
      </c>
      <c r="I179" t="s">
        <v>47</v>
      </c>
      <c r="J179">
        <v>1</v>
      </c>
      <c r="K179">
        <v>92</v>
      </c>
      <c r="L179">
        <v>91.9</v>
      </c>
      <c r="M179">
        <v>0.99891304347826093</v>
      </c>
      <c r="N179">
        <v>0.99891304347826093</v>
      </c>
      <c r="O179" t="s">
        <v>58</v>
      </c>
      <c r="P179" t="s">
        <v>58</v>
      </c>
      <c r="Q179" t="s">
        <v>117</v>
      </c>
      <c r="R179">
        <v>1</v>
      </c>
      <c r="S179">
        <v>1</v>
      </c>
      <c r="T179" t="s">
        <v>31</v>
      </c>
      <c r="U179" t="s">
        <v>37</v>
      </c>
      <c r="V179" t="s">
        <v>30</v>
      </c>
      <c r="W179" t="s">
        <v>112</v>
      </c>
      <c r="X179" t="s">
        <v>113</v>
      </c>
      <c r="Y179" t="s">
        <v>114</v>
      </c>
      <c r="Z179" t="s">
        <v>63</v>
      </c>
      <c r="AA179" t="s">
        <v>115</v>
      </c>
      <c r="AB179" t="s">
        <v>65</v>
      </c>
      <c r="AC179" t="s">
        <v>31</v>
      </c>
    </row>
    <row r="180" spans="1:29" x14ac:dyDescent="0.3">
      <c r="A180">
        <v>193</v>
      </c>
      <c r="B180" s="5" t="s">
        <v>478</v>
      </c>
      <c r="C180" t="s">
        <v>30</v>
      </c>
      <c r="D180" t="s">
        <v>31</v>
      </c>
      <c r="E180" t="s">
        <v>32</v>
      </c>
      <c r="F180" s="3">
        <v>45291</v>
      </c>
      <c r="G180">
        <v>2023</v>
      </c>
      <c r="H180" t="s">
        <v>44</v>
      </c>
      <c r="I180" t="s">
        <v>49</v>
      </c>
      <c r="J180">
        <v>2</v>
      </c>
      <c r="K180">
        <v>92</v>
      </c>
      <c r="L180">
        <v>91.3</v>
      </c>
      <c r="M180">
        <v>0.99239130434782608</v>
      </c>
      <c r="N180">
        <v>0.99239130434782608</v>
      </c>
      <c r="O180" t="s">
        <v>58</v>
      </c>
      <c r="P180" t="s">
        <v>58</v>
      </c>
      <c r="Q180" t="s">
        <v>118</v>
      </c>
      <c r="R180">
        <v>1</v>
      </c>
      <c r="S180">
        <v>1</v>
      </c>
      <c r="T180" t="s">
        <v>31</v>
      </c>
      <c r="U180" t="s">
        <v>37</v>
      </c>
      <c r="V180" t="s">
        <v>30</v>
      </c>
      <c r="W180" t="s">
        <v>112</v>
      </c>
      <c r="X180" t="s">
        <v>113</v>
      </c>
      <c r="Y180" t="s">
        <v>114</v>
      </c>
      <c r="Z180" t="s">
        <v>63</v>
      </c>
      <c r="AA180" t="s">
        <v>115</v>
      </c>
      <c r="AB180" t="s">
        <v>65</v>
      </c>
      <c r="AC180" t="s">
        <v>31</v>
      </c>
    </row>
    <row r="181" spans="1:29" x14ac:dyDescent="0.3">
      <c r="A181">
        <v>193</v>
      </c>
      <c r="B181" s="5" t="s">
        <v>478</v>
      </c>
      <c r="C181" t="s">
        <v>30</v>
      </c>
      <c r="D181" t="s">
        <v>31</v>
      </c>
      <c r="E181" t="s">
        <v>32</v>
      </c>
      <c r="F181" s="3">
        <v>45291</v>
      </c>
      <c r="G181">
        <v>2023</v>
      </c>
      <c r="H181" t="s">
        <v>44</v>
      </c>
      <c r="I181" t="s">
        <v>49</v>
      </c>
      <c r="K181">
        <v>92</v>
      </c>
      <c r="L181">
        <v>91.3</v>
      </c>
      <c r="M181">
        <v>0.99239130434782608</v>
      </c>
      <c r="N181">
        <v>0.99239130434782608</v>
      </c>
      <c r="O181" t="s">
        <v>58</v>
      </c>
      <c r="P181" t="s">
        <v>58</v>
      </c>
      <c r="Q181" t="s">
        <v>118</v>
      </c>
      <c r="R181">
        <v>1</v>
      </c>
      <c r="S181">
        <v>1</v>
      </c>
      <c r="T181" t="s">
        <v>443</v>
      </c>
      <c r="U181" t="s">
        <v>37</v>
      </c>
      <c r="V181" t="s">
        <v>30</v>
      </c>
      <c r="W181" t="s">
        <v>112</v>
      </c>
      <c r="X181" t="s">
        <v>113</v>
      </c>
      <c r="Y181" t="s">
        <v>114</v>
      </c>
      <c r="Z181" t="s">
        <v>63</v>
      </c>
      <c r="AA181" t="s">
        <v>115</v>
      </c>
      <c r="AB181" t="s">
        <v>65</v>
      </c>
      <c r="AC181" t="s">
        <v>31</v>
      </c>
    </row>
    <row r="182" spans="1:29" x14ac:dyDescent="0.3">
      <c r="A182">
        <v>193</v>
      </c>
      <c r="B182" s="5" t="s">
        <v>478</v>
      </c>
      <c r="C182" t="s">
        <v>30</v>
      </c>
      <c r="D182" t="s">
        <v>31</v>
      </c>
      <c r="E182" t="s">
        <v>32</v>
      </c>
      <c r="F182" s="3">
        <v>45473</v>
      </c>
      <c r="G182">
        <v>2024</v>
      </c>
      <c r="H182" t="s">
        <v>33</v>
      </c>
      <c r="I182" t="s">
        <v>51</v>
      </c>
      <c r="J182">
        <v>1</v>
      </c>
      <c r="K182">
        <v>90</v>
      </c>
      <c r="L182">
        <v>91.7</v>
      </c>
      <c r="M182">
        <v>1.018888888888889</v>
      </c>
      <c r="N182">
        <v>1.018888888888889</v>
      </c>
      <c r="O182" t="s">
        <v>58</v>
      </c>
      <c r="P182" t="s">
        <v>58</v>
      </c>
      <c r="Q182" t="s">
        <v>119</v>
      </c>
      <c r="R182">
        <v>1</v>
      </c>
      <c r="S182">
        <v>1</v>
      </c>
      <c r="T182" t="s">
        <v>31</v>
      </c>
      <c r="U182" t="s">
        <v>37</v>
      </c>
      <c r="V182" t="s">
        <v>30</v>
      </c>
      <c r="W182" t="s">
        <v>112</v>
      </c>
      <c r="X182" t="s">
        <v>113</v>
      </c>
      <c r="Y182" t="s">
        <v>114</v>
      </c>
      <c r="Z182" t="s">
        <v>63</v>
      </c>
      <c r="AA182" t="s">
        <v>115</v>
      </c>
      <c r="AB182" t="s">
        <v>65</v>
      </c>
      <c r="AC182" t="s">
        <v>31</v>
      </c>
    </row>
    <row r="183" spans="1:29" x14ac:dyDescent="0.3">
      <c r="A183">
        <v>193</v>
      </c>
      <c r="B183" s="5" t="s">
        <v>478</v>
      </c>
      <c r="C183" t="s">
        <v>30</v>
      </c>
      <c r="D183" t="s">
        <v>31</v>
      </c>
      <c r="E183" t="s">
        <v>32</v>
      </c>
      <c r="F183" s="3">
        <v>45657</v>
      </c>
      <c r="G183">
        <v>2024</v>
      </c>
      <c r="H183" t="s">
        <v>44</v>
      </c>
      <c r="I183" t="s">
        <v>53</v>
      </c>
      <c r="J183">
        <v>2</v>
      </c>
      <c r="K183">
        <v>90</v>
      </c>
      <c r="L183">
        <v>93.5</v>
      </c>
      <c r="M183">
        <v>1.038888888888889</v>
      </c>
      <c r="N183">
        <v>1.038888888888889</v>
      </c>
      <c r="O183" t="s">
        <v>58</v>
      </c>
      <c r="P183" t="s">
        <v>58</v>
      </c>
      <c r="Q183" t="s">
        <v>120</v>
      </c>
      <c r="R183">
        <v>0</v>
      </c>
      <c r="S183">
        <v>0</v>
      </c>
      <c r="T183" t="s">
        <v>31</v>
      </c>
      <c r="U183" t="s">
        <v>37</v>
      </c>
      <c r="V183" t="s">
        <v>30</v>
      </c>
      <c r="W183" t="s">
        <v>112</v>
      </c>
      <c r="X183" t="s">
        <v>113</v>
      </c>
      <c r="Y183" t="s">
        <v>114</v>
      </c>
      <c r="Z183" t="s">
        <v>63</v>
      </c>
      <c r="AA183" t="s">
        <v>115</v>
      </c>
      <c r="AB183" t="s">
        <v>65</v>
      </c>
      <c r="AC183" t="s">
        <v>31</v>
      </c>
    </row>
    <row r="184" spans="1:29" x14ac:dyDescent="0.3">
      <c r="A184">
        <v>193</v>
      </c>
      <c r="B184" s="5" t="s">
        <v>478</v>
      </c>
      <c r="C184" t="s">
        <v>30</v>
      </c>
      <c r="D184" t="s">
        <v>31</v>
      </c>
      <c r="E184" t="s">
        <v>32</v>
      </c>
      <c r="F184" s="3">
        <v>45657</v>
      </c>
      <c r="G184">
        <v>2024</v>
      </c>
      <c r="H184" t="s">
        <v>44</v>
      </c>
      <c r="I184" t="s">
        <v>53</v>
      </c>
      <c r="K184">
        <v>90</v>
      </c>
      <c r="L184">
        <v>93.5</v>
      </c>
      <c r="M184">
        <v>1.038888888888889</v>
      </c>
      <c r="N184">
        <v>1.038888888888889</v>
      </c>
      <c r="O184" t="s">
        <v>58</v>
      </c>
      <c r="P184" t="s">
        <v>58</v>
      </c>
      <c r="Q184" t="s">
        <v>120</v>
      </c>
      <c r="R184">
        <v>1</v>
      </c>
      <c r="S184">
        <v>1</v>
      </c>
      <c r="T184" t="s">
        <v>443</v>
      </c>
      <c r="U184" t="s">
        <v>37</v>
      </c>
      <c r="V184" t="s">
        <v>30</v>
      </c>
      <c r="W184" t="s">
        <v>112</v>
      </c>
      <c r="X184" t="s">
        <v>113</v>
      </c>
      <c r="Y184" t="s">
        <v>114</v>
      </c>
      <c r="Z184" t="s">
        <v>63</v>
      </c>
      <c r="AA184" t="s">
        <v>115</v>
      </c>
      <c r="AB184" t="s">
        <v>65</v>
      </c>
      <c r="AC184" t="s">
        <v>31</v>
      </c>
    </row>
    <row r="185" spans="1:29" x14ac:dyDescent="0.3">
      <c r="A185">
        <v>193</v>
      </c>
      <c r="B185" s="5" t="s">
        <v>478</v>
      </c>
      <c r="C185" t="s">
        <v>30</v>
      </c>
      <c r="D185" t="s">
        <v>31</v>
      </c>
      <c r="E185" t="s">
        <v>32</v>
      </c>
      <c r="F185" s="3">
        <v>45838</v>
      </c>
      <c r="G185">
        <v>2025</v>
      </c>
      <c r="H185" t="s">
        <v>33</v>
      </c>
      <c r="I185" t="s">
        <v>404</v>
      </c>
      <c r="J185">
        <v>1</v>
      </c>
      <c r="K185">
        <v>93</v>
      </c>
      <c r="L185">
        <v>96.21</v>
      </c>
      <c r="M185">
        <v>1.034516129032258</v>
      </c>
      <c r="N185">
        <v>1.034516129032258</v>
      </c>
      <c r="O185" t="s">
        <v>58</v>
      </c>
      <c r="P185" t="s">
        <v>58</v>
      </c>
      <c r="Q185" t="s">
        <v>420</v>
      </c>
      <c r="R185">
        <v>1</v>
      </c>
      <c r="S185">
        <v>1</v>
      </c>
      <c r="T185" t="s">
        <v>31</v>
      </c>
      <c r="U185" t="s">
        <v>37</v>
      </c>
      <c r="V185" t="s">
        <v>30</v>
      </c>
      <c r="W185" t="s">
        <v>112</v>
      </c>
      <c r="X185" t="s">
        <v>113</v>
      </c>
      <c r="Y185" t="s">
        <v>114</v>
      </c>
      <c r="Z185" t="s">
        <v>63</v>
      </c>
      <c r="AA185" t="s">
        <v>115</v>
      </c>
      <c r="AB185" t="s">
        <v>65</v>
      </c>
      <c r="AC185" t="s">
        <v>31</v>
      </c>
    </row>
    <row r="186" spans="1:29" x14ac:dyDescent="0.3">
      <c r="A186">
        <v>193</v>
      </c>
      <c r="B186" s="5" t="s">
        <v>478</v>
      </c>
      <c r="C186" t="s">
        <v>30</v>
      </c>
      <c r="D186" t="s">
        <v>31</v>
      </c>
      <c r="E186" t="s">
        <v>32</v>
      </c>
      <c r="F186" s="3">
        <v>45838</v>
      </c>
      <c r="G186">
        <v>2025</v>
      </c>
      <c r="H186" t="s">
        <v>33</v>
      </c>
      <c r="I186" t="s">
        <v>404</v>
      </c>
      <c r="K186">
        <v>93</v>
      </c>
      <c r="L186">
        <v>96.21</v>
      </c>
      <c r="M186">
        <v>1.034516129032258</v>
      </c>
      <c r="N186">
        <v>1.034516129032258</v>
      </c>
      <c r="O186" t="s">
        <v>58</v>
      </c>
      <c r="P186" t="s">
        <v>58</v>
      </c>
      <c r="Q186" t="s">
        <v>420</v>
      </c>
      <c r="R186">
        <v>1</v>
      </c>
      <c r="S186">
        <v>1</v>
      </c>
      <c r="T186" t="s">
        <v>443</v>
      </c>
      <c r="U186" t="s">
        <v>37</v>
      </c>
      <c r="V186" t="s">
        <v>30</v>
      </c>
      <c r="W186" t="s">
        <v>112</v>
      </c>
      <c r="X186" t="s">
        <v>113</v>
      </c>
      <c r="Y186" t="s">
        <v>114</v>
      </c>
      <c r="Z186" t="s">
        <v>63</v>
      </c>
      <c r="AA186" t="s">
        <v>115</v>
      </c>
      <c r="AB186" t="s">
        <v>65</v>
      </c>
      <c r="AC186" t="s">
        <v>31</v>
      </c>
    </row>
    <row r="187" spans="1:29" x14ac:dyDescent="0.3">
      <c r="A187">
        <v>194</v>
      </c>
      <c r="B187" t="s">
        <v>121</v>
      </c>
      <c r="C187" t="s">
        <v>30</v>
      </c>
      <c r="D187" t="s">
        <v>31</v>
      </c>
      <c r="E187" t="s">
        <v>32</v>
      </c>
      <c r="F187" s="3">
        <v>44742</v>
      </c>
      <c r="G187">
        <v>2022</v>
      </c>
      <c r="H187" t="s">
        <v>33</v>
      </c>
      <c r="I187" t="s">
        <v>34</v>
      </c>
      <c r="J187">
        <v>1</v>
      </c>
      <c r="K187">
        <v>73</v>
      </c>
      <c r="L187">
        <v>83.26</v>
      </c>
      <c r="M187">
        <v>1.140547945205479</v>
      </c>
      <c r="N187">
        <v>1.140547945205479</v>
      </c>
      <c r="O187" t="s">
        <v>58</v>
      </c>
      <c r="P187" t="s">
        <v>58</v>
      </c>
      <c r="Q187" t="s">
        <v>122</v>
      </c>
      <c r="R187">
        <v>0</v>
      </c>
      <c r="S187">
        <v>0</v>
      </c>
      <c r="T187" t="s">
        <v>31</v>
      </c>
      <c r="U187" t="s">
        <v>37</v>
      </c>
      <c r="V187" t="s">
        <v>30</v>
      </c>
      <c r="W187" t="s">
        <v>112</v>
      </c>
      <c r="X187" t="s">
        <v>113</v>
      </c>
      <c r="Y187" t="s">
        <v>123</v>
      </c>
      <c r="Z187" t="s">
        <v>41</v>
      </c>
      <c r="AA187" t="s">
        <v>124</v>
      </c>
      <c r="AB187" t="s">
        <v>43</v>
      </c>
      <c r="AC187" t="s">
        <v>66</v>
      </c>
    </row>
    <row r="188" spans="1:29" x14ac:dyDescent="0.3">
      <c r="A188">
        <v>194</v>
      </c>
      <c r="B188" t="s">
        <v>121</v>
      </c>
      <c r="C188" t="s">
        <v>30</v>
      </c>
      <c r="D188" t="s">
        <v>31</v>
      </c>
      <c r="E188" t="s">
        <v>32</v>
      </c>
      <c r="F188" s="3">
        <v>44926</v>
      </c>
      <c r="G188">
        <v>2022</v>
      </c>
      <c r="H188" t="s">
        <v>44</v>
      </c>
      <c r="I188" t="s">
        <v>45</v>
      </c>
      <c r="J188">
        <v>2</v>
      </c>
      <c r="K188">
        <v>73</v>
      </c>
      <c r="L188">
        <v>83.11</v>
      </c>
      <c r="M188">
        <v>1.138493150684931</v>
      </c>
      <c r="N188">
        <v>1.138493150684931</v>
      </c>
      <c r="O188" t="s">
        <v>58</v>
      </c>
      <c r="P188" t="s">
        <v>58</v>
      </c>
      <c r="Q188" t="s">
        <v>125</v>
      </c>
      <c r="R188">
        <v>0</v>
      </c>
      <c r="S188">
        <v>0</v>
      </c>
      <c r="T188" t="s">
        <v>31</v>
      </c>
      <c r="U188" t="s">
        <v>37</v>
      </c>
      <c r="V188" t="s">
        <v>30</v>
      </c>
      <c r="W188" t="s">
        <v>112</v>
      </c>
      <c r="X188" t="s">
        <v>113</v>
      </c>
      <c r="Y188" t="s">
        <v>123</v>
      </c>
      <c r="Z188" t="s">
        <v>41</v>
      </c>
      <c r="AA188" t="s">
        <v>124</v>
      </c>
      <c r="AB188" t="s">
        <v>43</v>
      </c>
      <c r="AC188" t="s">
        <v>66</v>
      </c>
    </row>
    <row r="189" spans="1:29" x14ac:dyDescent="0.3">
      <c r="A189">
        <v>194</v>
      </c>
      <c r="B189" t="s">
        <v>121</v>
      </c>
      <c r="C189" t="s">
        <v>30</v>
      </c>
      <c r="D189" t="s">
        <v>31</v>
      </c>
      <c r="E189" t="s">
        <v>32</v>
      </c>
      <c r="F189" s="3">
        <v>44926</v>
      </c>
      <c r="G189">
        <v>2022</v>
      </c>
      <c r="H189" t="s">
        <v>44</v>
      </c>
      <c r="I189" t="s">
        <v>45</v>
      </c>
      <c r="K189">
        <v>73</v>
      </c>
      <c r="L189">
        <v>83.11</v>
      </c>
      <c r="M189">
        <v>1.138493150684931</v>
      </c>
      <c r="N189">
        <v>1.138493150684931</v>
      </c>
      <c r="O189" t="s">
        <v>58</v>
      </c>
      <c r="P189" t="s">
        <v>58</v>
      </c>
      <c r="Q189" t="s">
        <v>125</v>
      </c>
      <c r="R189">
        <v>0</v>
      </c>
      <c r="S189">
        <v>0</v>
      </c>
      <c r="T189" t="s">
        <v>443</v>
      </c>
      <c r="U189" t="s">
        <v>37</v>
      </c>
      <c r="V189" t="s">
        <v>30</v>
      </c>
      <c r="W189" t="s">
        <v>112</v>
      </c>
      <c r="X189" t="s">
        <v>113</v>
      </c>
      <c r="Y189" t="s">
        <v>123</v>
      </c>
      <c r="Z189" t="s">
        <v>41</v>
      </c>
      <c r="AA189" t="s">
        <v>124</v>
      </c>
      <c r="AB189" t="s">
        <v>43</v>
      </c>
      <c r="AC189" t="s">
        <v>66</v>
      </c>
    </row>
    <row r="190" spans="1:29" x14ac:dyDescent="0.3">
      <c r="A190">
        <v>194</v>
      </c>
      <c r="B190" t="s">
        <v>121</v>
      </c>
      <c r="C190" t="s">
        <v>30</v>
      </c>
      <c r="D190" t="s">
        <v>31</v>
      </c>
      <c r="E190" t="s">
        <v>32</v>
      </c>
      <c r="F190" s="3">
        <v>45107</v>
      </c>
      <c r="G190">
        <v>2023</v>
      </c>
      <c r="H190" t="s">
        <v>33</v>
      </c>
      <c r="I190" t="s">
        <v>47</v>
      </c>
      <c r="J190">
        <v>1</v>
      </c>
      <c r="K190">
        <v>80</v>
      </c>
      <c r="L190">
        <v>79.180000000000007</v>
      </c>
      <c r="M190">
        <v>0.98975000000000013</v>
      </c>
      <c r="N190">
        <v>0.98975000000000013</v>
      </c>
      <c r="O190" t="s">
        <v>58</v>
      </c>
      <c r="P190" t="s">
        <v>58</v>
      </c>
      <c r="Q190" t="s">
        <v>126</v>
      </c>
      <c r="R190">
        <v>0</v>
      </c>
      <c r="S190">
        <v>0</v>
      </c>
      <c r="T190" t="s">
        <v>31</v>
      </c>
      <c r="U190" t="s">
        <v>37</v>
      </c>
      <c r="V190" t="s">
        <v>30</v>
      </c>
      <c r="W190" t="s">
        <v>112</v>
      </c>
      <c r="X190" t="s">
        <v>113</v>
      </c>
      <c r="Y190" t="s">
        <v>123</v>
      </c>
      <c r="Z190" t="s">
        <v>41</v>
      </c>
      <c r="AA190" t="s">
        <v>124</v>
      </c>
      <c r="AB190" t="s">
        <v>43</v>
      </c>
      <c r="AC190" t="s">
        <v>66</v>
      </c>
    </row>
    <row r="191" spans="1:29" x14ac:dyDescent="0.3">
      <c r="A191">
        <v>194</v>
      </c>
      <c r="B191" t="s">
        <v>121</v>
      </c>
      <c r="C191" t="s">
        <v>30</v>
      </c>
      <c r="D191" t="s">
        <v>31</v>
      </c>
      <c r="E191" t="s">
        <v>32</v>
      </c>
      <c r="F191" s="3">
        <v>45291</v>
      </c>
      <c r="G191">
        <v>2023</v>
      </c>
      <c r="H191" t="s">
        <v>44</v>
      </c>
      <c r="I191" t="s">
        <v>49</v>
      </c>
      <c r="J191">
        <v>2</v>
      </c>
      <c r="K191">
        <v>80</v>
      </c>
      <c r="L191">
        <v>81.91</v>
      </c>
      <c r="M191">
        <v>1.0238750000000001</v>
      </c>
      <c r="N191">
        <v>1.0238750000000001</v>
      </c>
      <c r="O191" t="s">
        <v>58</v>
      </c>
      <c r="P191" t="s">
        <v>58</v>
      </c>
      <c r="Q191" t="s">
        <v>127</v>
      </c>
      <c r="R191">
        <v>0</v>
      </c>
      <c r="S191">
        <v>0</v>
      </c>
      <c r="T191" t="s">
        <v>31</v>
      </c>
      <c r="U191" t="s">
        <v>37</v>
      </c>
      <c r="V191" t="s">
        <v>30</v>
      </c>
      <c r="W191" t="s">
        <v>112</v>
      </c>
      <c r="X191" t="s">
        <v>113</v>
      </c>
      <c r="Y191" t="s">
        <v>123</v>
      </c>
      <c r="Z191" t="s">
        <v>41</v>
      </c>
      <c r="AA191" t="s">
        <v>124</v>
      </c>
      <c r="AB191" t="s">
        <v>43</v>
      </c>
      <c r="AC191" t="s">
        <v>66</v>
      </c>
    </row>
    <row r="192" spans="1:29" x14ac:dyDescent="0.3">
      <c r="A192">
        <v>194</v>
      </c>
      <c r="B192" t="s">
        <v>121</v>
      </c>
      <c r="C192" t="s">
        <v>30</v>
      </c>
      <c r="D192" t="s">
        <v>31</v>
      </c>
      <c r="E192" t="s">
        <v>32</v>
      </c>
      <c r="F192" s="3">
        <v>45291</v>
      </c>
      <c r="G192">
        <v>2023</v>
      </c>
      <c r="H192" t="s">
        <v>44</v>
      </c>
      <c r="I192" t="s">
        <v>49</v>
      </c>
      <c r="K192">
        <v>80</v>
      </c>
      <c r="L192">
        <v>81.91</v>
      </c>
      <c r="M192">
        <v>1.0238750000000001</v>
      </c>
      <c r="N192">
        <v>1.0238750000000001</v>
      </c>
      <c r="O192" t="s">
        <v>58</v>
      </c>
      <c r="P192" t="s">
        <v>58</v>
      </c>
      <c r="Q192" t="s">
        <v>127</v>
      </c>
      <c r="R192">
        <v>0</v>
      </c>
      <c r="S192">
        <v>0</v>
      </c>
      <c r="T192" t="s">
        <v>443</v>
      </c>
      <c r="U192" t="s">
        <v>37</v>
      </c>
      <c r="V192" t="s">
        <v>30</v>
      </c>
      <c r="W192" t="s">
        <v>112</v>
      </c>
      <c r="X192" t="s">
        <v>113</v>
      </c>
      <c r="Y192" t="s">
        <v>123</v>
      </c>
      <c r="Z192" t="s">
        <v>41</v>
      </c>
      <c r="AA192" t="s">
        <v>124</v>
      </c>
      <c r="AB192" t="s">
        <v>43</v>
      </c>
      <c r="AC192" t="s">
        <v>66</v>
      </c>
    </row>
    <row r="193" spans="1:29" x14ac:dyDescent="0.3">
      <c r="A193">
        <v>194</v>
      </c>
      <c r="B193" t="s">
        <v>121</v>
      </c>
      <c r="C193" t="s">
        <v>30</v>
      </c>
      <c r="D193" t="s">
        <v>31</v>
      </c>
      <c r="E193" t="s">
        <v>32</v>
      </c>
      <c r="F193" s="3">
        <v>45473</v>
      </c>
      <c r="G193">
        <v>2024</v>
      </c>
      <c r="H193" t="s">
        <v>33</v>
      </c>
      <c r="I193" t="s">
        <v>51</v>
      </c>
      <c r="J193">
        <v>1</v>
      </c>
      <c r="K193">
        <v>81</v>
      </c>
      <c r="L193">
        <v>83.01</v>
      </c>
      <c r="M193">
        <v>1.0248148148148151</v>
      </c>
      <c r="N193">
        <v>1.0248148148148151</v>
      </c>
      <c r="O193" t="s">
        <v>58</v>
      </c>
      <c r="P193" t="s">
        <v>58</v>
      </c>
      <c r="Q193" t="s">
        <v>128</v>
      </c>
      <c r="R193">
        <v>0</v>
      </c>
      <c r="S193">
        <v>0</v>
      </c>
      <c r="T193" t="s">
        <v>31</v>
      </c>
      <c r="U193" t="s">
        <v>37</v>
      </c>
      <c r="V193" t="s">
        <v>30</v>
      </c>
      <c r="W193" t="s">
        <v>112</v>
      </c>
      <c r="X193" t="s">
        <v>113</v>
      </c>
      <c r="Y193" t="s">
        <v>123</v>
      </c>
      <c r="Z193" t="s">
        <v>41</v>
      </c>
      <c r="AA193" t="s">
        <v>124</v>
      </c>
      <c r="AB193" t="s">
        <v>43</v>
      </c>
      <c r="AC193" t="s">
        <v>66</v>
      </c>
    </row>
    <row r="194" spans="1:29" x14ac:dyDescent="0.3">
      <c r="A194">
        <v>194</v>
      </c>
      <c r="B194" t="s">
        <v>121</v>
      </c>
      <c r="C194" t="s">
        <v>30</v>
      </c>
      <c r="D194" t="s">
        <v>31</v>
      </c>
      <c r="E194" t="s">
        <v>32</v>
      </c>
      <c r="F194" s="3">
        <v>45657</v>
      </c>
      <c r="G194">
        <v>2024</v>
      </c>
      <c r="H194" t="s">
        <v>44</v>
      </c>
      <c r="I194" t="s">
        <v>53</v>
      </c>
      <c r="J194">
        <v>2</v>
      </c>
      <c r="K194">
        <v>81</v>
      </c>
      <c r="L194">
        <v>89</v>
      </c>
      <c r="M194">
        <v>1.098765432098765</v>
      </c>
      <c r="N194">
        <v>1.098765432098765</v>
      </c>
      <c r="O194" t="s">
        <v>58</v>
      </c>
      <c r="P194" t="s">
        <v>58</v>
      </c>
      <c r="Q194" t="s">
        <v>403</v>
      </c>
      <c r="R194">
        <v>0</v>
      </c>
      <c r="S194">
        <v>0</v>
      </c>
      <c r="T194" t="s">
        <v>31</v>
      </c>
      <c r="U194" t="s">
        <v>37</v>
      </c>
      <c r="V194" t="s">
        <v>30</v>
      </c>
      <c r="W194" t="s">
        <v>112</v>
      </c>
      <c r="X194" t="s">
        <v>113</v>
      </c>
      <c r="Y194" t="s">
        <v>123</v>
      </c>
      <c r="Z194" t="s">
        <v>41</v>
      </c>
      <c r="AA194" t="s">
        <v>124</v>
      </c>
      <c r="AB194" t="s">
        <v>43</v>
      </c>
      <c r="AC194" t="s">
        <v>66</v>
      </c>
    </row>
    <row r="195" spans="1:29" x14ac:dyDescent="0.3">
      <c r="A195">
        <v>194</v>
      </c>
      <c r="B195" t="s">
        <v>121</v>
      </c>
      <c r="C195" t="s">
        <v>30</v>
      </c>
      <c r="D195" t="s">
        <v>31</v>
      </c>
      <c r="E195" t="s">
        <v>32</v>
      </c>
      <c r="F195" s="3">
        <v>45657</v>
      </c>
      <c r="G195">
        <v>2024</v>
      </c>
      <c r="H195" t="s">
        <v>44</v>
      </c>
      <c r="I195" t="s">
        <v>53</v>
      </c>
      <c r="K195">
        <v>81</v>
      </c>
      <c r="L195">
        <v>89</v>
      </c>
      <c r="M195">
        <v>1.098765432098765</v>
      </c>
      <c r="N195">
        <v>1.098765432098765</v>
      </c>
      <c r="O195" t="s">
        <v>58</v>
      </c>
      <c r="P195" t="s">
        <v>58</v>
      </c>
      <c r="Q195" t="s">
        <v>403</v>
      </c>
      <c r="R195">
        <v>0</v>
      </c>
      <c r="S195">
        <v>0</v>
      </c>
      <c r="T195" t="s">
        <v>443</v>
      </c>
      <c r="U195" t="s">
        <v>37</v>
      </c>
      <c r="V195" t="s">
        <v>30</v>
      </c>
      <c r="W195" t="s">
        <v>112</v>
      </c>
      <c r="X195" t="s">
        <v>113</v>
      </c>
      <c r="Y195" t="s">
        <v>123</v>
      </c>
      <c r="Z195" t="s">
        <v>41</v>
      </c>
      <c r="AA195" t="s">
        <v>124</v>
      </c>
      <c r="AB195" t="s">
        <v>43</v>
      </c>
      <c r="AC195" t="s">
        <v>66</v>
      </c>
    </row>
    <row r="196" spans="1:29" x14ac:dyDescent="0.3">
      <c r="A196">
        <v>194</v>
      </c>
      <c r="B196" t="s">
        <v>121</v>
      </c>
      <c r="C196" t="s">
        <v>30</v>
      </c>
      <c r="D196" t="s">
        <v>31</v>
      </c>
      <c r="E196" t="s">
        <v>32</v>
      </c>
      <c r="F196" s="3">
        <v>45838</v>
      </c>
      <c r="G196">
        <v>2025</v>
      </c>
      <c r="H196" t="s">
        <v>33</v>
      </c>
      <c r="I196" t="s">
        <v>404</v>
      </c>
      <c r="J196">
        <v>1</v>
      </c>
      <c r="K196">
        <v>80</v>
      </c>
      <c r="L196">
        <v>90</v>
      </c>
      <c r="M196">
        <v>1.125</v>
      </c>
      <c r="N196">
        <v>1.125</v>
      </c>
      <c r="O196" t="s">
        <v>58</v>
      </c>
      <c r="P196" t="s">
        <v>58</v>
      </c>
      <c r="Q196" t="s">
        <v>419</v>
      </c>
      <c r="R196">
        <v>0</v>
      </c>
      <c r="S196">
        <v>0</v>
      </c>
      <c r="T196" t="s">
        <v>31</v>
      </c>
      <c r="U196" t="s">
        <v>37</v>
      </c>
      <c r="V196" t="s">
        <v>30</v>
      </c>
      <c r="W196" t="s">
        <v>112</v>
      </c>
      <c r="X196" t="s">
        <v>113</v>
      </c>
      <c r="Y196" t="s">
        <v>123</v>
      </c>
      <c r="Z196" t="s">
        <v>41</v>
      </c>
      <c r="AA196" t="s">
        <v>124</v>
      </c>
      <c r="AB196" t="s">
        <v>43</v>
      </c>
      <c r="AC196" t="s">
        <v>66</v>
      </c>
    </row>
    <row r="197" spans="1:29" x14ac:dyDescent="0.3">
      <c r="A197">
        <v>194</v>
      </c>
      <c r="B197" t="s">
        <v>121</v>
      </c>
      <c r="C197" t="s">
        <v>30</v>
      </c>
      <c r="D197" t="s">
        <v>31</v>
      </c>
      <c r="E197" t="s">
        <v>32</v>
      </c>
      <c r="F197" s="3">
        <v>45838</v>
      </c>
      <c r="G197">
        <v>2025</v>
      </c>
      <c r="H197" t="s">
        <v>33</v>
      </c>
      <c r="I197" t="s">
        <v>404</v>
      </c>
      <c r="K197">
        <v>80</v>
      </c>
      <c r="L197">
        <v>90</v>
      </c>
      <c r="M197">
        <v>1.125</v>
      </c>
      <c r="N197">
        <v>1.125</v>
      </c>
      <c r="O197" t="s">
        <v>58</v>
      </c>
      <c r="P197" t="s">
        <v>58</v>
      </c>
      <c r="Q197" t="s">
        <v>419</v>
      </c>
      <c r="R197">
        <v>0</v>
      </c>
      <c r="S197">
        <v>0</v>
      </c>
      <c r="T197" t="s">
        <v>443</v>
      </c>
      <c r="U197" t="s">
        <v>37</v>
      </c>
      <c r="V197" t="s">
        <v>30</v>
      </c>
      <c r="W197" t="s">
        <v>112</v>
      </c>
      <c r="X197" t="s">
        <v>113</v>
      </c>
      <c r="Y197" t="s">
        <v>123</v>
      </c>
      <c r="Z197" t="s">
        <v>41</v>
      </c>
      <c r="AA197" t="s">
        <v>124</v>
      </c>
      <c r="AB197" t="s">
        <v>43</v>
      </c>
      <c r="AC197" t="s">
        <v>66</v>
      </c>
    </row>
    <row r="198" spans="1:29" x14ac:dyDescent="0.3">
      <c r="A198">
        <v>200</v>
      </c>
      <c r="B198" t="s">
        <v>129</v>
      </c>
      <c r="C198" t="s">
        <v>130</v>
      </c>
      <c r="D198" t="s">
        <v>66</v>
      </c>
      <c r="E198" t="s">
        <v>32</v>
      </c>
      <c r="F198" s="3">
        <v>45291</v>
      </c>
      <c r="G198">
        <v>2023</v>
      </c>
      <c r="H198" t="s">
        <v>44</v>
      </c>
      <c r="I198" t="s">
        <v>49</v>
      </c>
      <c r="J198">
        <v>2</v>
      </c>
      <c r="L198">
        <v>90</v>
      </c>
      <c r="O198" t="s">
        <v>131</v>
      </c>
      <c r="P198" t="s">
        <v>58</v>
      </c>
      <c r="Q198" t="s">
        <v>132</v>
      </c>
      <c r="R198">
        <v>0</v>
      </c>
      <c r="S198">
        <v>0</v>
      </c>
      <c r="T198" t="s">
        <v>31</v>
      </c>
      <c r="U198" t="s">
        <v>37</v>
      </c>
      <c r="V198" t="s">
        <v>130</v>
      </c>
      <c r="W198" t="s">
        <v>60</v>
      </c>
      <c r="X198" t="s">
        <v>100</v>
      </c>
      <c r="Y198" t="s">
        <v>133</v>
      </c>
      <c r="Z198" t="s">
        <v>134</v>
      </c>
      <c r="AA198" t="s">
        <v>135</v>
      </c>
      <c r="AB198" t="s">
        <v>43</v>
      </c>
      <c r="AC198" t="s">
        <v>66</v>
      </c>
    </row>
    <row r="199" spans="1:29" x14ac:dyDescent="0.3">
      <c r="A199">
        <v>200</v>
      </c>
      <c r="B199" t="s">
        <v>129</v>
      </c>
      <c r="C199" t="s">
        <v>130</v>
      </c>
      <c r="D199" t="s">
        <v>66</v>
      </c>
      <c r="E199" t="s">
        <v>32</v>
      </c>
      <c r="F199" s="3">
        <v>45291</v>
      </c>
      <c r="G199">
        <v>2023</v>
      </c>
      <c r="H199" t="s">
        <v>44</v>
      </c>
      <c r="I199" t="s">
        <v>49</v>
      </c>
      <c r="L199">
        <v>90</v>
      </c>
      <c r="O199" t="s">
        <v>284</v>
      </c>
      <c r="P199" t="s">
        <v>58</v>
      </c>
      <c r="Q199" t="s">
        <v>132</v>
      </c>
      <c r="R199">
        <v>0</v>
      </c>
      <c r="S199">
        <v>0</v>
      </c>
      <c r="T199" t="s">
        <v>443</v>
      </c>
      <c r="U199" t="s">
        <v>37</v>
      </c>
      <c r="V199" t="s">
        <v>130</v>
      </c>
      <c r="W199" t="s">
        <v>60</v>
      </c>
      <c r="X199" t="s">
        <v>100</v>
      </c>
      <c r="Y199" t="s">
        <v>133</v>
      </c>
      <c r="Z199" t="s">
        <v>134</v>
      </c>
      <c r="AA199" t="s">
        <v>135</v>
      </c>
      <c r="AB199" t="s">
        <v>43</v>
      </c>
      <c r="AC199" t="s">
        <v>66</v>
      </c>
    </row>
    <row r="200" spans="1:29" x14ac:dyDescent="0.3">
      <c r="A200">
        <v>200</v>
      </c>
      <c r="B200" t="s">
        <v>129</v>
      </c>
      <c r="C200" t="s">
        <v>130</v>
      </c>
      <c r="D200" t="s">
        <v>66</v>
      </c>
      <c r="E200" t="s">
        <v>32</v>
      </c>
      <c r="F200" s="3">
        <v>45657</v>
      </c>
      <c r="G200">
        <v>2024</v>
      </c>
      <c r="H200" t="s">
        <v>44</v>
      </c>
      <c r="I200" t="s">
        <v>53</v>
      </c>
      <c r="J200">
        <v>2</v>
      </c>
      <c r="K200">
        <v>80</v>
      </c>
      <c r="L200">
        <v>87.4</v>
      </c>
      <c r="M200">
        <v>1.0925</v>
      </c>
      <c r="N200">
        <v>1.0925</v>
      </c>
      <c r="Q200" t="s">
        <v>136</v>
      </c>
      <c r="R200">
        <v>0</v>
      </c>
      <c r="S200">
        <v>0</v>
      </c>
      <c r="T200" t="s">
        <v>31</v>
      </c>
      <c r="U200" t="s">
        <v>37</v>
      </c>
      <c r="V200" t="s">
        <v>130</v>
      </c>
      <c r="W200" t="s">
        <v>60</v>
      </c>
      <c r="X200" t="s">
        <v>100</v>
      </c>
      <c r="Y200" t="s">
        <v>133</v>
      </c>
      <c r="Z200" t="s">
        <v>134</v>
      </c>
      <c r="AA200" t="s">
        <v>135</v>
      </c>
      <c r="AB200" t="s">
        <v>43</v>
      </c>
      <c r="AC200" t="s">
        <v>66</v>
      </c>
    </row>
    <row r="201" spans="1:29" x14ac:dyDescent="0.3">
      <c r="A201">
        <v>200</v>
      </c>
      <c r="B201" t="s">
        <v>129</v>
      </c>
      <c r="C201" t="s">
        <v>130</v>
      </c>
      <c r="D201" t="s">
        <v>66</v>
      </c>
      <c r="E201" t="s">
        <v>32</v>
      </c>
      <c r="F201" s="3">
        <v>45657</v>
      </c>
      <c r="G201">
        <v>2024</v>
      </c>
      <c r="H201" t="s">
        <v>44</v>
      </c>
      <c r="I201" t="s">
        <v>53</v>
      </c>
      <c r="K201">
        <v>80</v>
      </c>
      <c r="L201">
        <v>87.4</v>
      </c>
      <c r="M201">
        <v>1.0925</v>
      </c>
      <c r="N201">
        <v>1.0925</v>
      </c>
      <c r="O201" t="s">
        <v>58</v>
      </c>
      <c r="P201" t="s">
        <v>58</v>
      </c>
      <c r="Q201" t="s">
        <v>136</v>
      </c>
      <c r="R201">
        <v>0</v>
      </c>
      <c r="S201">
        <v>1</v>
      </c>
      <c r="T201" t="s">
        <v>443</v>
      </c>
      <c r="U201" t="s">
        <v>37</v>
      </c>
      <c r="V201" t="s">
        <v>130</v>
      </c>
      <c r="W201" t="s">
        <v>60</v>
      </c>
      <c r="X201" t="s">
        <v>100</v>
      </c>
      <c r="Y201" t="s">
        <v>133</v>
      </c>
      <c r="Z201" t="s">
        <v>134</v>
      </c>
      <c r="AA201" t="s">
        <v>135</v>
      </c>
      <c r="AB201" t="s">
        <v>43</v>
      </c>
      <c r="AC201" t="s">
        <v>66</v>
      </c>
    </row>
    <row r="202" spans="1:29" x14ac:dyDescent="0.3">
      <c r="A202">
        <v>200</v>
      </c>
      <c r="B202" t="s">
        <v>129</v>
      </c>
      <c r="C202" t="s">
        <v>130</v>
      </c>
      <c r="D202" t="s">
        <v>66</v>
      </c>
      <c r="E202" t="s">
        <v>32</v>
      </c>
      <c r="F202" s="3">
        <v>45838</v>
      </c>
      <c r="G202">
        <v>2025</v>
      </c>
      <c r="H202" t="s">
        <v>33</v>
      </c>
      <c r="I202" t="s">
        <v>404</v>
      </c>
      <c r="K202">
        <v>80</v>
      </c>
      <c r="L202">
        <v>87.4</v>
      </c>
      <c r="M202">
        <v>1.0925</v>
      </c>
      <c r="N202">
        <v>1.0925</v>
      </c>
      <c r="O202" t="s">
        <v>58</v>
      </c>
      <c r="P202" t="s">
        <v>58</v>
      </c>
      <c r="Q202" t="s">
        <v>463</v>
      </c>
      <c r="R202">
        <v>0</v>
      </c>
      <c r="S202">
        <v>1</v>
      </c>
      <c r="T202" t="s">
        <v>443</v>
      </c>
      <c r="U202" t="s">
        <v>37</v>
      </c>
      <c r="V202" t="s">
        <v>130</v>
      </c>
      <c r="W202" t="s">
        <v>60</v>
      </c>
      <c r="X202" t="s">
        <v>100</v>
      </c>
      <c r="Y202" t="s">
        <v>133</v>
      </c>
      <c r="Z202" t="s">
        <v>134</v>
      </c>
      <c r="AA202" t="s">
        <v>135</v>
      </c>
      <c r="AB202" t="s">
        <v>43</v>
      </c>
      <c r="AC202" t="s">
        <v>66</v>
      </c>
    </row>
    <row r="203" spans="1:29" x14ac:dyDescent="0.3">
      <c r="A203">
        <v>202</v>
      </c>
      <c r="B203" t="s">
        <v>137</v>
      </c>
      <c r="C203" t="s">
        <v>130</v>
      </c>
      <c r="D203" t="s">
        <v>66</v>
      </c>
      <c r="E203" t="s">
        <v>32</v>
      </c>
      <c r="F203" s="3">
        <v>43100</v>
      </c>
      <c r="G203">
        <f t="shared" ref="G203:G208" si="20">YEAR(F203)</f>
        <v>2017</v>
      </c>
      <c r="H203" t="str">
        <f t="shared" ref="H203:H208" si="21">PROPER(TEXT(F203,"mmmm"))</f>
        <v>Diciembre</v>
      </c>
      <c r="I203" t="str">
        <f t="shared" ref="I203:I208" si="22">IF(H203="Junio",G203&amp;"-1",G203&amp;"-2")</f>
        <v>2017-2</v>
      </c>
      <c r="L203">
        <v>64.400000000000006</v>
      </c>
      <c r="O203" t="s">
        <v>245</v>
      </c>
      <c r="P203" t="s">
        <v>245</v>
      </c>
      <c r="Q203" t="str">
        <f t="shared" ref="Q203:Q208" si="23">A203&amp;"-"&amp;TEXT(F203,"yyyy-mm-dd")</f>
        <v>202-2017-12-31</v>
      </c>
      <c r="R203">
        <v>1</v>
      </c>
      <c r="S203">
        <v>1</v>
      </c>
      <c r="T203" t="s">
        <v>31</v>
      </c>
      <c r="U203" t="s">
        <v>37</v>
      </c>
      <c r="V203" t="s">
        <v>130</v>
      </c>
      <c r="W203" t="s">
        <v>60</v>
      </c>
      <c r="X203" t="s">
        <v>100</v>
      </c>
      <c r="Y203" t="s">
        <v>139</v>
      </c>
      <c r="Z203" t="s">
        <v>63</v>
      </c>
      <c r="AA203" t="s">
        <v>115</v>
      </c>
      <c r="AB203" t="s">
        <v>43</v>
      </c>
      <c r="AC203" t="s">
        <v>66</v>
      </c>
    </row>
    <row r="204" spans="1:29" x14ac:dyDescent="0.3">
      <c r="A204">
        <v>202</v>
      </c>
      <c r="B204" t="s">
        <v>137</v>
      </c>
      <c r="C204" t="s">
        <v>130</v>
      </c>
      <c r="D204" t="s">
        <v>66</v>
      </c>
      <c r="E204" t="s">
        <v>32</v>
      </c>
      <c r="F204" s="3">
        <v>43100</v>
      </c>
      <c r="G204">
        <f t="shared" si="20"/>
        <v>2017</v>
      </c>
      <c r="H204" t="str">
        <f t="shared" si="21"/>
        <v>Diciembre</v>
      </c>
      <c r="I204" t="str">
        <f t="shared" si="22"/>
        <v>2017-2</v>
      </c>
      <c r="J204">
        <v>2</v>
      </c>
      <c r="L204">
        <v>64.400000000000006</v>
      </c>
      <c r="O204" t="s">
        <v>245</v>
      </c>
      <c r="P204" t="s">
        <v>245</v>
      </c>
      <c r="Q204" t="str">
        <f t="shared" si="23"/>
        <v>202-2017-12-31</v>
      </c>
      <c r="R204">
        <v>1</v>
      </c>
      <c r="S204">
        <v>1</v>
      </c>
      <c r="T204" t="s">
        <v>31</v>
      </c>
      <c r="U204" t="s">
        <v>37</v>
      </c>
      <c r="V204" t="s">
        <v>130</v>
      </c>
      <c r="W204" t="s">
        <v>60</v>
      </c>
      <c r="X204" t="s">
        <v>100</v>
      </c>
      <c r="Y204" t="s">
        <v>139</v>
      </c>
      <c r="Z204" t="s">
        <v>63</v>
      </c>
      <c r="AA204" t="s">
        <v>115</v>
      </c>
      <c r="AB204" t="s">
        <v>43</v>
      </c>
      <c r="AC204" t="s">
        <v>66</v>
      </c>
    </row>
    <row r="205" spans="1:29" x14ac:dyDescent="0.3">
      <c r="A205">
        <v>202</v>
      </c>
      <c r="B205" t="s">
        <v>137</v>
      </c>
      <c r="C205" t="s">
        <v>130</v>
      </c>
      <c r="D205" t="s">
        <v>66</v>
      </c>
      <c r="E205" t="s">
        <v>32</v>
      </c>
      <c r="F205" s="3">
        <v>43830</v>
      </c>
      <c r="G205">
        <f t="shared" si="20"/>
        <v>2019</v>
      </c>
      <c r="H205" t="str">
        <f t="shared" si="21"/>
        <v>Diciembre</v>
      </c>
      <c r="I205" t="str">
        <f t="shared" si="22"/>
        <v>2019-2</v>
      </c>
      <c r="J205">
        <v>2</v>
      </c>
      <c r="L205">
        <v>77.099999999999994</v>
      </c>
      <c r="O205" t="s">
        <v>245</v>
      </c>
      <c r="P205" t="s">
        <v>245</v>
      </c>
      <c r="Q205" t="str">
        <f t="shared" si="23"/>
        <v>202-2019-12-31</v>
      </c>
      <c r="R205">
        <v>1</v>
      </c>
      <c r="S205">
        <v>1</v>
      </c>
      <c r="T205" t="s">
        <v>31</v>
      </c>
      <c r="U205" t="s">
        <v>37</v>
      </c>
      <c r="V205" t="s">
        <v>130</v>
      </c>
      <c r="W205" t="s">
        <v>60</v>
      </c>
      <c r="X205" t="s">
        <v>100</v>
      </c>
      <c r="Y205" t="s">
        <v>139</v>
      </c>
      <c r="Z205" t="s">
        <v>63</v>
      </c>
      <c r="AA205" t="s">
        <v>115</v>
      </c>
      <c r="AB205" t="s">
        <v>43</v>
      </c>
      <c r="AC205" t="s">
        <v>66</v>
      </c>
    </row>
    <row r="206" spans="1:29" x14ac:dyDescent="0.3">
      <c r="A206">
        <v>202</v>
      </c>
      <c r="B206" t="s">
        <v>137</v>
      </c>
      <c r="C206" t="s">
        <v>130</v>
      </c>
      <c r="D206" t="s">
        <v>66</v>
      </c>
      <c r="E206" t="s">
        <v>32</v>
      </c>
      <c r="F206" s="3">
        <v>43830</v>
      </c>
      <c r="G206">
        <f t="shared" si="20"/>
        <v>2019</v>
      </c>
      <c r="H206" t="str">
        <f t="shared" si="21"/>
        <v>Diciembre</v>
      </c>
      <c r="I206" t="str">
        <f t="shared" si="22"/>
        <v>2019-2</v>
      </c>
      <c r="L206">
        <v>77.099999999999994</v>
      </c>
      <c r="O206" t="s">
        <v>245</v>
      </c>
      <c r="P206" t="s">
        <v>245</v>
      </c>
      <c r="Q206" t="str">
        <f t="shared" si="23"/>
        <v>202-2019-12-31</v>
      </c>
      <c r="R206">
        <v>1</v>
      </c>
      <c r="S206">
        <v>1</v>
      </c>
      <c r="T206" t="s">
        <v>31</v>
      </c>
      <c r="U206" t="s">
        <v>37</v>
      </c>
      <c r="V206" t="s">
        <v>130</v>
      </c>
      <c r="W206" t="s">
        <v>60</v>
      </c>
      <c r="X206" t="s">
        <v>100</v>
      </c>
      <c r="Y206" t="s">
        <v>139</v>
      </c>
      <c r="Z206" t="s">
        <v>63</v>
      </c>
      <c r="AA206" t="s">
        <v>115</v>
      </c>
      <c r="AB206" t="s">
        <v>43</v>
      </c>
      <c r="AC206" t="s">
        <v>66</v>
      </c>
    </row>
    <row r="207" spans="1:29" x14ac:dyDescent="0.3">
      <c r="A207">
        <v>202</v>
      </c>
      <c r="B207" t="s">
        <v>137</v>
      </c>
      <c r="C207" t="s">
        <v>130</v>
      </c>
      <c r="D207" t="s">
        <v>66</v>
      </c>
      <c r="E207" t="s">
        <v>32</v>
      </c>
      <c r="F207" s="3">
        <v>44561</v>
      </c>
      <c r="G207">
        <f t="shared" si="20"/>
        <v>2021</v>
      </c>
      <c r="H207" t="str">
        <f t="shared" si="21"/>
        <v>Diciembre</v>
      </c>
      <c r="I207" t="str">
        <f t="shared" si="22"/>
        <v>2021-2</v>
      </c>
      <c r="J207">
        <v>2</v>
      </c>
      <c r="L207">
        <v>61.7</v>
      </c>
      <c r="O207" t="s">
        <v>245</v>
      </c>
      <c r="P207" t="s">
        <v>245</v>
      </c>
      <c r="Q207" t="str">
        <f t="shared" si="23"/>
        <v>202-2021-12-31</v>
      </c>
      <c r="R207">
        <v>1</v>
      </c>
      <c r="S207">
        <v>1</v>
      </c>
      <c r="T207" t="s">
        <v>31</v>
      </c>
      <c r="U207" t="s">
        <v>37</v>
      </c>
      <c r="V207" t="s">
        <v>130</v>
      </c>
      <c r="W207" t="s">
        <v>60</v>
      </c>
      <c r="X207" t="s">
        <v>100</v>
      </c>
      <c r="Y207" t="s">
        <v>139</v>
      </c>
      <c r="Z207" t="s">
        <v>63</v>
      </c>
      <c r="AA207" t="s">
        <v>115</v>
      </c>
      <c r="AB207" t="s">
        <v>43</v>
      </c>
      <c r="AC207" t="s">
        <v>66</v>
      </c>
    </row>
    <row r="208" spans="1:29" x14ac:dyDescent="0.3">
      <c r="A208">
        <v>202</v>
      </c>
      <c r="B208" t="s">
        <v>137</v>
      </c>
      <c r="C208" t="s">
        <v>130</v>
      </c>
      <c r="D208" t="s">
        <v>66</v>
      </c>
      <c r="E208" t="s">
        <v>32</v>
      </c>
      <c r="F208" s="3">
        <v>44561</v>
      </c>
      <c r="G208">
        <f t="shared" si="20"/>
        <v>2021</v>
      </c>
      <c r="H208" t="str">
        <f t="shared" si="21"/>
        <v>Diciembre</v>
      </c>
      <c r="I208" t="str">
        <f t="shared" si="22"/>
        <v>2021-2</v>
      </c>
      <c r="L208">
        <v>61.7</v>
      </c>
      <c r="O208" t="s">
        <v>245</v>
      </c>
      <c r="P208" t="s">
        <v>245</v>
      </c>
      <c r="Q208" t="str">
        <f t="shared" si="23"/>
        <v>202-2021-12-31</v>
      </c>
      <c r="R208">
        <v>1</v>
      </c>
      <c r="S208">
        <v>1</v>
      </c>
      <c r="T208" t="s">
        <v>31</v>
      </c>
      <c r="U208" t="s">
        <v>37</v>
      </c>
      <c r="V208" t="s">
        <v>130</v>
      </c>
      <c r="W208" t="s">
        <v>60</v>
      </c>
      <c r="X208" t="s">
        <v>100</v>
      </c>
      <c r="Y208" t="s">
        <v>139</v>
      </c>
      <c r="Z208" t="s">
        <v>63</v>
      </c>
      <c r="AA208" t="s">
        <v>115</v>
      </c>
      <c r="AB208" t="s">
        <v>43</v>
      </c>
      <c r="AC208" t="s">
        <v>66</v>
      </c>
    </row>
    <row r="209" spans="1:29" x14ac:dyDescent="0.3">
      <c r="A209">
        <v>202</v>
      </c>
      <c r="B209" t="s">
        <v>137</v>
      </c>
      <c r="C209" t="s">
        <v>130</v>
      </c>
      <c r="D209" t="s">
        <v>66</v>
      </c>
      <c r="E209" t="s">
        <v>32</v>
      </c>
      <c r="F209" s="3">
        <v>45291</v>
      </c>
      <c r="G209">
        <v>2023</v>
      </c>
      <c r="H209" t="s">
        <v>44</v>
      </c>
      <c r="I209" t="s">
        <v>49</v>
      </c>
      <c r="J209">
        <v>2</v>
      </c>
      <c r="K209">
        <v>66</v>
      </c>
      <c r="L209">
        <v>64.7</v>
      </c>
      <c r="M209">
        <v>0.98030303030303034</v>
      </c>
      <c r="N209">
        <v>0.98030303030303034</v>
      </c>
      <c r="O209" t="s">
        <v>245</v>
      </c>
      <c r="P209" t="s">
        <v>245</v>
      </c>
      <c r="Q209" t="s">
        <v>138</v>
      </c>
      <c r="R209">
        <v>1</v>
      </c>
      <c r="S209">
        <v>1</v>
      </c>
      <c r="T209" t="s">
        <v>31</v>
      </c>
      <c r="U209" t="s">
        <v>37</v>
      </c>
      <c r="V209" t="s">
        <v>130</v>
      </c>
      <c r="W209" t="s">
        <v>60</v>
      </c>
      <c r="X209" t="s">
        <v>100</v>
      </c>
      <c r="Y209" t="s">
        <v>139</v>
      </c>
      <c r="Z209" t="s">
        <v>63</v>
      </c>
      <c r="AA209" t="s">
        <v>115</v>
      </c>
      <c r="AB209" t="s">
        <v>43</v>
      </c>
      <c r="AC209" t="s">
        <v>66</v>
      </c>
    </row>
    <row r="210" spans="1:29" x14ac:dyDescent="0.3">
      <c r="A210">
        <v>202</v>
      </c>
      <c r="B210" t="s">
        <v>137</v>
      </c>
      <c r="C210" t="s">
        <v>130</v>
      </c>
      <c r="D210" t="s">
        <v>66</v>
      </c>
      <c r="E210" t="s">
        <v>32</v>
      </c>
      <c r="F210" s="3">
        <v>45291</v>
      </c>
      <c r="G210">
        <v>2023</v>
      </c>
      <c r="H210" t="s">
        <v>44</v>
      </c>
      <c r="I210" t="s">
        <v>49</v>
      </c>
      <c r="K210">
        <v>66</v>
      </c>
      <c r="L210">
        <v>64.7</v>
      </c>
      <c r="M210">
        <v>0.98030303030303034</v>
      </c>
      <c r="N210">
        <v>0.98030303030303034</v>
      </c>
      <c r="O210" t="s">
        <v>35</v>
      </c>
      <c r="P210" t="s">
        <v>245</v>
      </c>
      <c r="Q210" t="s">
        <v>138</v>
      </c>
      <c r="R210">
        <v>1</v>
      </c>
      <c r="S210">
        <v>1</v>
      </c>
      <c r="T210" t="s">
        <v>443</v>
      </c>
      <c r="U210" t="s">
        <v>37</v>
      </c>
      <c r="V210" t="s">
        <v>130</v>
      </c>
      <c r="W210" t="s">
        <v>60</v>
      </c>
      <c r="X210" t="s">
        <v>100</v>
      </c>
      <c r="Y210" t="s">
        <v>139</v>
      </c>
      <c r="Z210" t="s">
        <v>63</v>
      </c>
      <c r="AA210" t="s">
        <v>115</v>
      </c>
      <c r="AB210" t="s">
        <v>43</v>
      </c>
      <c r="AC210" t="s">
        <v>66</v>
      </c>
    </row>
    <row r="211" spans="1:29" x14ac:dyDescent="0.3">
      <c r="A211">
        <v>202</v>
      </c>
      <c r="B211" t="s">
        <v>137</v>
      </c>
      <c r="C211" t="s">
        <v>130</v>
      </c>
      <c r="D211" t="s">
        <v>66</v>
      </c>
      <c r="E211" t="s">
        <v>32</v>
      </c>
      <c r="F211" s="3">
        <v>45838</v>
      </c>
      <c r="G211">
        <v>2025</v>
      </c>
      <c r="H211" t="s">
        <v>44</v>
      </c>
      <c r="I211" t="s">
        <v>465</v>
      </c>
      <c r="J211">
        <v>2</v>
      </c>
      <c r="K211">
        <v>68.7</v>
      </c>
      <c r="L211">
        <v>81</v>
      </c>
      <c r="M211">
        <v>1.179039301310044</v>
      </c>
      <c r="N211">
        <v>1.179039301310044</v>
      </c>
      <c r="O211" t="s">
        <v>245</v>
      </c>
      <c r="P211" t="s">
        <v>245</v>
      </c>
      <c r="Q211" t="s">
        <v>432</v>
      </c>
      <c r="R211">
        <v>1</v>
      </c>
      <c r="S211">
        <v>1</v>
      </c>
      <c r="T211" t="s">
        <v>31</v>
      </c>
      <c r="U211" t="s">
        <v>37</v>
      </c>
      <c r="V211" t="s">
        <v>130</v>
      </c>
      <c r="W211" t="s">
        <v>60</v>
      </c>
      <c r="X211" t="s">
        <v>100</v>
      </c>
      <c r="Y211" t="s">
        <v>139</v>
      </c>
      <c r="Z211" t="s">
        <v>63</v>
      </c>
      <c r="AA211" t="s">
        <v>115</v>
      </c>
      <c r="AB211" t="s">
        <v>43</v>
      </c>
      <c r="AC211" t="s">
        <v>66</v>
      </c>
    </row>
    <row r="212" spans="1:29" x14ac:dyDescent="0.3">
      <c r="A212">
        <v>202</v>
      </c>
      <c r="B212" s="6" t="s">
        <v>137</v>
      </c>
      <c r="C212" t="s">
        <v>130</v>
      </c>
      <c r="D212" t="s">
        <v>66</v>
      </c>
      <c r="E212" t="s">
        <v>32</v>
      </c>
      <c r="F212" s="3">
        <v>46022</v>
      </c>
      <c r="G212">
        <v>2025</v>
      </c>
      <c r="H212" t="s">
        <v>44</v>
      </c>
      <c r="I212" t="s">
        <v>465</v>
      </c>
      <c r="K212">
        <v>68.7</v>
      </c>
      <c r="L212">
        <v>81</v>
      </c>
      <c r="M212">
        <v>1.179039301310044</v>
      </c>
      <c r="N212">
        <v>1.179039301310044</v>
      </c>
      <c r="O212" t="s">
        <v>245</v>
      </c>
      <c r="P212" t="s">
        <v>245</v>
      </c>
      <c r="Q212" t="s">
        <v>432</v>
      </c>
      <c r="R212">
        <v>1</v>
      </c>
      <c r="S212">
        <v>1</v>
      </c>
      <c r="T212" t="s">
        <v>443</v>
      </c>
      <c r="U212" t="s">
        <v>37</v>
      </c>
      <c r="V212" t="s">
        <v>130</v>
      </c>
      <c r="W212" t="s">
        <v>60</v>
      </c>
      <c r="X212" t="s">
        <v>100</v>
      </c>
      <c r="Y212" t="s">
        <v>139</v>
      </c>
      <c r="Z212" t="s">
        <v>63</v>
      </c>
      <c r="AA212" t="s">
        <v>115</v>
      </c>
      <c r="AB212" t="s">
        <v>43</v>
      </c>
      <c r="AC212" t="s">
        <v>66</v>
      </c>
    </row>
    <row r="213" spans="1:29" x14ac:dyDescent="0.3">
      <c r="A213">
        <v>203</v>
      </c>
      <c r="B213" t="s">
        <v>141</v>
      </c>
      <c r="C213" t="s">
        <v>142</v>
      </c>
      <c r="D213" t="s">
        <v>31</v>
      </c>
      <c r="E213" t="s">
        <v>32</v>
      </c>
      <c r="F213" s="3">
        <v>44742</v>
      </c>
      <c r="G213">
        <v>2022</v>
      </c>
      <c r="H213" t="s">
        <v>33</v>
      </c>
      <c r="I213" t="s">
        <v>34</v>
      </c>
      <c r="J213">
        <v>1</v>
      </c>
      <c r="K213">
        <v>113672</v>
      </c>
      <c r="L213">
        <v>119144</v>
      </c>
      <c r="M213">
        <v>1.0481385037652191</v>
      </c>
      <c r="N213">
        <v>1.0481385037652191</v>
      </c>
      <c r="O213" t="s">
        <v>143</v>
      </c>
      <c r="P213" t="s">
        <v>143</v>
      </c>
      <c r="Q213" t="s">
        <v>144</v>
      </c>
      <c r="R213">
        <v>0</v>
      </c>
      <c r="S213">
        <v>0</v>
      </c>
      <c r="T213" t="s">
        <v>31</v>
      </c>
      <c r="U213" t="s">
        <v>37</v>
      </c>
      <c r="V213" t="s">
        <v>142</v>
      </c>
      <c r="W213" t="s">
        <v>145</v>
      </c>
      <c r="X213" t="s">
        <v>146</v>
      </c>
      <c r="Y213" t="s">
        <v>147</v>
      </c>
      <c r="Z213" t="s">
        <v>63</v>
      </c>
      <c r="AA213" t="s">
        <v>148</v>
      </c>
      <c r="AB213" t="s">
        <v>78</v>
      </c>
      <c r="AC213" t="s">
        <v>66</v>
      </c>
    </row>
    <row r="214" spans="1:29" x14ac:dyDescent="0.3">
      <c r="A214">
        <v>203</v>
      </c>
      <c r="B214" t="s">
        <v>141</v>
      </c>
      <c r="C214" t="s">
        <v>142</v>
      </c>
      <c r="D214" t="s">
        <v>31</v>
      </c>
      <c r="E214" t="s">
        <v>32</v>
      </c>
      <c r="F214" s="3">
        <v>44926</v>
      </c>
      <c r="G214">
        <v>2022</v>
      </c>
      <c r="H214" t="s">
        <v>44</v>
      </c>
      <c r="I214" t="s">
        <v>45</v>
      </c>
      <c r="J214">
        <v>2</v>
      </c>
      <c r="K214">
        <v>110768</v>
      </c>
      <c r="L214">
        <v>121738</v>
      </c>
      <c r="M214">
        <v>1.099035822620251</v>
      </c>
      <c r="N214">
        <v>1.099035822620251</v>
      </c>
      <c r="O214" t="s">
        <v>143</v>
      </c>
      <c r="P214" t="s">
        <v>143</v>
      </c>
      <c r="Q214" t="s">
        <v>149</v>
      </c>
      <c r="R214">
        <v>0</v>
      </c>
      <c r="S214">
        <v>0</v>
      </c>
      <c r="T214" t="s">
        <v>31</v>
      </c>
      <c r="U214" t="s">
        <v>37</v>
      </c>
      <c r="V214" t="s">
        <v>142</v>
      </c>
      <c r="W214" t="s">
        <v>145</v>
      </c>
      <c r="X214" t="s">
        <v>146</v>
      </c>
      <c r="Y214" t="s">
        <v>147</v>
      </c>
      <c r="Z214" t="s">
        <v>63</v>
      </c>
      <c r="AA214" t="s">
        <v>148</v>
      </c>
      <c r="AB214" t="s">
        <v>78</v>
      </c>
      <c r="AC214" t="s">
        <v>66</v>
      </c>
    </row>
    <row r="215" spans="1:29" x14ac:dyDescent="0.3">
      <c r="A215">
        <v>203</v>
      </c>
      <c r="B215" t="s">
        <v>141</v>
      </c>
      <c r="C215" t="s">
        <v>142</v>
      </c>
      <c r="D215" t="s">
        <v>31</v>
      </c>
      <c r="E215" t="s">
        <v>32</v>
      </c>
      <c r="F215" s="3">
        <v>44926</v>
      </c>
      <c r="G215">
        <v>2022</v>
      </c>
      <c r="H215" t="s">
        <v>44</v>
      </c>
      <c r="I215" t="s">
        <v>45</v>
      </c>
      <c r="K215">
        <v>224440</v>
      </c>
      <c r="L215">
        <v>241706</v>
      </c>
      <c r="M215">
        <v>1.0769292461236859</v>
      </c>
      <c r="N215">
        <v>1.0769292461236859</v>
      </c>
      <c r="O215" t="s">
        <v>143</v>
      </c>
      <c r="P215" t="s">
        <v>143</v>
      </c>
      <c r="Q215" t="s">
        <v>149</v>
      </c>
      <c r="R215">
        <v>0</v>
      </c>
      <c r="S215">
        <v>0</v>
      </c>
      <c r="T215" t="s">
        <v>443</v>
      </c>
      <c r="U215" t="s">
        <v>37</v>
      </c>
      <c r="V215" t="s">
        <v>142</v>
      </c>
      <c r="W215" t="s">
        <v>145</v>
      </c>
      <c r="X215" t="s">
        <v>146</v>
      </c>
      <c r="Y215" t="s">
        <v>147</v>
      </c>
      <c r="Z215" t="s">
        <v>63</v>
      </c>
      <c r="AA215" t="s">
        <v>148</v>
      </c>
      <c r="AB215" t="s">
        <v>78</v>
      </c>
      <c r="AC215" t="s">
        <v>66</v>
      </c>
    </row>
    <row r="216" spans="1:29" x14ac:dyDescent="0.3">
      <c r="A216">
        <v>203</v>
      </c>
      <c r="B216" t="s">
        <v>141</v>
      </c>
      <c r="C216" t="s">
        <v>142</v>
      </c>
      <c r="D216" t="s">
        <v>31</v>
      </c>
      <c r="E216" t="s">
        <v>32</v>
      </c>
      <c r="F216" s="3">
        <v>45107</v>
      </c>
      <c r="G216">
        <v>2023</v>
      </c>
      <c r="H216" t="s">
        <v>33</v>
      </c>
      <c r="I216" t="s">
        <v>47</v>
      </c>
      <c r="J216">
        <v>1</v>
      </c>
      <c r="K216">
        <v>123465.69985999999</v>
      </c>
      <c r="L216">
        <v>129185.069909</v>
      </c>
      <c r="M216">
        <v>1.046323554278519</v>
      </c>
      <c r="N216">
        <v>1.046323554278519</v>
      </c>
      <c r="O216" t="s">
        <v>143</v>
      </c>
      <c r="P216" t="s">
        <v>143</v>
      </c>
      <c r="Q216" t="s">
        <v>150</v>
      </c>
      <c r="R216">
        <v>0</v>
      </c>
      <c r="S216">
        <v>0</v>
      </c>
      <c r="T216" t="s">
        <v>31</v>
      </c>
      <c r="U216" t="s">
        <v>37</v>
      </c>
      <c r="V216" t="s">
        <v>142</v>
      </c>
      <c r="W216" t="s">
        <v>145</v>
      </c>
      <c r="X216" t="s">
        <v>146</v>
      </c>
      <c r="Y216" t="s">
        <v>147</v>
      </c>
      <c r="Z216" t="s">
        <v>63</v>
      </c>
      <c r="AA216" t="s">
        <v>148</v>
      </c>
      <c r="AB216" t="s">
        <v>78</v>
      </c>
      <c r="AC216" t="s">
        <v>66</v>
      </c>
    </row>
    <row r="217" spans="1:29" x14ac:dyDescent="0.3">
      <c r="A217">
        <v>203</v>
      </c>
      <c r="B217" t="s">
        <v>141</v>
      </c>
      <c r="C217" t="s">
        <v>142</v>
      </c>
      <c r="D217" t="s">
        <v>31</v>
      </c>
      <c r="E217" t="s">
        <v>32</v>
      </c>
      <c r="F217" s="3">
        <v>45291</v>
      </c>
      <c r="G217">
        <v>2023</v>
      </c>
      <c r="H217" t="s">
        <v>44</v>
      </c>
      <c r="I217" t="s">
        <v>49</v>
      </c>
      <c r="J217">
        <v>2</v>
      </c>
      <c r="K217">
        <v>141378.739416</v>
      </c>
      <c r="L217">
        <v>144681.981019</v>
      </c>
      <c r="M217">
        <v>1.023364486178366</v>
      </c>
      <c r="N217">
        <v>1.023364486178366</v>
      </c>
      <c r="O217" t="s">
        <v>143</v>
      </c>
      <c r="P217" t="s">
        <v>143</v>
      </c>
      <c r="Q217" t="s">
        <v>151</v>
      </c>
      <c r="R217">
        <v>0</v>
      </c>
      <c r="S217">
        <v>0</v>
      </c>
      <c r="T217" t="s">
        <v>31</v>
      </c>
      <c r="U217" t="s">
        <v>37</v>
      </c>
      <c r="V217" t="s">
        <v>142</v>
      </c>
      <c r="W217" t="s">
        <v>145</v>
      </c>
      <c r="X217" t="s">
        <v>146</v>
      </c>
      <c r="Y217" t="s">
        <v>147</v>
      </c>
      <c r="Z217" t="s">
        <v>63</v>
      </c>
      <c r="AA217" t="s">
        <v>148</v>
      </c>
      <c r="AB217" t="s">
        <v>78</v>
      </c>
      <c r="AC217" t="s">
        <v>66</v>
      </c>
    </row>
    <row r="218" spans="1:29" x14ac:dyDescent="0.3">
      <c r="A218">
        <v>203</v>
      </c>
      <c r="B218" t="s">
        <v>141</v>
      </c>
      <c r="C218" t="s">
        <v>142</v>
      </c>
      <c r="D218" t="s">
        <v>31</v>
      </c>
      <c r="E218" t="s">
        <v>32</v>
      </c>
      <c r="F218" s="3">
        <v>45291</v>
      </c>
      <c r="G218">
        <v>2023</v>
      </c>
      <c r="H218" t="s">
        <v>44</v>
      </c>
      <c r="I218" t="s">
        <v>49</v>
      </c>
      <c r="K218">
        <v>264844.43927600002</v>
      </c>
      <c r="L218">
        <v>273867.05092800001</v>
      </c>
      <c r="M218">
        <v>1.0340675895505489</v>
      </c>
      <c r="N218">
        <v>1.0340675895505489</v>
      </c>
      <c r="O218" t="s">
        <v>143</v>
      </c>
      <c r="P218" t="s">
        <v>143</v>
      </c>
      <c r="Q218" t="s">
        <v>151</v>
      </c>
      <c r="R218">
        <v>0</v>
      </c>
      <c r="S218">
        <v>0</v>
      </c>
      <c r="T218" t="s">
        <v>443</v>
      </c>
      <c r="U218" t="s">
        <v>37</v>
      </c>
      <c r="V218" t="s">
        <v>142</v>
      </c>
      <c r="W218" t="s">
        <v>145</v>
      </c>
      <c r="X218" t="s">
        <v>146</v>
      </c>
      <c r="Y218" t="s">
        <v>147</v>
      </c>
      <c r="Z218" t="s">
        <v>63</v>
      </c>
      <c r="AA218" t="s">
        <v>148</v>
      </c>
      <c r="AB218" t="s">
        <v>78</v>
      </c>
      <c r="AC218" t="s">
        <v>66</v>
      </c>
    </row>
    <row r="219" spans="1:29" x14ac:dyDescent="0.3">
      <c r="A219">
        <v>203</v>
      </c>
      <c r="B219" t="s">
        <v>141</v>
      </c>
      <c r="C219" t="s">
        <v>142</v>
      </c>
      <c r="D219" t="s">
        <v>31</v>
      </c>
      <c r="E219" t="s">
        <v>32</v>
      </c>
      <c r="F219" s="3">
        <v>45473</v>
      </c>
      <c r="G219">
        <v>2024</v>
      </c>
      <c r="H219" t="s">
        <v>33</v>
      </c>
      <c r="I219" t="s">
        <v>51</v>
      </c>
      <c r="J219">
        <v>1</v>
      </c>
      <c r="K219">
        <v>142872.2583337345</v>
      </c>
      <c r="L219">
        <v>145741.54103414001</v>
      </c>
      <c r="M219">
        <v>1.0200828539694751</v>
      </c>
      <c r="N219">
        <v>1.0200828539694751</v>
      </c>
      <c r="O219" t="s">
        <v>143</v>
      </c>
      <c r="P219" t="s">
        <v>143</v>
      </c>
      <c r="Q219" t="s">
        <v>152</v>
      </c>
      <c r="R219">
        <v>0</v>
      </c>
      <c r="S219">
        <v>0</v>
      </c>
      <c r="T219" t="s">
        <v>31</v>
      </c>
      <c r="U219" t="s">
        <v>37</v>
      </c>
      <c r="V219" t="s">
        <v>142</v>
      </c>
      <c r="W219" t="s">
        <v>145</v>
      </c>
      <c r="X219" t="s">
        <v>146</v>
      </c>
      <c r="Y219" t="s">
        <v>147</v>
      </c>
      <c r="Z219" t="s">
        <v>63</v>
      </c>
      <c r="AA219" t="s">
        <v>148</v>
      </c>
      <c r="AB219" t="s">
        <v>78</v>
      </c>
      <c r="AC219" t="s">
        <v>66</v>
      </c>
    </row>
    <row r="220" spans="1:29" x14ac:dyDescent="0.3">
      <c r="A220">
        <v>203</v>
      </c>
      <c r="B220" t="s">
        <v>141</v>
      </c>
      <c r="C220" t="s">
        <v>142</v>
      </c>
      <c r="D220" t="s">
        <v>31</v>
      </c>
      <c r="E220" t="s">
        <v>32</v>
      </c>
      <c r="F220" s="3">
        <v>45657</v>
      </c>
      <c r="G220">
        <v>2024</v>
      </c>
      <c r="H220" t="s">
        <v>44</v>
      </c>
      <c r="I220" t="s">
        <v>53</v>
      </c>
      <c r="J220">
        <v>2</v>
      </c>
      <c r="K220">
        <v>146766.19433692191</v>
      </c>
      <c r="L220">
        <v>152125.58089486</v>
      </c>
      <c r="M220">
        <v>1.036516491976585</v>
      </c>
      <c r="N220">
        <v>1.036516491976585</v>
      </c>
      <c r="O220" t="s">
        <v>143</v>
      </c>
      <c r="P220" t="s">
        <v>143</v>
      </c>
      <c r="Q220" t="s">
        <v>153</v>
      </c>
      <c r="R220">
        <v>0</v>
      </c>
      <c r="S220">
        <v>0</v>
      </c>
      <c r="T220" t="s">
        <v>31</v>
      </c>
      <c r="U220" t="s">
        <v>37</v>
      </c>
      <c r="V220" t="s">
        <v>142</v>
      </c>
      <c r="W220" t="s">
        <v>145</v>
      </c>
      <c r="X220" t="s">
        <v>146</v>
      </c>
      <c r="Y220" t="s">
        <v>147</v>
      </c>
      <c r="Z220" t="s">
        <v>63</v>
      </c>
      <c r="AA220" t="s">
        <v>148</v>
      </c>
      <c r="AB220" t="s">
        <v>78</v>
      </c>
      <c r="AC220" t="s">
        <v>66</v>
      </c>
    </row>
    <row r="221" spans="1:29" x14ac:dyDescent="0.3">
      <c r="A221">
        <v>203</v>
      </c>
      <c r="B221" t="s">
        <v>141</v>
      </c>
      <c r="C221" t="s">
        <v>142</v>
      </c>
      <c r="D221" t="s">
        <v>31</v>
      </c>
      <c r="E221" t="s">
        <v>32</v>
      </c>
      <c r="F221" s="3">
        <v>45657</v>
      </c>
      <c r="G221">
        <v>2024</v>
      </c>
      <c r="H221" t="s">
        <v>44</v>
      </c>
      <c r="I221" t="s">
        <v>53</v>
      </c>
      <c r="K221">
        <v>289638.45267000003</v>
      </c>
      <c r="L221">
        <v>297867.12192900002</v>
      </c>
      <c r="M221">
        <v>1.028410140929648</v>
      </c>
      <c r="N221">
        <v>1.028410140929648</v>
      </c>
      <c r="O221" t="s">
        <v>143</v>
      </c>
      <c r="P221" t="s">
        <v>143</v>
      </c>
      <c r="Q221" t="s">
        <v>153</v>
      </c>
      <c r="R221">
        <v>0</v>
      </c>
      <c r="S221">
        <v>0</v>
      </c>
      <c r="T221" t="s">
        <v>443</v>
      </c>
      <c r="U221" t="s">
        <v>37</v>
      </c>
      <c r="V221" t="s">
        <v>142</v>
      </c>
      <c r="W221" t="s">
        <v>145</v>
      </c>
      <c r="X221" t="s">
        <v>146</v>
      </c>
      <c r="Y221" t="s">
        <v>147</v>
      </c>
      <c r="Z221" t="s">
        <v>63</v>
      </c>
      <c r="AA221" t="s">
        <v>148</v>
      </c>
      <c r="AB221" t="s">
        <v>78</v>
      </c>
      <c r="AC221" t="s">
        <v>66</v>
      </c>
    </row>
    <row r="222" spans="1:29" x14ac:dyDescent="0.3">
      <c r="A222">
        <v>203</v>
      </c>
      <c r="B222" t="s">
        <v>141</v>
      </c>
      <c r="C222" t="s">
        <v>142</v>
      </c>
      <c r="D222" t="s">
        <v>31</v>
      </c>
      <c r="E222" t="s">
        <v>32</v>
      </c>
      <c r="F222" s="3">
        <v>45838</v>
      </c>
      <c r="G222">
        <v>2025</v>
      </c>
      <c r="H222" t="s">
        <v>33</v>
      </c>
      <c r="I222" t="s">
        <v>404</v>
      </c>
      <c r="J222">
        <v>1</v>
      </c>
      <c r="K222">
        <v>149950.76733</v>
      </c>
      <c r="L222">
        <v>167595.14529690001</v>
      </c>
      <c r="M222">
        <v>1.1176678071147821</v>
      </c>
      <c r="N222">
        <v>1.1176678071147821</v>
      </c>
      <c r="O222" t="s">
        <v>143</v>
      </c>
      <c r="P222" t="s">
        <v>143</v>
      </c>
      <c r="Q222" t="s">
        <v>426</v>
      </c>
      <c r="R222">
        <v>0</v>
      </c>
      <c r="S222">
        <v>0</v>
      </c>
      <c r="T222" t="s">
        <v>31</v>
      </c>
      <c r="U222" t="s">
        <v>37</v>
      </c>
      <c r="V222" t="s">
        <v>142</v>
      </c>
      <c r="W222" t="s">
        <v>145</v>
      </c>
      <c r="X222" t="s">
        <v>146</v>
      </c>
      <c r="Y222" t="s">
        <v>147</v>
      </c>
      <c r="Z222" t="s">
        <v>63</v>
      </c>
      <c r="AA222" t="s">
        <v>148</v>
      </c>
      <c r="AB222" t="s">
        <v>78</v>
      </c>
      <c r="AC222" t="s">
        <v>66</v>
      </c>
    </row>
    <row r="223" spans="1:29" x14ac:dyDescent="0.3">
      <c r="A223">
        <v>204</v>
      </c>
      <c r="B223" t="s">
        <v>154</v>
      </c>
      <c r="C223" t="s">
        <v>142</v>
      </c>
      <c r="D223" t="s">
        <v>31</v>
      </c>
      <c r="E223" t="s">
        <v>32</v>
      </c>
      <c r="F223" s="3">
        <v>44742</v>
      </c>
      <c r="G223">
        <v>2022</v>
      </c>
      <c r="H223" t="s">
        <v>33</v>
      </c>
      <c r="I223" t="s">
        <v>34</v>
      </c>
      <c r="J223">
        <v>1</v>
      </c>
      <c r="K223">
        <v>58804</v>
      </c>
      <c r="L223">
        <v>37101</v>
      </c>
      <c r="M223">
        <v>0.63092646758723891</v>
      </c>
      <c r="N223">
        <v>0.63092646758723891</v>
      </c>
      <c r="O223" t="s">
        <v>143</v>
      </c>
      <c r="P223" t="s">
        <v>143</v>
      </c>
      <c r="Q223" t="s">
        <v>155</v>
      </c>
      <c r="R223">
        <v>0</v>
      </c>
      <c r="S223">
        <v>0</v>
      </c>
      <c r="T223" t="s">
        <v>31</v>
      </c>
      <c r="U223" t="s">
        <v>37</v>
      </c>
      <c r="V223" t="s">
        <v>142</v>
      </c>
      <c r="W223" t="s">
        <v>145</v>
      </c>
      <c r="X223" t="s">
        <v>146</v>
      </c>
      <c r="Y223" t="s">
        <v>147</v>
      </c>
      <c r="Z223" t="s">
        <v>63</v>
      </c>
      <c r="AA223" t="s">
        <v>148</v>
      </c>
      <c r="AB223" t="s">
        <v>43</v>
      </c>
      <c r="AC223" t="s">
        <v>66</v>
      </c>
    </row>
    <row r="224" spans="1:29" x14ac:dyDescent="0.3">
      <c r="A224">
        <v>204</v>
      </c>
      <c r="B224" t="s">
        <v>154</v>
      </c>
      <c r="C224" t="s">
        <v>142</v>
      </c>
      <c r="D224" t="s">
        <v>31</v>
      </c>
      <c r="E224" t="s">
        <v>32</v>
      </c>
      <c r="F224" s="3">
        <v>44925</v>
      </c>
      <c r="G224">
        <v>2022</v>
      </c>
      <c r="H224" t="s">
        <v>44</v>
      </c>
      <c r="I224" t="s">
        <v>45</v>
      </c>
      <c r="J224">
        <v>2</v>
      </c>
      <c r="K224">
        <v>82987</v>
      </c>
      <c r="L224">
        <v>18386</v>
      </c>
      <c r="M224">
        <v>0.22155277332594259</v>
      </c>
      <c r="N224">
        <v>0.22155277332594259</v>
      </c>
      <c r="O224" t="s">
        <v>143</v>
      </c>
      <c r="P224" t="s">
        <v>143</v>
      </c>
      <c r="Q224" t="s">
        <v>156</v>
      </c>
      <c r="R224">
        <v>0</v>
      </c>
      <c r="S224">
        <v>0</v>
      </c>
      <c r="T224" t="s">
        <v>31</v>
      </c>
      <c r="U224" t="s">
        <v>37</v>
      </c>
      <c r="V224" t="s">
        <v>142</v>
      </c>
      <c r="W224" t="s">
        <v>145</v>
      </c>
      <c r="X224" t="s">
        <v>146</v>
      </c>
      <c r="Y224" t="s">
        <v>147</v>
      </c>
      <c r="Z224" t="s">
        <v>63</v>
      </c>
      <c r="AA224" t="s">
        <v>148</v>
      </c>
      <c r="AB224" t="s">
        <v>43</v>
      </c>
      <c r="AC224" t="s">
        <v>66</v>
      </c>
    </row>
    <row r="225" spans="1:29" x14ac:dyDescent="0.3">
      <c r="A225">
        <v>204</v>
      </c>
      <c r="B225" t="s">
        <v>154</v>
      </c>
      <c r="C225" t="s">
        <v>142</v>
      </c>
      <c r="D225" t="s">
        <v>31</v>
      </c>
      <c r="E225" t="s">
        <v>32</v>
      </c>
      <c r="F225" s="3">
        <v>44925</v>
      </c>
      <c r="G225">
        <v>2022</v>
      </c>
      <c r="H225" t="s">
        <v>44</v>
      </c>
      <c r="I225" t="s">
        <v>45</v>
      </c>
      <c r="O225" t="s">
        <v>143</v>
      </c>
      <c r="P225" t="s">
        <v>143</v>
      </c>
      <c r="Q225" t="s">
        <v>156</v>
      </c>
      <c r="R225">
        <v>0</v>
      </c>
      <c r="S225">
        <v>0</v>
      </c>
      <c r="T225" t="s">
        <v>443</v>
      </c>
      <c r="U225" t="s">
        <v>37</v>
      </c>
      <c r="V225" t="s">
        <v>142</v>
      </c>
      <c r="W225" t="s">
        <v>145</v>
      </c>
      <c r="X225" t="s">
        <v>146</v>
      </c>
      <c r="Y225" t="s">
        <v>147</v>
      </c>
      <c r="Z225" t="s">
        <v>63</v>
      </c>
      <c r="AA225" t="s">
        <v>148</v>
      </c>
      <c r="AB225" t="s">
        <v>43</v>
      </c>
      <c r="AC225" t="s">
        <v>66</v>
      </c>
    </row>
    <row r="226" spans="1:29" x14ac:dyDescent="0.3">
      <c r="A226">
        <v>204</v>
      </c>
      <c r="B226" t="s">
        <v>154</v>
      </c>
      <c r="C226" t="s">
        <v>142</v>
      </c>
      <c r="D226" t="s">
        <v>31</v>
      </c>
      <c r="E226" t="s">
        <v>32</v>
      </c>
      <c r="F226" s="3">
        <v>45107</v>
      </c>
      <c r="G226">
        <v>2023</v>
      </c>
      <c r="H226" t="s">
        <v>33</v>
      </c>
      <c r="I226" t="s">
        <v>47</v>
      </c>
      <c r="J226">
        <v>1</v>
      </c>
      <c r="K226">
        <v>8772.7956340000001</v>
      </c>
      <c r="L226">
        <v>17085.606216</v>
      </c>
      <c r="M226">
        <v>1.3</v>
      </c>
      <c r="N226">
        <v>1.9475668793403469</v>
      </c>
      <c r="O226" t="s">
        <v>143</v>
      </c>
      <c r="P226" t="s">
        <v>143</v>
      </c>
      <c r="Q226" t="s">
        <v>157</v>
      </c>
      <c r="R226">
        <v>0</v>
      </c>
      <c r="S226">
        <v>0</v>
      </c>
      <c r="T226" t="s">
        <v>31</v>
      </c>
      <c r="U226" t="s">
        <v>37</v>
      </c>
      <c r="V226" t="s">
        <v>142</v>
      </c>
      <c r="W226" t="s">
        <v>145</v>
      </c>
      <c r="X226" t="s">
        <v>146</v>
      </c>
      <c r="Y226" t="s">
        <v>147</v>
      </c>
      <c r="Z226" t="s">
        <v>63</v>
      </c>
      <c r="AA226" t="s">
        <v>148</v>
      </c>
      <c r="AB226" t="s">
        <v>43</v>
      </c>
      <c r="AC226" t="s">
        <v>66</v>
      </c>
    </row>
    <row r="227" spans="1:29" x14ac:dyDescent="0.3">
      <c r="A227">
        <v>204</v>
      </c>
      <c r="B227" t="s">
        <v>154</v>
      </c>
      <c r="C227" t="s">
        <v>142</v>
      </c>
      <c r="D227" t="s">
        <v>31</v>
      </c>
      <c r="E227" t="s">
        <v>32</v>
      </c>
      <c r="F227" s="3">
        <v>45291</v>
      </c>
      <c r="G227">
        <v>2023</v>
      </c>
      <c r="H227" t="s">
        <v>44</v>
      </c>
      <c r="I227" t="s">
        <v>49</v>
      </c>
      <c r="J227">
        <v>2</v>
      </c>
      <c r="K227">
        <v>78073.811390316565</v>
      </c>
      <c r="L227">
        <v>123931.15668299999</v>
      </c>
      <c r="M227">
        <v>1.3</v>
      </c>
      <c r="N227">
        <v>1.5873588656179161</v>
      </c>
      <c r="O227" t="s">
        <v>143</v>
      </c>
      <c r="P227" t="s">
        <v>143</v>
      </c>
      <c r="Q227" t="s">
        <v>158</v>
      </c>
      <c r="R227">
        <v>0</v>
      </c>
      <c r="S227">
        <v>0</v>
      </c>
      <c r="T227" t="s">
        <v>31</v>
      </c>
      <c r="U227" t="s">
        <v>37</v>
      </c>
      <c r="V227" t="s">
        <v>142</v>
      </c>
      <c r="W227" t="s">
        <v>145</v>
      </c>
      <c r="X227" t="s">
        <v>146</v>
      </c>
      <c r="Y227" t="s">
        <v>147</v>
      </c>
      <c r="Z227" t="s">
        <v>63</v>
      </c>
      <c r="AA227" t="s">
        <v>148</v>
      </c>
      <c r="AB227" t="s">
        <v>43</v>
      </c>
      <c r="AC227" t="s">
        <v>66</v>
      </c>
    </row>
    <row r="228" spans="1:29" x14ac:dyDescent="0.3">
      <c r="A228">
        <v>204</v>
      </c>
      <c r="B228" t="s">
        <v>154</v>
      </c>
      <c r="C228" t="s">
        <v>142</v>
      </c>
      <c r="D228" t="s">
        <v>31</v>
      </c>
      <c r="E228" t="s">
        <v>32</v>
      </c>
      <c r="F228" s="3">
        <v>45291</v>
      </c>
      <c r="G228">
        <v>2023</v>
      </c>
      <c r="H228" t="s">
        <v>44</v>
      </c>
      <c r="I228" t="s">
        <v>49</v>
      </c>
      <c r="K228">
        <v>86846.60702431656</v>
      </c>
      <c r="L228">
        <v>141016.76289899999</v>
      </c>
      <c r="M228">
        <v>1.3</v>
      </c>
      <c r="N228">
        <v>1.6237452185036549</v>
      </c>
      <c r="O228" t="s">
        <v>143</v>
      </c>
      <c r="P228" t="s">
        <v>143</v>
      </c>
      <c r="Q228" t="s">
        <v>158</v>
      </c>
      <c r="R228">
        <v>0</v>
      </c>
      <c r="S228">
        <v>0</v>
      </c>
      <c r="T228" t="s">
        <v>443</v>
      </c>
      <c r="U228" t="s">
        <v>37</v>
      </c>
      <c r="V228" t="s">
        <v>142</v>
      </c>
      <c r="W228" t="s">
        <v>145</v>
      </c>
      <c r="X228" t="s">
        <v>146</v>
      </c>
      <c r="Y228" t="s">
        <v>147</v>
      </c>
      <c r="Z228" t="s">
        <v>63</v>
      </c>
      <c r="AA228" t="s">
        <v>148</v>
      </c>
      <c r="AB228" t="s">
        <v>43</v>
      </c>
      <c r="AC228" t="s">
        <v>66</v>
      </c>
    </row>
    <row r="229" spans="1:29" x14ac:dyDescent="0.3">
      <c r="A229">
        <v>204</v>
      </c>
      <c r="B229" t="s">
        <v>154</v>
      </c>
      <c r="C229" t="s">
        <v>142</v>
      </c>
      <c r="D229" t="s">
        <v>31</v>
      </c>
      <c r="E229" t="s">
        <v>32</v>
      </c>
      <c r="F229" s="3">
        <v>45473</v>
      </c>
      <c r="G229">
        <v>2024</v>
      </c>
      <c r="H229" t="s">
        <v>33</v>
      </c>
      <c r="I229" t="s">
        <v>51</v>
      </c>
      <c r="J229">
        <v>1</v>
      </c>
      <c r="K229">
        <v>20714.519157999999</v>
      </c>
      <c r="L229">
        <v>27665.037063</v>
      </c>
      <c r="M229">
        <v>1.3</v>
      </c>
      <c r="N229">
        <v>1.335538462273004</v>
      </c>
      <c r="O229" t="s">
        <v>143</v>
      </c>
      <c r="P229" t="s">
        <v>143</v>
      </c>
      <c r="Q229" t="s">
        <v>159</v>
      </c>
      <c r="R229">
        <v>0</v>
      </c>
      <c r="S229">
        <v>0</v>
      </c>
      <c r="T229" t="s">
        <v>31</v>
      </c>
      <c r="U229" t="s">
        <v>37</v>
      </c>
      <c r="V229" t="s">
        <v>142</v>
      </c>
      <c r="W229" t="s">
        <v>145</v>
      </c>
      <c r="X229" t="s">
        <v>146</v>
      </c>
      <c r="Y229" t="s">
        <v>147</v>
      </c>
      <c r="Z229" t="s">
        <v>63</v>
      </c>
      <c r="AA229" t="s">
        <v>148</v>
      </c>
      <c r="AB229" t="s">
        <v>43</v>
      </c>
      <c r="AC229" t="s">
        <v>66</v>
      </c>
    </row>
    <row r="230" spans="1:29" x14ac:dyDescent="0.3">
      <c r="A230">
        <v>204</v>
      </c>
      <c r="B230" t="s">
        <v>154</v>
      </c>
      <c r="C230" t="s">
        <v>142</v>
      </c>
      <c r="D230" t="s">
        <v>31</v>
      </c>
      <c r="E230" t="s">
        <v>32</v>
      </c>
      <c r="F230" s="3">
        <v>45657</v>
      </c>
      <c r="G230">
        <v>2024</v>
      </c>
      <c r="H230" t="s">
        <v>44</v>
      </c>
      <c r="I230" t="s">
        <v>53</v>
      </c>
      <c r="J230">
        <v>2</v>
      </c>
      <c r="K230">
        <v>101459.98229760421</v>
      </c>
      <c r="L230">
        <v>149297.71176100001</v>
      </c>
      <c r="M230">
        <v>1.3</v>
      </c>
      <c r="N230">
        <v>1.335538462273004</v>
      </c>
      <c r="O230" t="s">
        <v>143</v>
      </c>
      <c r="P230" t="s">
        <v>143</v>
      </c>
      <c r="Q230" t="s">
        <v>160</v>
      </c>
      <c r="R230">
        <v>0</v>
      </c>
      <c r="S230">
        <v>0</v>
      </c>
      <c r="T230" t="s">
        <v>31</v>
      </c>
      <c r="U230" t="s">
        <v>37</v>
      </c>
      <c r="V230" t="s">
        <v>142</v>
      </c>
      <c r="W230" t="s">
        <v>145</v>
      </c>
      <c r="X230" t="s">
        <v>146</v>
      </c>
      <c r="Y230" t="s">
        <v>147</v>
      </c>
      <c r="Z230" t="s">
        <v>63</v>
      </c>
      <c r="AA230" t="s">
        <v>148</v>
      </c>
      <c r="AB230" t="s">
        <v>43</v>
      </c>
      <c r="AC230" t="s">
        <v>66</v>
      </c>
    </row>
    <row r="231" spans="1:29" x14ac:dyDescent="0.3">
      <c r="A231">
        <v>204</v>
      </c>
      <c r="B231" t="s">
        <v>154</v>
      </c>
      <c r="C231" t="s">
        <v>142</v>
      </c>
      <c r="D231" t="s">
        <v>31</v>
      </c>
      <c r="E231" t="s">
        <v>32</v>
      </c>
      <c r="F231" s="3">
        <v>45657</v>
      </c>
      <c r="G231">
        <v>2024</v>
      </c>
      <c r="H231" t="s">
        <v>44</v>
      </c>
      <c r="I231" t="s">
        <v>53</v>
      </c>
      <c r="K231">
        <v>122440.821151</v>
      </c>
      <c r="L231">
        <v>176962.74882400001</v>
      </c>
      <c r="M231">
        <v>1.3</v>
      </c>
      <c r="N231">
        <v>1.4452920779235949</v>
      </c>
      <c r="O231" t="s">
        <v>143</v>
      </c>
      <c r="P231" t="s">
        <v>143</v>
      </c>
      <c r="Q231" t="s">
        <v>160</v>
      </c>
      <c r="R231">
        <v>0</v>
      </c>
      <c r="S231">
        <v>0</v>
      </c>
      <c r="T231" t="s">
        <v>443</v>
      </c>
      <c r="U231" t="s">
        <v>37</v>
      </c>
      <c r="V231" t="s">
        <v>142</v>
      </c>
      <c r="W231" t="s">
        <v>145</v>
      </c>
      <c r="X231" t="s">
        <v>146</v>
      </c>
      <c r="Y231" t="s">
        <v>147</v>
      </c>
      <c r="Z231" t="s">
        <v>63</v>
      </c>
      <c r="AA231" t="s">
        <v>148</v>
      </c>
      <c r="AB231" t="s">
        <v>43</v>
      </c>
      <c r="AC231" t="s">
        <v>66</v>
      </c>
    </row>
    <row r="232" spans="1:29" x14ac:dyDescent="0.3">
      <c r="A232">
        <v>204</v>
      </c>
      <c r="B232" t="s">
        <v>154</v>
      </c>
      <c r="C232" t="s">
        <v>142</v>
      </c>
      <c r="D232" t="s">
        <v>31</v>
      </c>
      <c r="E232" t="s">
        <v>32</v>
      </c>
      <c r="F232" s="3">
        <v>45838</v>
      </c>
      <c r="G232">
        <v>2025</v>
      </c>
      <c r="H232" t="s">
        <v>33</v>
      </c>
      <c r="I232" t="s">
        <v>404</v>
      </c>
      <c r="J232">
        <v>1</v>
      </c>
      <c r="K232">
        <v>23623.074006999999</v>
      </c>
      <c r="L232">
        <v>20526.599049</v>
      </c>
      <c r="M232">
        <v>0.86892159093763788</v>
      </c>
      <c r="N232">
        <v>0.86892159093763788</v>
      </c>
      <c r="O232" t="s">
        <v>143</v>
      </c>
      <c r="P232" t="s">
        <v>143</v>
      </c>
      <c r="Q232" t="s">
        <v>423</v>
      </c>
      <c r="R232">
        <v>0</v>
      </c>
      <c r="S232">
        <v>0</v>
      </c>
      <c r="T232" t="s">
        <v>31</v>
      </c>
      <c r="U232" t="s">
        <v>37</v>
      </c>
      <c r="V232" t="s">
        <v>142</v>
      </c>
      <c r="W232" t="s">
        <v>145</v>
      </c>
      <c r="X232" t="s">
        <v>146</v>
      </c>
      <c r="Y232" t="s">
        <v>147</v>
      </c>
      <c r="Z232" t="s">
        <v>63</v>
      </c>
      <c r="AA232" t="s">
        <v>148</v>
      </c>
      <c r="AB232" t="s">
        <v>43</v>
      </c>
      <c r="AC232" t="s">
        <v>66</v>
      </c>
    </row>
    <row r="233" spans="1:29" x14ac:dyDescent="0.3">
      <c r="A233">
        <v>204</v>
      </c>
      <c r="B233" t="s">
        <v>154</v>
      </c>
      <c r="C233" t="s">
        <v>142</v>
      </c>
      <c r="D233" t="s">
        <v>31</v>
      </c>
      <c r="E233" t="s">
        <v>32</v>
      </c>
      <c r="F233" s="3">
        <v>45838</v>
      </c>
      <c r="G233">
        <v>2025</v>
      </c>
      <c r="H233" t="s">
        <v>33</v>
      </c>
      <c r="I233" t="s">
        <v>404</v>
      </c>
      <c r="K233">
        <v>23623.074006999999</v>
      </c>
      <c r="L233">
        <v>20526.599049</v>
      </c>
      <c r="M233">
        <v>0.86892159093763788</v>
      </c>
      <c r="N233">
        <v>0.86892159093763788</v>
      </c>
      <c r="O233" t="s">
        <v>143</v>
      </c>
      <c r="P233" t="s">
        <v>143</v>
      </c>
      <c r="Q233" t="s">
        <v>423</v>
      </c>
      <c r="R233">
        <v>0</v>
      </c>
      <c r="S233">
        <v>0</v>
      </c>
      <c r="T233" t="s">
        <v>443</v>
      </c>
      <c r="U233" t="s">
        <v>37</v>
      </c>
      <c r="V233" t="s">
        <v>142</v>
      </c>
      <c r="W233" t="s">
        <v>145</v>
      </c>
      <c r="X233" t="s">
        <v>146</v>
      </c>
      <c r="Y233" t="s">
        <v>147</v>
      </c>
      <c r="Z233" t="s">
        <v>63</v>
      </c>
      <c r="AA233" t="s">
        <v>148</v>
      </c>
      <c r="AB233" t="s">
        <v>43</v>
      </c>
      <c r="AC233" t="s">
        <v>66</v>
      </c>
    </row>
    <row r="234" spans="1:29" x14ac:dyDescent="0.3">
      <c r="A234">
        <v>205</v>
      </c>
      <c r="B234" t="s">
        <v>161</v>
      </c>
      <c r="C234" t="s">
        <v>142</v>
      </c>
      <c r="D234" t="s">
        <v>31</v>
      </c>
      <c r="E234" t="s">
        <v>32</v>
      </c>
      <c r="F234" s="3">
        <v>45107</v>
      </c>
      <c r="G234">
        <v>2023</v>
      </c>
      <c r="H234" t="s">
        <v>33</v>
      </c>
      <c r="I234" t="s">
        <v>47</v>
      </c>
      <c r="J234">
        <v>1</v>
      </c>
      <c r="K234">
        <v>2622.5539939999999</v>
      </c>
      <c r="L234">
        <v>4338.4199079999999</v>
      </c>
      <c r="M234">
        <v>1.3</v>
      </c>
      <c r="N234">
        <v>1.654272864515139</v>
      </c>
      <c r="O234" t="s">
        <v>143</v>
      </c>
      <c r="P234" t="s">
        <v>143</v>
      </c>
      <c r="Q234" t="s">
        <v>162</v>
      </c>
      <c r="R234">
        <v>0</v>
      </c>
      <c r="S234">
        <v>0</v>
      </c>
      <c r="T234" t="s">
        <v>31</v>
      </c>
      <c r="U234" t="s">
        <v>37</v>
      </c>
      <c r="V234" t="s">
        <v>142</v>
      </c>
      <c r="W234" t="s">
        <v>145</v>
      </c>
      <c r="X234" t="s">
        <v>146</v>
      </c>
      <c r="Y234" t="s">
        <v>147</v>
      </c>
      <c r="Z234" t="s">
        <v>63</v>
      </c>
      <c r="AA234" t="s">
        <v>148</v>
      </c>
      <c r="AB234" t="s">
        <v>78</v>
      </c>
      <c r="AC234" t="s">
        <v>66</v>
      </c>
    </row>
    <row r="235" spans="1:29" x14ac:dyDescent="0.3">
      <c r="A235">
        <v>205</v>
      </c>
      <c r="B235" t="s">
        <v>161</v>
      </c>
      <c r="C235" t="s">
        <v>142</v>
      </c>
      <c r="D235" t="s">
        <v>31</v>
      </c>
      <c r="E235" t="s">
        <v>32</v>
      </c>
      <c r="F235" s="3">
        <v>45291</v>
      </c>
      <c r="G235">
        <v>2023</v>
      </c>
      <c r="H235" t="s">
        <v>44</v>
      </c>
      <c r="I235" t="s">
        <v>49</v>
      </c>
      <c r="J235">
        <v>2</v>
      </c>
      <c r="K235">
        <v>2041.786670711695</v>
      </c>
      <c r="L235">
        <v>7345.4747770000004</v>
      </c>
      <c r="M235">
        <v>1.3</v>
      </c>
      <c r="N235">
        <v>3.597572107981108</v>
      </c>
      <c r="O235" t="s">
        <v>143</v>
      </c>
      <c r="P235" t="s">
        <v>143</v>
      </c>
      <c r="Q235" t="s">
        <v>163</v>
      </c>
      <c r="R235">
        <v>0</v>
      </c>
      <c r="S235">
        <v>0</v>
      </c>
      <c r="T235" t="s">
        <v>31</v>
      </c>
      <c r="U235" t="s">
        <v>37</v>
      </c>
      <c r="V235" t="s">
        <v>142</v>
      </c>
      <c r="W235" t="s">
        <v>145</v>
      </c>
      <c r="X235" t="s">
        <v>146</v>
      </c>
      <c r="Y235" t="s">
        <v>147</v>
      </c>
      <c r="Z235" t="s">
        <v>63</v>
      </c>
      <c r="AA235" t="s">
        <v>148</v>
      </c>
      <c r="AB235" t="s">
        <v>78</v>
      </c>
      <c r="AC235" t="s">
        <v>66</v>
      </c>
    </row>
    <row r="236" spans="1:29" x14ac:dyDescent="0.3">
      <c r="A236">
        <v>205</v>
      </c>
      <c r="B236" t="s">
        <v>161</v>
      </c>
      <c r="C236" t="s">
        <v>142</v>
      </c>
      <c r="D236" t="s">
        <v>31</v>
      </c>
      <c r="E236" t="s">
        <v>32</v>
      </c>
      <c r="F236" s="3">
        <v>45291</v>
      </c>
      <c r="G236">
        <v>2023</v>
      </c>
      <c r="H236" t="s">
        <v>44</v>
      </c>
      <c r="I236" t="s">
        <v>49</v>
      </c>
      <c r="K236">
        <v>2041.7866710000001</v>
      </c>
      <c r="L236">
        <v>8708.3762700000007</v>
      </c>
      <c r="M236">
        <v>1.3</v>
      </c>
      <c r="N236">
        <v>4.2650764615555667</v>
      </c>
      <c r="O236" t="s">
        <v>143</v>
      </c>
      <c r="P236" t="s">
        <v>143</v>
      </c>
      <c r="Q236" t="s">
        <v>163</v>
      </c>
      <c r="R236">
        <v>0</v>
      </c>
      <c r="S236">
        <v>0</v>
      </c>
      <c r="T236" t="s">
        <v>443</v>
      </c>
      <c r="U236" t="s">
        <v>37</v>
      </c>
      <c r="V236" t="s">
        <v>142</v>
      </c>
      <c r="W236" t="s">
        <v>145</v>
      </c>
      <c r="X236" t="s">
        <v>146</v>
      </c>
      <c r="Y236" t="s">
        <v>147</v>
      </c>
      <c r="Z236" t="s">
        <v>63</v>
      </c>
      <c r="AA236" t="s">
        <v>148</v>
      </c>
      <c r="AB236" t="s">
        <v>78</v>
      </c>
      <c r="AC236" t="s">
        <v>66</v>
      </c>
    </row>
    <row r="237" spans="1:29" x14ac:dyDescent="0.3">
      <c r="A237">
        <v>205</v>
      </c>
      <c r="B237" t="s">
        <v>161</v>
      </c>
      <c r="C237" t="s">
        <v>142</v>
      </c>
      <c r="D237" t="s">
        <v>31</v>
      </c>
      <c r="E237" t="s">
        <v>32</v>
      </c>
      <c r="F237" s="3">
        <v>45473</v>
      </c>
      <c r="G237">
        <v>2024</v>
      </c>
      <c r="H237" t="s">
        <v>33</v>
      </c>
      <c r="I237" t="s">
        <v>51</v>
      </c>
      <c r="J237">
        <v>1</v>
      </c>
      <c r="K237">
        <v>2039.2370430000001</v>
      </c>
      <c r="L237">
        <v>4385.721681</v>
      </c>
      <c r="M237">
        <v>1.3</v>
      </c>
      <c r="N237">
        <v>2.1506679157553932</v>
      </c>
      <c r="O237" t="s">
        <v>143</v>
      </c>
      <c r="P237" t="s">
        <v>143</v>
      </c>
      <c r="Q237" t="s">
        <v>164</v>
      </c>
      <c r="R237">
        <v>0</v>
      </c>
      <c r="S237">
        <v>0</v>
      </c>
      <c r="T237" t="s">
        <v>31</v>
      </c>
      <c r="U237" t="s">
        <v>37</v>
      </c>
      <c r="V237" t="s">
        <v>142</v>
      </c>
      <c r="W237" t="s">
        <v>145</v>
      </c>
      <c r="X237" t="s">
        <v>146</v>
      </c>
      <c r="Y237" t="s">
        <v>147</v>
      </c>
      <c r="Z237" t="s">
        <v>63</v>
      </c>
      <c r="AA237" t="s">
        <v>148</v>
      </c>
      <c r="AB237" t="s">
        <v>78</v>
      </c>
      <c r="AC237" t="s">
        <v>66</v>
      </c>
    </row>
    <row r="238" spans="1:29" x14ac:dyDescent="0.3">
      <c r="A238">
        <v>205</v>
      </c>
      <c r="B238" t="s">
        <v>161</v>
      </c>
      <c r="C238" t="s">
        <v>142</v>
      </c>
      <c r="D238" t="s">
        <v>31</v>
      </c>
      <c r="E238" t="s">
        <v>32</v>
      </c>
      <c r="F238" s="3">
        <v>45657</v>
      </c>
      <c r="G238">
        <v>2024</v>
      </c>
      <c r="H238" t="s">
        <v>44</v>
      </c>
      <c r="I238" t="s">
        <v>53</v>
      </c>
      <c r="J238">
        <v>2</v>
      </c>
      <c r="K238">
        <v>2783.2196537144901</v>
      </c>
      <c r="L238">
        <v>5092.3929009999993</v>
      </c>
      <c r="M238">
        <v>1.3</v>
      </c>
      <c r="N238">
        <v>1.829676969334304</v>
      </c>
      <c r="O238" t="s">
        <v>143</v>
      </c>
      <c r="P238" t="s">
        <v>143</v>
      </c>
      <c r="Q238" t="s">
        <v>165</v>
      </c>
      <c r="R238">
        <v>0</v>
      </c>
      <c r="S238">
        <v>0</v>
      </c>
      <c r="T238" t="s">
        <v>31</v>
      </c>
      <c r="U238" t="s">
        <v>37</v>
      </c>
      <c r="V238" t="s">
        <v>142</v>
      </c>
      <c r="W238" t="s">
        <v>145</v>
      </c>
      <c r="X238" t="s">
        <v>146</v>
      </c>
      <c r="Y238" t="s">
        <v>147</v>
      </c>
      <c r="Z238" t="s">
        <v>63</v>
      </c>
      <c r="AA238" t="s">
        <v>148</v>
      </c>
      <c r="AB238" t="s">
        <v>78</v>
      </c>
      <c r="AC238" t="s">
        <v>66</v>
      </c>
    </row>
    <row r="239" spans="1:29" x14ac:dyDescent="0.3">
      <c r="A239">
        <v>205</v>
      </c>
      <c r="B239" t="s">
        <v>161</v>
      </c>
      <c r="C239" t="s">
        <v>142</v>
      </c>
      <c r="D239" t="s">
        <v>31</v>
      </c>
      <c r="E239" t="s">
        <v>32</v>
      </c>
      <c r="F239" s="3">
        <v>45657</v>
      </c>
      <c r="G239">
        <v>2024</v>
      </c>
      <c r="H239" t="s">
        <v>44</v>
      </c>
      <c r="I239" t="s">
        <v>53</v>
      </c>
      <c r="K239">
        <v>2783.219654</v>
      </c>
      <c r="L239">
        <v>5141.1028649999998</v>
      </c>
      <c r="M239">
        <v>1.3</v>
      </c>
      <c r="N239">
        <v>1.847178269818297</v>
      </c>
      <c r="O239" t="s">
        <v>143</v>
      </c>
      <c r="P239" t="s">
        <v>143</v>
      </c>
      <c r="Q239" t="s">
        <v>165</v>
      </c>
      <c r="R239">
        <v>0</v>
      </c>
      <c r="S239">
        <v>0</v>
      </c>
      <c r="T239" t="s">
        <v>443</v>
      </c>
      <c r="U239" t="s">
        <v>37</v>
      </c>
      <c r="V239" t="s">
        <v>142</v>
      </c>
      <c r="W239" t="s">
        <v>145</v>
      </c>
      <c r="X239" t="s">
        <v>146</v>
      </c>
      <c r="Y239" t="s">
        <v>147</v>
      </c>
      <c r="Z239" t="s">
        <v>63</v>
      </c>
      <c r="AA239" t="s">
        <v>148</v>
      </c>
      <c r="AB239" t="s">
        <v>78</v>
      </c>
      <c r="AC239" t="s">
        <v>66</v>
      </c>
    </row>
    <row r="240" spans="1:29" x14ac:dyDescent="0.3">
      <c r="A240">
        <v>205</v>
      </c>
      <c r="B240" t="s">
        <v>161</v>
      </c>
      <c r="C240" t="s">
        <v>142</v>
      </c>
      <c r="D240" t="s">
        <v>31</v>
      </c>
      <c r="E240" t="s">
        <v>32</v>
      </c>
      <c r="F240" s="3">
        <v>45838</v>
      </c>
      <c r="G240">
        <v>2025</v>
      </c>
      <c r="H240" t="s">
        <v>33</v>
      </c>
      <c r="I240" t="s">
        <v>404</v>
      </c>
      <c r="J240">
        <v>1</v>
      </c>
      <c r="K240">
        <v>4817.8363419999996</v>
      </c>
      <c r="L240">
        <v>8976.1202028999996</v>
      </c>
      <c r="M240">
        <v>1.3</v>
      </c>
      <c r="N240">
        <v>1.8631019332578229</v>
      </c>
      <c r="O240" t="s">
        <v>143</v>
      </c>
      <c r="P240" t="s">
        <v>143</v>
      </c>
      <c r="Q240" t="s">
        <v>422</v>
      </c>
      <c r="R240">
        <v>0</v>
      </c>
      <c r="S240">
        <v>0</v>
      </c>
      <c r="T240" t="s">
        <v>31</v>
      </c>
      <c r="U240" t="s">
        <v>37</v>
      </c>
      <c r="V240" t="s">
        <v>142</v>
      </c>
      <c r="W240" t="s">
        <v>145</v>
      </c>
      <c r="X240" t="s">
        <v>146</v>
      </c>
      <c r="Y240" t="s">
        <v>147</v>
      </c>
      <c r="Z240" t="s">
        <v>63</v>
      </c>
      <c r="AA240" t="s">
        <v>148</v>
      </c>
      <c r="AB240" t="s">
        <v>78</v>
      </c>
      <c r="AC240" t="s">
        <v>66</v>
      </c>
    </row>
    <row r="241" spans="1:29" x14ac:dyDescent="0.3">
      <c r="A241">
        <v>205</v>
      </c>
      <c r="B241" t="s">
        <v>161</v>
      </c>
      <c r="C241" t="s">
        <v>142</v>
      </c>
      <c r="D241" t="s">
        <v>31</v>
      </c>
      <c r="E241" t="s">
        <v>32</v>
      </c>
      <c r="F241" s="3">
        <v>45838</v>
      </c>
      <c r="G241">
        <v>2025</v>
      </c>
      <c r="H241" t="s">
        <v>33</v>
      </c>
      <c r="I241" t="s">
        <v>404</v>
      </c>
      <c r="K241">
        <v>4817.8363419999996</v>
      </c>
      <c r="L241">
        <v>8976.1202028999996</v>
      </c>
      <c r="M241">
        <v>1.3</v>
      </c>
      <c r="N241">
        <v>1.8631019332578229</v>
      </c>
      <c r="O241" t="s">
        <v>143</v>
      </c>
      <c r="P241" t="s">
        <v>143</v>
      </c>
      <c r="Q241" t="s">
        <v>422</v>
      </c>
      <c r="R241">
        <v>0</v>
      </c>
      <c r="S241">
        <v>0</v>
      </c>
      <c r="T241" t="s">
        <v>443</v>
      </c>
      <c r="U241" t="s">
        <v>37</v>
      </c>
      <c r="V241" t="s">
        <v>142</v>
      </c>
      <c r="W241" t="s">
        <v>145</v>
      </c>
      <c r="X241" t="s">
        <v>146</v>
      </c>
      <c r="Y241" t="s">
        <v>147</v>
      </c>
      <c r="Z241" t="s">
        <v>63</v>
      </c>
      <c r="AA241" t="s">
        <v>148</v>
      </c>
      <c r="AB241" t="s">
        <v>78</v>
      </c>
      <c r="AC241" t="s">
        <v>66</v>
      </c>
    </row>
    <row r="242" spans="1:29" x14ac:dyDescent="0.3">
      <c r="A242">
        <v>207</v>
      </c>
      <c r="B242" t="s">
        <v>170</v>
      </c>
      <c r="C242" t="s">
        <v>142</v>
      </c>
      <c r="D242" t="s">
        <v>31</v>
      </c>
      <c r="E242" t="s">
        <v>171</v>
      </c>
      <c r="F242" s="3">
        <v>45107</v>
      </c>
      <c r="G242">
        <v>2023</v>
      </c>
      <c r="H242" t="s">
        <v>33</v>
      </c>
      <c r="I242" t="s">
        <v>47</v>
      </c>
      <c r="J242">
        <v>1</v>
      </c>
      <c r="K242">
        <v>114640.77968199999</v>
      </c>
      <c r="L242">
        <v>116015.126638</v>
      </c>
      <c r="M242">
        <v>0.98815372619220287</v>
      </c>
      <c r="N242">
        <v>0.98815372619220287</v>
      </c>
      <c r="O242" t="s">
        <v>143</v>
      </c>
      <c r="P242" t="s">
        <v>143</v>
      </c>
      <c r="Q242" t="s">
        <v>172</v>
      </c>
      <c r="R242">
        <v>0</v>
      </c>
      <c r="S242">
        <v>0</v>
      </c>
      <c r="T242" t="s">
        <v>31</v>
      </c>
      <c r="U242" t="s">
        <v>37</v>
      </c>
      <c r="V242" t="s">
        <v>142</v>
      </c>
      <c r="W242" t="s">
        <v>145</v>
      </c>
      <c r="X242" t="s">
        <v>146</v>
      </c>
      <c r="Y242" t="s">
        <v>147</v>
      </c>
      <c r="Z242" t="s">
        <v>63</v>
      </c>
      <c r="AA242" t="s">
        <v>148</v>
      </c>
      <c r="AB242" t="s">
        <v>43</v>
      </c>
      <c r="AC242" t="s">
        <v>66</v>
      </c>
    </row>
    <row r="243" spans="1:29" x14ac:dyDescent="0.3">
      <c r="A243">
        <v>207</v>
      </c>
      <c r="B243" t="s">
        <v>170</v>
      </c>
      <c r="C243" t="s">
        <v>142</v>
      </c>
      <c r="D243" t="s">
        <v>31</v>
      </c>
      <c r="E243" t="s">
        <v>171</v>
      </c>
      <c r="F243" s="3">
        <v>45291</v>
      </c>
      <c r="G243">
        <v>2023</v>
      </c>
      <c r="H243" t="s">
        <v>44</v>
      </c>
      <c r="I243" t="s">
        <v>49</v>
      </c>
      <c r="J243">
        <v>2</v>
      </c>
      <c r="K243">
        <v>238770.96657245801</v>
      </c>
      <c r="L243">
        <v>247359.733075</v>
      </c>
      <c r="M243">
        <v>0.96527823507984689</v>
      </c>
      <c r="N243">
        <v>0.96527823507984689</v>
      </c>
      <c r="O243" t="s">
        <v>143</v>
      </c>
      <c r="P243" t="s">
        <v>143</v>
      </c>
      <c r="Q243" t="s">
        <v>173</v>
      </c>
      <c r="R243">
        <v>0</v>
      </c>
      <c r="S243">
        <v>0</v>
      </c>
      <c r="T243" t="s">
        <v>31</v>
      </c>
      <c r="U243" t="s">
        <v>37</v>
      </c>
      <c r="V243" t="s">
        <v>142</v>
      </c>
      <c r="W243" t="s">
        <v>145</v>
      </c>
      <c r="X243" t="s">
        <v>146</v>
      </c>
      <c r="Y243" t="s">
        <v>147</v>
      </c>
      <c r="Z243" t="s">
        <v>63</v>
      </c>
      <c r="AA243" t="s">
        <v>148</v>
      </c>
      <c r="AB243" t="s">
        <v>43</v>
      </c>
      <c r="AC243" t="s">
        <v>66</v>
      </c>
    </row>
    <row r="244" spans="1:29" x14ac:dyDescent="0.3">
      <c r="A244">
        <v>207</v>
      </c>
      <c r="B244" t="s">
        <v>170</v>
      </c>
      <c r="C244" t="s">
        <v>142</v>
      </c>
      <c r="D244" t="s">
        <v>31</v>
      </c>
      <c r="E244" t="s">
        <v>171</v>
      </c>
      <c r="F244" s="3">
        <v>45291</v>
      </c>
      <c r="G244">
        <v>2023</v>
      </c>
      <c r="H244" t="s">
        <v>44</v>
      </c>
      <c r="I244" t="s">
        <v>49</v>
      </c>
      <c r="K244">
        <v>238770.96657245801</v>
      </c>
      <c r="L244">
        <v>247359.73307500011</v>
      </c>
      <c r="M244">
        <v>0.96527823507984656</v>
      </c>
      <c r="N244">
        <v>0.96527823507984656</v>
      </c>
      <c r="O244" t="s">
        <v>143</v>
      </c>
      <c r="P244" t="s">
        <v>143</v>
      </c>
      <c r="Q244" t="s">
        <v>173</v>
      </c>
      <c r="R244">
        <v>0</v>
      </c>
      <c r="S244">
        <v>0</v>
      </c>
      <c r="T244" t="s">
        <v>443</v>
      </c>
      <c r="U244" t="s">
        <v>37</v>
      </c>
      <c r="V244" t="s">
        <v>142</v>
      </c>
      <c r="W244" t="s">
        <v>145</v>
      </c>
      <c r="X244" t="s">
        <v>146</v>
      </c>
      <c r="Y244" t="s">
        <v>147</v>
      </c>
      <c r="Z244" t="s">
        <v>63</v>
      </c>
      <c r="AA244" t="s">
        <v>148</v>
      </c>
      <c r="AB244" t="s">
        <v>43</v>
      </c>
      <c r="AC244" t="s">
        <v>66</v>
      </c>
    </row>
    <row r="245" spans="1:29" x14ac:dyDescent="0.3">
      <c r="A245">
        <v>207</v>
      </c>
      <c r="B245" t="s">
        <v>170</v>
      </c>
      <c r="C245" t="s">
        <v>142</v>
      </c>
      <c r="D245" t="s">
        <v>31</v>
      </c>
      <c r="E245" t="s">
        <v>171</v>
      </c>
      <c r="F245" s="3">
        <v>45473</v>
      </c>
      <c r="G245">
        <v>2024</v>
      </c>
      <c r="H245" t="s">
        <v>33</v>
      </c>
      <c r="I245" t="s">
        <v>51</v>
      </c>
      <c r="J245">
        <v>1</v>
      </c>
      <c r="K245">
        <v>128735.29679399999</v>
      </c>
      <c r="L245">
        <v>131039.3223</v>
      </c>
      <c r="M245">
        <v>1.017897387611471</v>
      </c>
      <c r="N245">
        <v>1.017897387611471</v>
      </c>
      <c r="O245" t="s">
        <v>143</v>
      </c>
      <c r="P245" t="s">
        <v>143</v>
      </c>
      <c r="Q245" t="s">
        <v>174</v>
      </c>
      <c r="R245">
        <v>0</v>
      </c>
      <c r="S245">
        <v>0</v>
      </c>
      <c r="T245" t="s">
        <v>31</v>
      </c>
      <c r="U245" t="s">
        <v>37</v>
      </c>
      <c r="V245" t="s">
        <v>142</v>
      </c>
      <c r="W245" t="s">
        <v>145</v>
      </c>
      <c r="X245" t="s">
        <v>146</v>
      </c>
      <c r="Y245" t="s">
        <v>147</v>
      </c>
      <c r="Z245" t="s">
        <v>63</v>
      </c>
      <c r="AA245" t="s">
        <v>148</v>
      </c>
      <c r="AB245" t="s">
        <v>43</v>
      </c>
      <c r="AC245" t="s">
        <v>66</v>
      </c>
    </row>
    <row r="246" spans="1:29" x14ac:dyDescent="0.3">
      <c r="A246">
        <v>207</v>
      </c>
      <c r="B246" t="s">
        <v>170</v>
      </c>
      <c r="C246" t="s">
        <v>142</v>
      </c>
      <c r="D246" t="s">
        <v>31</v>
      </c>
      <c r="E246" t="s">
        <v>171</v>
      </c>
      <c r="F246" s="3">
        <v>45657</v>
      </c>
      <c r="G246">
        <v>2024</v>
      </c>
      <c r="H246" t="s">
        <v>44</v>
      </c>
      <c r="I246" t="s">
        <v>53</v>
      </c>
      <c r="J246">
        <v>2</v>
      </c>
      <c r="K246">
        <v>262628.34438982193</v>
      </c>
      <c r="L246">
        <v>268399.19981700002</v>
      </c>
      <c r="M246">
        <v>1.017897387611471</v>
      </c>
      <c r="N246">
        <v>1.017897387611471</v>
      </c>
      <c r="O246" t="s">
        <v>143</v>
      </c>
      <c r="P246" t="s">
        <v>143</v>
      </c>
      <c r="Q246" t="s">
        <v>175</v>
      </c>
      <c r="R246">
        <v>0</v>
      </c>
      <c r="S246">
        <v>0</v>
      </c>
      <c r="T246" t="s">
        <v>31</v>
      </c>
      <c r="U246" t="s">
        <v>37</v>
      </c>
      <c r="V246" t="s">
        <v>142</v>
      </c>
      <c r="W246" t="s">
        <v>145</v>
      </c>
      <c r="X246" t="s">
        <v>146</v>
      </c>
      <c r="Y246" t="s">
        <v>147</v>
      </c>
      <c r="Z246" t="s">
        <v>63</v>
      </c>
      <c r="AA246" t="s">
        <v>148</v>
      </c>
      <c r="AB246" t="s">
        <v>43</v>
      </c>
      <c r="AC246" t="s">
        <v>66</v>
      </c>
    </row>
    <row r="247" spans="1:29" x14ac:dyDescent="0.3">
      <c r="A247">
        <v>207</v>
      </c>
      <c r="B247" t="s">
        <v>170</v>
      </c>
      <c r="C247" t="s">
        <v>142</v>
      </c>
      <c r="D247" t="s">
        <v>31</v>
      </c>
      <c r="E247" t="s">
        <v>171</v>
      </c>
      <c r="F247" s="3">
        <v>45657</v>
      </c>
      <c r="G247">
        <v>2024</v>
      </c>
      <c r="H247" t="s">
        <v>44</v>
      </c>
      <c r="I247" t="s">
        <v>53</v>
      </c>
      <c r="K247">
        <v>262628.34438999998</v>
      </c>
      <c r="L247">
        <v>268399.19981700002</v>
      </c>
      <c r="M247">
        <v>1.0219734676407599</v>
      </c>
      <c r="N247">
        <v>1.0219734676407599</v>
      </c>
      <c r="O247" t="s">
        <v>143</v>
      </c>
      <c r="P247" t="s">
        <v>143</v>
      </c>
      <c r="Q247" t="s">
        <v>175</v>
      </c>
      <c r="R247">
        <v>0</v>
      </c>
      <c r="S247">
        <v>0</v>
      </c>
      <c r="T247" t="s">
        <v>443</v>
      </c>
      <c r="U247" t="s">
        <v>37</v>
      </c>
      <c r="V247" t="s">
        <v>142</v>
      </c>
      <c r="W247" t="s">
        <v>145</v>
      </c>
      <c r="X247" t="s">
        <v>146</v>
      </c>
      <c r="Y247" t="s">
        <v>147</v>
      </c>
      <c r="Z247" t="s">
        <v>63</v>
      </c>
      <c r="AA247" t="s">
        <v>148</v>
      </c>
      <c r="AB247" t="s">
        <v>43</v>
      </c>
      <c r="AC247" t="s">
        <v>66</v>
      </c>
    </row>
    <row r="248" spans="1:29" x14ac:dyDescent="0.3">
      <c r="A248">
        <v>207</v>
      </c>
      <c r="B248" t="s">
        <v>170</v>
      </c>
      <c r="C248" t="s">
        <v>142</v>
      </c>
      <c r="D248" t="s">
        <v>31</v>
      </c>
      <c r="E248" t="s">
        <v>171</v>
      </c>
      <c r="F248" s="3">
        <v>45838</v>
      </c>
      <c r="G248">
        <v>2025</v>
      </c>
      <c r="H248" t="s">
        <v>33</v>
      </c>
      <c r="I248" t="s">
        <v>404</v>
      </c>
      <c r="J248">
        <v>1</v>
      </c>
      <c r="K248">
        <v>131244.07283600001</v>
      </c>
      <c r="L248">
        <v>145546.91852800001</v>
      </c>
      <c r="M248">
        <v>1.108978983834741</v>
      </c>
      <c r="N248">
        <v>1.108978983834741</v>
      </c>
      <c r="O248" t="s">
        <v>143</v>
      </c>
      <c r="P248" t="s">
        <v>143</v>
      </c>
      <c r="Q248" t="s">
        <v>427</v>
      </c>
      <c r="R248">
        <v>0</v>
      </c>
      <c r="S248">
        <v>0</v>
      </c>
      <c r="T248" t="s">
        <v>31</v>
      </c>
      <c r="U248" t="s">
        <v>37</v>
      </c>
      <c r="V248" t="s">
        <v>142</v>
      </c>
      <c r="W248" t="s">
        <v>145</v>
      </c>
      <c r="X248" t="s">
        <v>146</v>
      </c>
      <c r="Y248" t="s">
        <v>147</v>
      </c>
      <c r="Z248" t="s">
        <v>63</v>
      </c>
      <c r="AA248" t="s">
        <v>148</v>
      </c>
      <c r="AB248" t="s">
        <v>43</v>
      </c>
      <c r="AC248" t="s">
        <v>66</v>
      </c>
    </row>
    <row r="249" spans="1:29" x14ac:dyDescent="0.3">
      <c r="A249">
        <v>207</v>
      </c>
      <c r="B249" s="6" t="s">
        <v>170</v>
      </c>
      <c r="C249" t="s">
        <v>142</v>
      </c>
      <c r="D249" t="s">
        <v>31</v>
      </c>
      <c r="E249" t="s">
        <v>171</v>
      </c>
      <c r="F249" s="3">
        <v>45838</v>
      </c>
      <c r="G249">
        <v>2025</v>
      </c>
      <c r="H249" t="s">
        <v>33</v>
      </c>
      <c r="I249" t="s">
        <v>404</v>
      </c>
      <c r="K249">
        <v>131244.07283600001</v>
      </c>
      <c r="L249">
        <v>145546.91852800001</v>
      </c>
      <c r="M249">
        <v>1.108978983834741</v>
      </c>
      <c r="N249">
        <v>1.108978983834741</v>
      </c>
      <c r="O249" t="s">
        <v>143</v>
      </c>
      <c r="P249" t="s">
        <v>143</v>
      </c>
      <c r="Q249" t="s">
        <v>427</v>
      </c>
      <c r="R249">
        <v>0</v>
      </c>
      <c r="S249">
        <v>0</v>
      </c>
      <c r="T249" t="s">
        <v>443</v>
      </c>
      <c r="U249" t="s">
        <v>37</v>
      </c>
      <c r="V249" t="s">
        <v>142</v>
      </c>
      <c r="W249" t="s">
        <v>145</v>
      </c>
      <c r="X249" t="s">
        <v>146</v>
      </c>
      <c r="Y249" t="s">
        <v>147</v>
      </c>
      <c r="Z249" t="s">
        <v>63</v>
      </c>
      <c r="AA249" t="s">
        <v>148</v>
      </c>
      <c r="AB249" t="s">
        <v>43</v>
      </c>
      <c r="AC249" t="s">
        <v>66</v>
      </c>
    </row>
    <row r="250" spans="1:29" x14ac:dyDescent="0.3">
      <c r="A250">
        <v>228</v>
      </c>
      <c r="B250" s="6" t="s">
        <v>176</v>
      </c>
      <c r="C250" t="s">
        <v>177</v>
      </c>
      <c r="D250" t="s">
        <v>66</v>
      </c>
      <c r="E250" t="s">
        <v>32</v>
      </c>
      <c r="F250" s="3">
        <v>44926</v>
      </c>
      <c r="G250">
        <v>2022</v>
      </c>
      <c r="H250" t="s">
        <v>44</v>
      </c>
      <c r="I250" t="s">
        <v>45</v>
      </c>
      <c r="J250">
        <v>2</v>
      </c>
      <c r="K250">
        <v>100</v>
      </c>
      <c r="L250">
        <v>100.11</v>
      </c>
      <c r="M250">
        <v>1.0011000000000001</v>
      </c>
      <c r="N250">
        <v>1.0011000000000001</v>
      </c>
      <c r="Q250" t="s">
        <v>178</v>
      </c>
      <c r="R250">
        <v>1</v>
      </c>
      <c r="S250">
        <v>1</v>
      </c>
      <c r="T250" t="s">
        <v>31</v>
      </c>
      <c r="U250" t="s">
        <v>37</v>
      </c>
      <c r="V250" t="s">
        <v>177</v>
      </c>
      <c r="W250" t="s">
        <v>145</v>
      </c>
      <c r="X250" t="s">
        <v>179</v>
      </c>
      <c r="Y250" t="s">
        <v>180</v>
      </c>
      <c r="Z250" t="s">
        <v>63</v>
      </c>
      <c r="AA250" t="s">
        <v>64</v>
      </c>
      <c r="AB250" t="s">
        <v>43</v>
      </c>
      <c r="AC250" t="s">
        <v>66</v>
      </c>
    </row>
    <row r="251" spans="1:29" x14ac:dyDescent="0.3">
      <c r="A251">
        <v>228</v>
      </c>
      <c r="B251" s="6" t="s">
        <v>176</v>
      </c>
      <c r="C251" t="s">
        <v>177</v>
      </c>
      <c r="D251" t="s">
        <v>66</v>
      </c>
      <c r="E251" t="s">
        <v>32</v>
      </c>
      <c r="F251" s="3">
        <v>44926</v>
      </c>
      <c r="G251">
        <v>2022</v>
      </c>
      <c r="H251" t="s">
        <v>44</v>
      </c>
      <c r="I251" t="s">
        <v>45</v>
      </c>
      <c r="K251">
        <v>170.99</v>
      </c>
      <c r="L251">
        <v>235</v>
      </c>
      <c r="M251">
        <v>1</v>
      </c>
      <c r="N251">
        <v>1.3743493771565589</v>
      </c>
      <c r="O251" t="s">
        <v>445</v>
      </c>
      <c r="P251" t="s">
        <v>445</v>
      </c>
      <c r="Q251" t="s">
        <v>178</v>
      </c>
      <c r="R251">
        <v>1</v>
      </c>
      <c r="S251">
        <v>0</v>
      </c>
      <c r="T251" t="s">
        <v>443</v>
      </c>
      <c r="U251" t="s">
        <v>37</v>
      </c>
      <c r="V251" t="s">
        <v>177</v>
      </c>
      <c r="W251" t="s">
        <v>145</v>
      </c>
      <c r="X251" t="s">
        <v>179</v>
      </c>
      <c r="Y251" t="s">
        <v>180</v>
      </c>
      <c r="Z251" t="s">
        <v>63</v>
      </c>
      <c r="AA251" t="s">
        <v>64</v>
      </c>
      <c r="AB251" t="s">
        <v>43</v>
      </c>
      <c r="AC251" t="s">
        <v>66</v>
      </c>
    </row>
    <row r="252" spans="1:29" x14ac:dyDescent="0.3">
      <c r="A252">
        <v>228</v>
      </c>
      <c r="B252" t="s">
        <v>176</v>
      </c>
      <c r="C252" t="s">
        <v>177</v>
      </c>
      <c r="D252" t="s">
        <v>66</v>
      </c>
      <c r="E252" t="s">
        <v>32</v>
      </c>
      <c r="F252" s="3">
        <v>45291</v>
      </c>
      <c r="G252">
        <v>2023</v>
      </c>
      <c r="H252" t="s">
        <v>44</v>
      </c>
      <c r="I252" t="s">
        <v>49</v>
      </c>
      <c r="K252">
        <v>622.69000000000005</v>
      </c>
      <c r="L252">
        <v>622.68999999999994</v>
      </c>
      <c r="M252">
        <v>0.99999999999999978</v>
      </c>
      <c r="N252">
        <v>0.99999999999999978</v>
      </c>
      <c r="O252" t="s">
        <v>445</v>
      </c>
      <c r="P252" t="s">
        <v>445</v>
      </c>
      <c r="Q252" t="s">
        <v>453</v>
      </c>
      <c r="R252">
        <v>1</v>
      </c>
      <c r="S252">
        <v>1</v>
      </c>
      <c r="T252" t="s">
        <v>443</v>
      </c>
      <c r="U252" t="s">
        <v>37</v>
      </c>
      <c r="V252" t="s">
        <v>177</v>
      </c>
      <c r="W252" t="s">
        <v>145</v>
      </c>
      <c r="X252" t="s">
        <v>179</v>
      </c>
      <c r="Y252" t="s">
        <v>180</v>
      </c>
      <c r="Z252" t="s">
        <v>63</v>
      </c>
      <c r="AA252" t="s">
        <v>64</v>
      </c>
      <c r="AB252" t="s">
        <v>43</v>
      </c>
      <c r="AC252" t="s">
        <v>66</v>
      </c>
    </row>
    <row r="253" spans="1:29" x14ac:dyDescent="0.3">
      <c r="A253">
        <v>228</v>
      </c>
      <c r="B253" t="s">
        <v>176</v>
      </c>
      <c r="C253" t="s">
        <v>177</v>
      </c>
      <c r="D253" t="s">
        <v>66</v>
      </c>
      <c r="E253" t="s">
        <v>32</v>
      </c>
      <c r="F253" s="3">
        <v>45657</v>
      </c>
      <c r="G253">
        <v>2024</v>
      </c>
      <c r="H253" t="s">
        <v>44</v>
      </c>
      <c r="I253" t="s">
        <v>53</v>
      </c>
      <c r="J253">
        <v>2</v>
      </c>
      <c r="Q253" t="s">
        <v>181</v>
      </c>
      <c r="R253">
        <v>0</v>
      </c>
      <c r="S253">
        <v>0</v>
      </c>
      <c r="T253" t="s">
        <v>31</v>
      </c>
      <c r="U253" t="s">
        <v>37</v>
      </c>
      <c r="V253" t="s">
        <v>177</v>
      </c>
      <c r="W253" t="s">
        <v>145</v>
      </c>
      <c r="X253" t="s">
        <v>179</v>
      </c>
      <c r="Y253" t="s">
        <v>180</v>
      </c>
      <c r="Z253" t="s">
        <v>63</v>
      </c>
      <c r="AA253" t="s">
        <v>64</v>
      </c>
      <c r="AB253" t="s">
        <v>43</v>
      </c>
      <c r="AC253" t="s">
        <v>66</v>
      </c>
    </row>
    <row r="254" spans="1:29" x14ac:dyDescent="0.3">
      <c r="A254">
        <v>228</v>
      </c>
      <c r="B254" t="s">
        <v>176</v>
      </c>
      <c r="C254" t="s">
        <v>177</v>
      </c>
      <c r="D254" t="s">
        <v>66</v>
      </c>
      <c r="E254" t="s">
        <v>32</v>
      </c>
      <c r="F254" s="3">
        <v>45657</v>
      </c>
      <c r="G254">
        <v>2024</v>
      </c>
      <c r="H254" t="s">
        <v>44</v>
      </c>
      <c r="I254" t="s">
        <v>53</v>
      </c>
      <c r="K254">
        <v>476.48</v>
      </c>
      <c r="L254">
        <v>477</v>
      </c>
      <c r="M254">
        <v>1</v>
      </c>
      <c r="N254">
        <v>1.0010913364674281</v>
      </c>
      <c r="O254" t="s">
        <v>445</v>
      </c>
      <c r="P254" t="s">
        <v>445</v>
      </c>
      <c r="Q254" t="s">
        <v>181</v>
      </c>
      <c r="R254">
        <v>1</v>
      </c>
      <c r="S254">
        <v>0</v>
      </c>
      <c r="T254" t="s">
        <v>443</v>
      </c>
      <c r="U254" t="s">
        <v>37</v>
      </c>
      <c r="V254" t="s">
        <v>177</v>
      </c>
      <c r="W254" t="s">
        <v>145</v>
      </c>
      <c r="X254" t="s">
        <v>179</v>
      </c>
      <c r="Y254" t="s">
        <v>180</v>
      </c>
      <c r="Z254" t="s">
        <v>63</v>
      </c>
      <c r="AA254" t="s">
        <v>64</v>
      </c>
      <c r="AB254" t="s">
        <v>43</v>
      </c>
      <c r="AC254" t="s">
        <v>66</v>
      </c>
    </row>
    <row r="255" spans="1:29" x14ac:dyDescent="0.3">
      <c r="A255">
        <v>228</v>
      </c>
      <c r="B255" t="s">
        <v>176</v>
      </c>
      <c r="C255" t="s">
        <v>177</v>
      </c>
      <c r="D255" t="s">
        <v>66</v>
      </c>
      <c r="E255" t="s">
        <v>32</v>
      </c>
      <c r="F255" s="3">
        <v>45838</v>
      </c>
      <c r="G255">
        <v>2025</v>
      </c>
      <c r="H255" t="s">
        <v>33</v>
      </c>
      <c r="I255" t="s">
        <v>404</v>
      </c>
      <c r="K255">
        <v>622.69000000000005</v>
      </c>
      <c r="L255">
        <v>622.69100000000003</v>
      </c>
      <c r="M255">
        <v>1</v>
      </c>
      <c r="N255">
        <v>1.0000016059355381</v>
      </c>
      <c r="O255" t="s">
        <v>445</v>
      </c>
      <c r="P255" t="s">
        <v>445</v>
      </c>
      <c r="Q255" t="s">
        <v>460</v>
      </c>
      <c r="R255">
        <v>1</v>
      </c>
      <c r="S255">
        <v>1</v>
      </c>
      <c r="T255" t="s">
        <v>443</v>
      </c>
      <c r="U255" t="s">
        <v>37</v>
      </c>
      <c r="V255" t="s">
        <v>177</v>
      </c>
      <c r="W255" t="s">
        <v>145</v>
      </c>
      <c r="X255" t="s">
        <v>179</v>
      </c>
      <c r="Y255" t="s">
        <v>180</v>
      </c>
      <c r="Z255" t="s">
        <v>63</v>
      </c>
      <c r="AA255" t="s">
        <v>64</v>
      </c>
      <c r="AB255" t="s">
        <v>43</v>
      </c>
      <c r="AC255" t="s">
        <v>66</v>
      </c>
    </row>
    <row r="256" spans="1:29" x14ac:dyDescent="0.3">
      <c r="A256">
        <v>244</v>
      </c>
      <c r="B256" t="s">
        <v>182</v>
      </c>
      <c r="C256" t="s">
        <v>177</v>
      </c>
      <c r="D256" t="s">
        <v>66</v>
      </c>
      <c r="E256" t="s">
        <v>171</v>
      </c>
      <c r="F256" s="3">
        <v>44926</v>
      </c>
      <c r="G256">
        <v>2022</v>
      </c>
      <c r="H256" t="s">
        <v>44</v>
      </c>
      <c r="I256" t="s">
        <v>45</v>
      </c>
      <c r="K256">
        <v>27</v>
      </c>
      <c r="L256">
        <v>27</v>
      </c>
      <c r="M256">
        <v>1</v>
      </c>
      <c r="N256">
        <v>1</v>
      </c>
      <c r="O256" t="s">
        <v>35</v>
      </c>
      <c r="P256" t="s">
        <v>35</v>
      </c>
      <c r="Q256" t="s">
        <v>446</v>
      </c>
      <c r="R256">
        <v>0</v>
      </c>
      <c r="S256">
        <v>0</v>
      </c>
      <c r="T256" t="s">
        <v>443</v>
      </c>
      <c r="U256" t="s">
        <v>37</v>
      </c>
      <c r="V256" t="s">
        <v>177</v>
      </c>
      <c r="W256" t="s">
        <v>145</v>
      </c>
      <c r="X256" t="s">
        <v>179</v>
      </c>
      <c r="Y256" t="s">
        <v>180</v>
      </c>
      <c r="Z256" t="s">
        <v>63</v>
      </c>
      <c r="AA256" t="s">
        <v>64</v>
      </c>
      <c r="AB256" t="s">
        <v>43</v>
      </c>
      <c r="AC256" t="s">
        <v>66</v>
      </c>
    </row>
    <row r="257" spans="1:29" x14ac:dyDescent="0.3">
      <c r="A257">
        <v>244</v>
      </c>
      <c r="B257" t="s">
        <v>182</v>
      </c>
      <c r="C257" t="s">
        <v>177</v>
      </c>
      <c r="D257" t="s">
        <v>66</v>
      </c>
      <c r="E257" t="s">
        <v>171</v>
      </c>
      <c r="F257" s="3">
        <v>45291</v>
      </c>
      <c r="G257">
        <v>2023</v>
      </c>
      <c r="H257" t="s">
        <v>44</v>
      </c>
      <c r="I257" t="s">
        <v>49</v>
      </c>
      <c r="J257">
        <v>2</v>
      </c>
      <c r="K257">
        <v>25</v>
      </c>
      <c r="L257">
        <v>24</v>
      </c>
      <c r="M257">
        <v>1.041666666666667</v>
      </c>
      <c r="N257">
        <v>1.041666666666667</v>
      </c>
      <c r="Q257" t="s">
        <v>183</v>
      </c>
      <c r="R257">
        <v>0</v>
      </c>
      <c r="S257">
        <v>0</v>
      </c>
      <c r="T257" t="s">
        <v>31</v>
      </c>
      <c r="U257" t="s">
        <v>37</v>
      </c>
      <c r="V257" t="s">
        <v>177</v>
      </c>
      <c r="W257" t="s">
        <v>145</v>
      </c>
      <c r="X257" t="s">
        <v>179</v>
      </c>
      <c r="Y257" t="s">
        <v>180</v>
      </c>
      <c r="Z257" t="s">
        <v>63</v>
      </c>
      <c r="AA257" t="s">
        <v>64</v>
      </c>
      <c r="AB257" t="s">
        <v>43</v>
      </c>
      <c r="AC257" t="s">
        <v>66</v>
      </c>
    </row>
    <row r="258" spans="1:29" x14ac:dyDescent="0.3">
      <c r="A258">
        <v>244</v>
      </c>
      <c r="B258" t="s">
        <v>182</v>
      </c>
      <c r="C258" t="s">
        <v>177</v>
      </c>
      <c r="D258" t="s">
        <v>66</v>
      </c>
      <c r="E258" t="s">
        <v>171</v>
      </c>
      <c r="F258" s="3">
        <v>45291</v>
      </c>
      <c r="G258">
        <v>2023</v>
      </c>
      <c r="H258" t="s">
        <v>44</v>
      </c>
      <c r="I258" t="s">
        <v>49</v>
      </c>
      <c r="K258">
        <v>25</v>
      </c>
      <c r="L258">
        <v>24</v>
      </c>
      <c r="M258">
        <v>1.041666666666667</v>
      </c>
      <c r="N258">
        <v>1.041666666666667</v>
      </c>
      <c r="O258" t="s">
        <v>35</v>
      </c>
      <c r="P258" t="s">
        <v>35</v>
      </c>
      <c r="Q258" t="s">
        <v>183</v>
      </c>
      <c r="R258">
        <v>0</v>
      </c>
      <c r="S258">
        <v>0</v>
      </c>
      <c r="T258" t="s">
        <v>443</v>
      </c>
      <c r="U258" t="s">
        <v>37</v>
      </c>
      <c r="V258" t="s">
        <v>177</v>
      </c>
      <c r="W258" t="s">
        <v>145</v>
      </c>
      <c r="X258" t="s">
        <v>179</v>
      </c>
      <c r="Y258" t="s">
        <v>180</v>
      </c>
      <c r="Z258" t="s">
        <v>63</v>
      </c>
      <c r="AA258" t="s">
        <v>64</v>
      </c>
      <c r="AB258" t="s">
        <v>43</v>
      </c>
      <c r="AC258" t="s">
        <v>66</v>
      </c>
    </row>
    <row r="259" spans="1:29" x14ac:dyDescent="0.3">
      <c r="A259">
        <v>244</v>
      </c>
      <c r="B259" t="s">
        <v>182</v>
      </c>
      <c r="C259" t="s">
        <v>177</v>
      </c>
      <c r="D259" t="s">
        <v>66</v>
      </c>
      <c r="E259" t="s">
        <v>171</v>
      </c>
      <c r="F259" s="3">
        <v>45657</v>
      </c>
      <c r="G259">
        <v>2024</v>
      </c>
      <c r="H259" t="s">
        <v>44</v>
      </c>
      <c r="I259" t="s">
        <v>53</v>
      </c>
      <c r="J259">
        <v>2</v>
      </c>
      <c r="K259">
        <v>25</v>
      </c>
      <c r="L259">
        <v>25</v>
      </c>
      <c r="M259">
        <v>1</v>
      </c>
      <c r="N259">
        <v>1</v>
      </c>
      <c r="Q259" t="s">
        <v>184</v>
      </c>
      <c r="R259">
        <v>0</v>
      </c>
      <c r="S259">
        <v>0</v>
      </c>
      <c r="T259" t="s">
        <v>31</v>
      </c>
      <c r="U259" t="s">
        <v>37</v>
      </c>
      <c r="V259" t="s">
        <v>177</v>
      </c>
      <c r="W259" t="s">
        <v>145</v>
      </c>
      <c r="X259" t="s">
        <v>179</v>
      </c>
      <c r="Y259" t="s">
        <v>180</v>
      </c>
      <c r="Z259" t="s">
        <v>63</v>
      </c>
      <c r="AA259" t="s">
        <v>64</v>
      </c>
      <c r="AB259" t="s">
        <v>43</v>
      </c>
      <c r="AC259" t="s">
        <v>66</v>
      </c>
    </row>
    <row r="260" spans="1:29" x14ac:dyDescent="0.3">
      <c r="A260">
        <v>244</v>
      </c>
      <c r="B260" t="s">
        <v>182</v>
      </c>
      <c r="C260" t="s">
        <v>177</v>
      </c>
      <c r="D260" t="s">
        <v>66</v>
      </c>
      <c r="E260" t="s">
        <v>171</v>
      </c>
      <c r="F260" s="3">
        <v>45657</v>
      </c>
      <c r="G260">
        <v>2024</v>
      </c>
      <c r="H260" t="s">
        <v>44</v>
      </c>
      <c r="I260" t="s">
        <v>53</v>
      </c>
      <c r="K260">
        <v>25</v>
      </c>
      <c r="L260">
        <v>25</v>
      </c>
      <c r="M260">
        <v>1</v>
      </c>
      <c r="N260">
        <v>1</v>
      </c>
      <c r="O260" t="s">
        <v>35</v>
      </c>
      <c r="P260" t="s">
        <v>35</v>
      </c>
      <c r="Q260" t="s">
        <v>184</v>
      </c>
      <c r="R260">
        <v>0</v>
      </c>
      <c r="S260">
        <v>0</v>
      </c>
      <c r="T260" t="s">
        <v>443</v>
      </c>
      <c r="U260" t="s">
        <v>37</v>
      </c>
      <c r="V260" t="s">
        <v>177</v>
      </c>
      <c r="W260" t="s">
        <v>145</v>
      </c>
      <c r="X260" t="s">
        <v>179</v>
      </c>
      <c r="Y260" t="s">
        <v>180</v>
      </c>
      <c r="Z260" t="s">
        <v>63</v>
      </c>
      <c r="AA260" t="s">
        <v>64</v>
      </c>
      <c r="AB260" t="s">
        <v>43</v>
      </c>
      <c r="AC260" t="s">
        <v>66</v>
      </c>
    </row>
    <row r="261" spans="1:29" x14ac:dyDescent="0.3">
      <c r="A261">
        <v>244</v>
      </c>
      <c r="B261" t="s">
        <v>182</v>
      </c>
      <c r="C261" t="s">
        <v>177</v>
      </c>
      <c r="D261" t="s">
        <v>66</v>
      </c>
      <c r="E261" t="s">
        <v>171</v>
      </c>
      <c r="F261" s="3">
        <v>45838</v>
      </c>
      <c r="G261">
        <v>2025</v>
      </c>
      <c r="H261" t="s">
        <v>33</v>
      </c>
      <c r="I261" t="s">
        <v>404</v>
      </c>
      <c r="K261">
        <v>25</v>
      </c>
      <c r="L261">
        <v>25</v>
      </c>
      <c r="M261">
        <v>1</v>
      </c>
      <c r="N261">
        <v>1</v>
      </c>
      <c r="O261" t="s">
        <v>35</v>
      </c>
      <c r="P261" t="s">
        <v>35</v>
      </c>
      <c r="Q261" t="s">
        <v>462</v>
      </c>
      <c r="R261">
        <v>0</v>
      </c>
      <c r="S261">
        <v>0</v>
      </c>
      <c r="T261" t="s">
        <v>443</v>
      </c>
      <c r="U261" t="s">
        <v>37</v>
      </c>
      <c r="V261" t="s">
        <v>177</v>
      </c>
      <c r="W261" t="s">
        <v>145</v>
      </c>
      <c r="X261" t="s">
        <v>179</v>
      </c>
      <c r="Y261" t="s">
        <v>180</v>
      </c>
      <c r="Z261" t="s">
        <v>63</v>
      </c>
      <c r="AA261" t="s">
        <v>64</v>
      </c>
      <c r="AB261" t="s">
        <v>43</v>
      </c>
      <c r="AC261" t="s">
        <v>66</v>
      </c>
    </row>
    <row r="262" spans="1:29" x14ac:dyDescent="0.3">
      <c r="A262">
        <v>245</v>
      </c>
      <c r="B262" t="s">
        <v>185</v>
      </c>
      <c r="C262" t="s">
        <v>186</v>
      </c>
      <c r="D262" t="s">
        <v>31</v>
      </c>
      <c r="E262" t="s">
        <v>32</v>
      </c>
      <c r="F262" s="3">
        <v>44742</v>
      </c>
      <c r="G262">
        <v>2022</v>
      </c>
      <c r="H262" t="s">
        <v>33</v>
      </c>
      <c r="I262" t="s">
        <v>34</v>
      </c>
      <c r="J262">
        <v>1</v>
      </c>
      <c r="K262">
        <v>88.5</v>
      </c>
      <c r="L262">
        <v>87</v>
      </c>
      <c r="M262">
        <v>0.98305084745762716</v>
      </c>
      <c r="N262">
        <v>0.98305084745762716</v>
      </c>
      <c r="O262" t="s">
        <v>58</v>
      </c>
      <c r="P262" t="s">
        <v>58</v>
      </c>
      <c r="Q262" t="s">
        <v>187</v>
      </c>
      <c r="R262">
        <v>0</v>
      </c>
      <c r="S262">
        <v>0</v>
      </c>
      <c r="T262" t="s">
        <v>31</v>
      </c>
      <c r="U262" t="s">
        <v>37</v>
      </c>
      <c r="V262" t="s">
        <v>186</v>
      </c>
      <c r="W262" t="s">
        <v>112</v>
      </c>
      <c r="X262" t="s">
        <v>113</v>
      </c>
      <c r="Y262" t="s">
        <v>123</v>
      </c>
      <c r="Z262" t="s">
        <v>41</v>
      </c>
      <c r="AA262" t="s">
        <v>42</v>
      </c>
      <c r="AB262" t="s">
        <v>65</v>
      </c>
      <c r="AC262" t="s">
        <v>31</v>
      </c>
    </row>
    <row r="263" spans="1:29" x14ac:dyDescent="0.3">
      <c r="A263">
        <v>245</v>
      </c>
      <c r="B263" t="s">
        <v>185</v>
      </c>
      <c r="C263" t="s">
        <v>186</v>
      </c>
      <c r="D263" t="s">
        <v>31</v>
      </c>
      <c r="E263" t="s">
        <v>32</v>
      </c>
      <c r="F263" s="3">
        <v>44926</v>
      </c>
      <c r="G263">
        <v>2022</v>
      </c>
      <c r="H263" t="s">
        <v>44</v>
      </c>
      <c r="I263" t="s">
        <v>45</v>
      </c>
      <c r="J263">
        <v>2</v>
      </c>
      <c r="K263">
        <v>88.5</v>
      </c>
      <c r="L263">
        <v>85.9</v>
      </c>
      <c r="M263">
        <v>0.97062146892655377</v>
      </c>
      <c r="N263">
        <v>0.97062146892655377</v>
      </c>
      <c r="O263" t="s">
        <v>58</v>
      </c>
      <c r="P263" t="s">
        <v>58</v>
      </c>
      <c r="Q263" t="s">
        <v>188</v>
      </c>
      <c r="R263">
        <v>0</v>
      </c>
      <c r="S263">
        <v>0</v>
      </c>
      <c r="T263" t="s">
        <v>31</v>
      </c>
      <c r="U263" t="s">
        <v>37</v>
      </c>
      <c r="V263" t="s">
        <v>186</v>
      </c>
      <c r="W263" t="s">
        <v>112</v>
      </c>
      <c r="X263" t="s">
        <v>113</v>
      </c>
      <c r="Y263" t="s">
        <v>123</v>
      </c>
      <c r="Z263" t="s">
        <v>41</v>
      </c>
      <c r="AA263" t="s">
        <v>42</v>
      </c>
      <c r="AB263" t="s">
        <v>65</v>
      </c>
      <c r="AC263" t="s">
        <v>31</v>
      </c>
    </row>
    <row r="264" spans="1:29" x14ac:dyDescent="0.3">
      <c r="A264">
        <v>245</v>
      </c>
      <c r="B264" t="s">
        <v>185</v>
      </c>
      <c r="C264" t="s">
        <v>186</v>
      </c>
      <c r="D264" t="s">
        <v>31</v>
      </c>
      <c r="E264" t="s">
        <v>32</v>
      </c>
      <c r="F264" s="3">
        <v>44926</v>
      </c>
      <c r="G264">
        <v>2022</v>
      </c>
      <c r="H264" t="s">
        <v>44</v>
      </c>
      <c r="I264" t="s">
        <v>45</v>
      </c>
      <c r="K264">
        <v>88.5</v>
      </c>
      <c r="L264">
        <v>85.9</v>
      </c>
      <c r="M264">
        <v>0.97062146892655377</v>
      </c>
      <c r="N264">
        <v>0.97062146892655377</v>
      </c>
      <c r="O264" t="s">
        <v>58</v>
      </c>
      <c r="P264" t="s">
        <v>58</v>
      </c>
      <c r="Q264" t="s">
        <v>188</v>
      </c>
      <c r="R264">
        <v>1</v>
      </c>
      <c r="S264">
        <v>0</v>
      </c>
      <c r="T264" t="s">
        <v>443</v>
      </c>
      <c r="U264" t="s">
        <v>37</v>
      </c>
      <c r="V264" t="s">
        <v>186</v>
      </c>
      <c r="W264" t="s">
        <v>112</v>
      </c>
      <c r="X264" t="s">
        <v>113</v>
      </c>
      <c r="Y264" t="s">
        <v>123</v>
      </c>
      <c r="Z264" t="s">
        <v>41</v>
      </c>
      <c r="AA264" t="s">
        <v>42</v>
      </c>
      <c r="AB264" t="s">
        <v>65</v>
      </c>
      <c r="AC264" t="s">
        <v>31</v>
      </c>
    </row>
    <row r="265" spans="1:29" x14ac:dyDescent="0.3">
      <c r="A265">
        <v>245</v>
      </c>
      <c r="B265" t="s">
        <v>185</v>
      </c>
      <c r="C265" t="s">
        <v>186</v>
      </c>
      <c r="D265" t="s">
        <v>31</v>
      </c>
      <c r="E265" t="s">
        <v>32</v>
      </c>
      <c r="F265" s="3">
        <v>45107</v>
      </c>
      <c r="G265">
        <v>2023</v>
      </c>
      <c r="H265" t="s">
        <v>33</v>
      </c>
      <c r="I265" t="s">
        <v>47</v>
      </c>
      <c r="J265">
        <v>1</v>
      </c>
      <c r="K265">
        <v>87</v>
      </c>
      <c r="L265">
        <v>85.12</v>
      </c>
      <c r="M265">
        <v>0.97839080459770122</v>
      </c>
      <c r="N265">
        <v>0.97839080459770122</v>
      </c>
      <c r="O265" t="s">
        <v>58</v>
      </c>
      <c r="P265" t="s">
        <v>58</v>
      </c>
      <c r="Q265" t="s">
        <v>189</v>
      </c>
      <c r="R265">
        <v>0</v>
      </c>
      <c r="S265">
        <v>0</v>
      </c>
      <c r="T265" t="s">
        <v>31</v>
      </c>
      <c r="U265" t="s">
        <v>37</v>
      </c>
      <c r="V265" t="s">
        <v>186</v>
      </c>
      <c r="W265" t="s">
        <v>112</v>
      </c>
      <c r="X265" t="s">
        <v>113</v>
      </c>
      <c r="Y265" t="s">
        <v>123</v>
      </c>
      <c r="Z265" t="s">
        <v>41</v>
      </c>
      <c r="AA265" t="s">
        <v>42</v>
      </c>
      <c r="AB265" t="s">
        <v>65</v>
      </c>
      <c r="AC265" t="s">
        <v>31</v>
      </c>
    </row>
    <row r="266" spans="1:29" x14ac:dyDescent="0.3">
      <c r="A266">
        <v>245</v>
      </c>
      <c r="B266" t="s">
        <v>185</v>
      </c>
      <c r="C266" t="s">
        <v>186</v>
      </c>
      <c r="D266" t="s">
        <v>31</v>
      </c>
      <c r="E266" t="s">
        <v>32</v>
      </c>
      <c r="F266" s="3">
        <v>45291</v>
      </c>
      <c r="G266">
        <v>2023</v>
      </c>
      <c r="H266" t="s">
        <v>44</v>
      </c>
      <c r="I266" t="s">
        <v>49</v>
      </c>
      <c r="J266">
        <v>2</v>
      </c>
      <c r="K266">
        <v>87</v>
      </c>
      <c r="L266">
        <v>85.38</v>
      </c>
      <c r="M266">
        <v>0.9813793103448275</v>
      </c>
      <c r="N266">
        <v>0.9813793103448275</v>
      </c>
      <c r="O266" t="s">
        <v>58</v>
      </c>
      <c r="P266" t="s">
        <v>58</v>
      </c>
      <c r="Q266" t="s">
        <v>190</v>
      </c>
      <c r="R266">
        <v>0</v>
      </c>
      <c r="S266">
        <v>0</v>
      </c>
      <c r="T266" t="s">
        <v>31</v>
      </c>
      <c r="U266" t="s">
        <v>37</v>
      </c>
      <c r="V266" t="s">
        <v>186</v>
      </c>
      <c r="W266" t="s">
        <v>112</v>
      </c>
      <c r="X266" t="s">
        <v>113</v>
      </c>
      <c r="Y266" t="s">
        <v>123</v>
      </c>
      <c r="Z266" t="s">
        <v>41</v>
      </c>
      <c r="AA266" t="s">
        <v>42</v>
      </c>
      <c r="AB266" t="s">
        <v>65</v>
      </c>
      <c r="AC266" t="s">
        <v>31</v>
      </c>
    </row>
    <row r="267" spans="1:29" x14ac:dyDescent="0.3">
      <c r="A267">
        <v>245</v>
      </c>
      <c r="B267" t="s">
        <v>185</v>
      </c>
      <c r="C267" t="s">
        <v>186</v>
      </c>
      <c r="D267" t="s">
        <v>31</v>
      </c>
      <c r="E267" t="s">
        <v>32</v>
      </c>
      <c r="F267" s="3">
        <v>45291</v>
      </c>
      <c r="G267">
        <v>2023</v>
      </c>
      <c r="H267" t="s">
        <v>44</v>
      </c>
      <c r="I267" t="s">
        <v>49</v>
      </c>
      <c r="K267">
        <v>87</v>
      </c>
      <c r="L267">
        <v>85.38</v>
      </c>
      <c r="M267">
        <v>0.9813793103448275</v>
      </c>
      <c r="N267">
        <v>0.9813793103448275</v>
      </c>
      <c r="O267" t="s">
        <v>58</v>
      </c>
      <c r="P267" t="s">
        <v>58</v>
      </c>
      <c r="Q267" t="s">
        <v>190</v>
      </c>
      <c r="R267">
        <v>0</v>
      </c>
      <c r="S267">
        <v>1</v>
      </c>
      <c r="T267" t="s">
        <v>443</v>
      </c>
      <c r="U267" t="s">
        <v>37</v>
      </c>
      <c r="V267" t="s">
        <v>186</v>
      </c>
      <c r="W267" t="s">
        <v>112</v>
      </c>
      <c r="X267" t="s">
        <v>113</v>
      </c>
      <c r="Y267" t="s">
        <v>123</v>
      </c>
      <c r="Z267" t="s">
        <v>41</v>
      </c>
      <c r="AA267" t="s">
        <v>42</v>
      </c>
      <c r="AB267" t="s">
        <v>65</v>
      </c>
      <c r="AC267" t="s">
        <v>31</v>
      </c>
    </row>
    <row r="268" spans="1:29" x14ac:dyDescent="0.3">
      <c r="A268">
        <v>245</v>
      </c>
      <c r="B268" t="s">
        <v>185</v>
      </c>
      <c r="C268" t="s">
        <v>186</v>
      </c>
      <c r="D268" t="s">
        <v>31</v>
      </c>
      <c r="E268" t="s">
        <v>32</v>
      </c>
      <c r="F268" s="3">
        <v>45473</v>
      </c>
      <c r="G268">
        <v>2024</v>
      </c>
      <c r="H268" t="s">
        <v>33</v>
      </c>
      <c r="I268" t="s">
        <v>51</v>
      </c>
      <c r="J268">
        <v>1</v>
      </c>
      <c r="K268">
        <v>85</v>
      </c>
      <c r="L268">
        <v>85.13</v>
      </c>
      <c r="M268">
        <v>1.001529411764706</v>
      </c>
      <c r="N268">
        <v>1.001529411764706</v>
      </c>
      <c r="O268" t="s">
        <v>58</v>
      </c>
      <c r="P268" t="s">
        <v>58</v>
      </c>
      <c r="Q268" t="s">
        <v>191</v>
      </c>
      <c r="R268">
        <v>0</v>
      </c>
      <c r="S268">
        <v>0</v>
      </c>
      <c r="T268" t="s">
        <v>31</v>
      </c>
      <c r="U268" t="s">
        <v>37</v>
      </c>
      <c r="V268" t="s">
        <v>186</v>
      </c>
      <c r="W268" t="s">
        <v>112</v>
      </c>
      <c r="X268" t="s">
        <v>113</v>
      </c>
      <c r="Y268" t="s">
        <v>123</v>
      </c>
      <c r="Z268" t="s">
        <v>41</v>
      </c>
      <c r="AA268" t="s">
        <v>42</v>
      </c>
      <c r="AB268" t="s">
        <v>65</v>
      </c>
      <c r="AC268" t="s">
        <v>31</v>
      </c>
    </row>
    <row r="269" spans="1:29" x14ac:dyDescent="0.3">
      <c r="A269">
        <v>245</v>
      </c>
      <c r="B269" t="s">
        <v>185</v>
      </c>
      <c r="C269" t="s">
        <v>186</v>
      </c>
      <c r="D269" t="s">
        <v>31</v>
      </c>
      <c r="E269" t="s">
        <v>32</v>
      </c>
      <c r="F269" s="3">
        <v>45657</v>
      </c>
      <c r="G269">
        <v>2024</v>
      </c>
      <c r="H269" t="s">
        <v>44</v>
      </c>
      <c r="I269" t="s">
        <v>53</v>
      </c>
      <c r="J269">
        <v>2</v>
      </c>
      <c r="K269">
        <v>85</v>
      </c>
      <c r="L269">
        <v>85.19</v>
      </c>
      <c r="M269">
        <v>1.0022352941176469</v>
      </c>
      <c r="N269">
        <v>1.0022352941176469</v>
      </c>
      <c r="Q269" t="s">
        <v>192</v>
      </c>
      <c r="R269">
        <v>0</v>
      </c>
      <c r="S269">
        <v>0</v>
      </c>
      <c r="T269" t="s">
        <v>31</v>
      </c>
      <c r="U269" t="s">
        <v>37</v>
      </c>
      <c r="V269" t="s">
        <v>186</v>
      </c>
      <c r="W269" t="s">
        <v>112</v>
      </c>
      <c r="X269" t="s">
        <v>113</v>
      </c>
      <c r="Y269" t="s">
        <v>123</v>
      </c>
      <c r="Z269" t="s">
        <v>41</v>
      </c>
      <c r="AA269" t="s">
        <v>42</v>
      </c>
      <c r="AB269" t="s">
        <v>65</v>
      </c>
      <c r="AC269" t="s">
        <v>31</v>
      </c>
    </row>
    <row r="270" spans="1:29" x14ac:dyDescent="0.3">
      <c r="A270">
        <v>245</v>
      </c>
      <c r="B270" t="s">
        <v>185</v>
      </c>
      <c r="C270" t="s">
        <v>186</v>
      </c>
      <c r="D270" t="s">
        <v>31</v>
      </c>
      <c r="E270" t="s">
        <v>32</v>
      </c>
      <c r="F270" s="3">
        <v>45657</v>
      </c>
      <c r="G270">
        <v>2024</v>
      </c>
      <c r="H270" t="s">
        <v>44</v>
      </c>
      <c r="I270" t="s">
        <v>53</v>
      </c>
      <c r="K270">
        <v>85</v>
      </c>
      <c r="L270">
        <v>85.19</v>
      </c>
      <c r="M270">
        <v>1.0022352941176469</v>
      </c>
      <c r="N270">
        <v>1.0022352941176469</v>
      </c>
      <c r="O270" t="s">
        <v>58</v>
      </c>
      <c r="P270" t="s">
        <v>58</v>
      </c>
      <c r="Q270" t="s">
        <v>192</v>
      </c>
      <c r="R270">
        <v>0</v>
      </c>
      <c r="S270">
        <v>1</v>
      </c>
      <c r="T270" t="s">
        <v>443</v>
      </c>
      <c r="U270" t="s">
        <v>37</v>
      </c>
      <c r="V270" t="s">
        <v>186</v>
      </c>
      <c r="W270" t="s">
        <v>112</v>
      </c>
      <c r="X270" t="s">
        <v>113</v>
      </c>
      <c r="Y270" t="s">
        <v>123</v>
      </c>
      <c r="Z270" t="s">
        <v>41</v>
      </c>
      <c r="AA270" t="s">
        <v>42</v>
      </c>
      <c r="AB270" t="s">
        <v>65</v>
      </c>
      <c r="AC270" t="s">
        <v>31</v>
      </c>
    </row>
    <row r="271" spans="1:29" x14ac:dyDescent="0.3">
      <c r="A271">
        <v>245</v>
      </c>
      <c r="B271" t="s">
        <v>185</v>
      </c>
      <c r="C271" t="s">
        <v>186</v>
      </c>
      <c r="D271" t="s">
        <v>31</v>
      </c>
      <c r="E271" t="s">
        <v>32</v>
      </c>
      <c r="F271" s="3">
        <v>45838</v>
      </c>
      <c r="G271">
        <v>2025</v>
      </c>
      <c r="H271" t="s">
        <v>33</v>
      </c>
      <c r="I271" t="s">
        <v>404</v>
      </c>
      <c r="J271">
        <v>1</v>
      </c>
      <c r="K271">
        <v>85.7</v>
      </c>
      <c r="L271">
        <v>86.5</v>
      </c>
      <c r="M271">
        <v>1.009334889148191</v>
      </c>
      <c r="N271">
        <v>1.009334889148191</v>
      </c>
      <c r="O271" t="s">
        <v>58</v>
      </c>
      <c r="P271" t="s">
        <v>58</v>
      </c>
      <c r="Q271" t="s">
        <v>421</v>
      </c>
      <c r="R271">
        <v>1</v>
      </c>
      <c r="S271">
        <v>1</v>
      </c>
      <c r="T271" t="s">
        <v>31</v>
      </c>
      <c r="U271" t="s">
        <v>37</v>
      </c>
      <c r="V271" t="s">
        <v>186</v>
      </c>
      <c r="W271" t="s">
        <v>112</v>
      </c>
      <c r="X271" t="s">
        <v>113</v>
      </c>
      <c r="Y271" t="s">
        <v>123</v>
      </c>
      <c r="Z271" t="s">
        <v>41</v>
      </c>
      <c r="AA271" t="s">
        <v>42</v>
      </c>
      <c r="AB271" t="s">
        <v>65</v>
      </c>
      <c r="AC271" t="s">
        <v>31</v>
      </c>
    </row>
    <row r="272" spans="1:29" x14ac:dyDescent="0.3">
      <c r="A272">
        <v>245</v>
      </c>
      <c r="B272" t="s">
        <v>185</v>
      </c>
      <c r="C272" t="s">
        <v>186</v>
      </c>
      <c r="D272" t="s">
        <v>31</v>
      </c>
      <c r="E272" t="s">
        <v>32</v>
      </c>
      <c r="F272" s="3">
        <v>45838</v>
      </c>
      <c r="G272">
        <v>2025</v>
      </c>
      <c r="H272" t="s">
        <v>33</v>
      </c>
      <c r="I272" t="s">
        <v>404</v>
      </c>
      <c r="K272">
        <v>85.7</v>
      </c>
      <c r="L272">
        <v>86.5</v>
      </c>
      <c r="M272">
        <v>1.009334889148191</v>
      </c>
      <c r="N272">
        <v>1.009334889148191</v>
      </c>
      <c r="O272" t="s">
        <v>58</v>
      </c>
      <c r="P272" t="s">
        <v>58</v>
      </c>
      <c r="Q272" t="s">
        <v>421</v>
      </c>
      <c r="R272">
        <v>1</v>
      </c>
      <c r="S272">
        <v>1</v>
      </c>
      <c r="T272" t="s">
        <v>443</v>
      </c>
      <c r="U272" t="s">
        <v>37</v>
      </c>
      <c r="V272" t="s">
        <v>186</v>
      </c>
      <c r="W272" t="s">
        <v>112</v>
      </c>
      <c r="X272" t="s">
        <v>113</v>
      </c>
      <c r="Y272" t="s">
        <v>123</v>
      </c>
      <c r="Z272" t="s">
        <v>41</v>
      </c>
      <c r="AA272" t="s">
        <v>42</v>
      </c>
      <c r="AB272" t="s">
        <v>65</v>
      </c>
      <c r="AC272" t="s">
        <v>31</v>
      </c>
    </row>
    <row r="273" spans="1:29" x14ac:dyDescent="0.3">
      <c r="A273">
        <v>274</v>
      </c>
      <c r="B273" t="s">
        <v>480</v>
      </c>
      <c r="C273" t="s">
        <v>194</v>
      </c>
      <c r="D273" t="s">
        <v>31</v>
      </c>
      <c r="E273" t="s">
        <v>32</v>
      </c>
      <c r="F273" s="3">
        <v>43281</v>
      </c>
      <c r="G273">
        <f t="shared" ref="G273:G284" si="24">YEAR(F273)</f>
        <v>2018</v>
      </c>
      <c r="H273" t="str">
        <f t="shared" ref="H273:H284" si="25">PROPER(TEXT(F273,"mmmm"))</f>
        <v>Junio</v>
      </c>
      <c r="I273" t="str">
        <f t="shared" ref="I273:I284" si="26">IF(H273="Junio",G273&amp;"-1",G273&amp;"-2")</f>
        <v>2018-1</v>
      </c>
      <c r="J273">
        <v>1</v>
      </c>
      <c r="L273" s="4">
        <v>37269</v>
      </c>
      <c r="O273" t="s">
        <v>35</v>
      </c>
      <c r="P273" t="s">
        <v>35</v>
      </c>
      <c r="Q273" t="str">
        <f t="shared" ref="Q273:Q284" si="27">A273&amp;"-"&amp;TEXT(F273,"yyyy-mm-dd")</f>
        <v>274-2018-06-30</v>
      </c>
      <c r="R273">
        <v>0</v>
      </c>
      <c r="S273">
        <v>0</v>
      </c>
      <c r="T273" t="s">
        <v>31</v>
      </c>
      <c r="U273" t="s">
        <v>37</v>
      </c>
      <c r="V273" t="s">
        <v>194</v>
      </c>
      <c r="W273" t="s">
        <v>38</v>
      </c>
      <c r="X273" t="s">
        <v>39</v>
      </c>
      <c r="Y273" t="s">
        <v>40</v>
      </c>
      <c r="Z273" t="s">
        <v>41</v>
      </c>
      <c r="AA273" t="s">
        <v>42</v>
      </c>
      <c r="AB273" t="s">
        <v>78</v>
      </c>
      <c r="AC273" t="s">
        <v>31</v>
      </c>
    </row>
    <row r="274" spans="1:29" x14ac:dyDescent="0.3">
      <c r="A274">
        <v>274</v>
      </c>
      <c r="B274" t="s">
        <v>480</v>
      </c>
      <c r="C274" t="s">
        <v>194</v>
      </c>
      <c r="D274" t="s">
        <v>31</v>
      </c>
      <c r="E274" t="s">
        <v>32</v>
      </c>
      <c r="F274" s="3">
        <v>43465</v>
      </c>
      <c r="G274">
        <f t="shared" si="24"/>
        <v>2018</v>
      </c>
      <c r="H274" t="str">
        <f t="shared" si="25"/>
        <v>Diciembre</v>
      </c>
      <c r="I274" t="str">
        <f t="shared" si="26"/>
        <v>2018-2</v>
      </c>
      <c r="J274">
        <v>2</v>
      </c>
      <c r="L274" s="4">
        <v>39789</v>
      </c>
      <c r="O274" t="s">
        <v>35</v>
      </c>
      <c r="P274" t="s">
        <v>35</v>
      </c>
      <c r="Q274" t="str">
        <f t="shared" si="27"/>
        <v>274-2018-12-31</v>
      </c>
      <c r="R274">
        <v>0</v>
      </c>
      <c r="S274">
        <v>0</v>
      </c>
      <c r="T274" t="s">
        <v>31</v>
      </c>
      <c r="U274" t="s">
        <v>37</v>
      </c>
      <c r="V274" t="s">
        <v>194</v>
      </c>
      <c r="W274" t="s">
        <v>38</v>
      </c>
      <c r="X274" t="s">
        <v>39</v>
      </c>
      <c r="Y274" t="s">
        <v>40</v>
      </c>
      <c r="Z274" t="s">
        <v>41</v>
      </c>
      <c r="AA274" t="s">
        <v>42</v>
      </c>
      <c r="AB274" t="s">
        <v>78</v>
      </c>
      <c r="AC274" t="s">
        <v>31</v>
      </c>
    </row>
    <row r="275" spans="1:29" x14ac:dyDescent="0.3">
      <c r="A275">
        <v>274</v>
      </c>
      <c r="B275" t="s">
        <v>480</v>
      </c>
      <c r="C275" t="s">
        <v>194</v>
      </c>
      <c r="D275" t="s">
        <v>31</v>
      </c>
      <c r="E275" t="s">
        <v>32</v>
      </c>
      <c r="F275" s="3">
        <v>43465</v>
      </c>
      <c r="G275">
        <f t="shared" si="24"/>
        <v>2018</v>
      </c>
      <c r="H275" t="str">
        <f t="shared" si="25"/>
        <v>Diciembre</v>
      </c>
      <c r="I275" t="str">
        <f t="shared" si="26"/>
        <v>2018-2</v>
      </c>
      <c r="L275" s="4">
        <v>39789</v>
      </c>
      <c r="O275" t="s">
        <v>35</v>
      </c>
      <c r="P275" t="s">
        <v>35</v>
      </c>
      <c r="Q275" t="str">
        <f t="shared" si="27"/>
        <v>274-2018-12-31</v>
      </c>
      <c r="R275">
        <v>0</v>
      </c>
      <c r="S275">
        <v>0</v>
      </c>
      <c r="T275" t="s">
        <v>443</v>
      </c>
      <c r="U275" t="s">
        <v>37</v>
      </c>
      <c r="V275" t="s">
        <v>194</v>
      </c>
      <c r="W275" t="s">
        <v>38</v>
      </c>
      <c r="X275" t="s">
        <v>39</v>
      </c>
      <c r="Y275" t="s">
        <v>40</v>
      </c>
      <c r="Z275" t="s">
        <v>41</v>
      </c>
      <c r="AA275" t="s">
        <v>42</v>
      </c>
      <c r="AB275" t="s">
        <v>78</v>
      </c>
      <c r="AC275" t="s">
        <v>31</v>
      </c>
    </row>
    <row r="276" spans="1:29" x14ac:dyDescent="0.3">
      <c r="A276">
        <v>274</v>
      </c>
      <c r="B276" t="s">
        <v>480</v>
      </c>
      <c r="C276" t="s">
        <v>194</v>
      </c>
      <c r="D276" t="s">
        <v>31</v>
      </c>
      <c r="E276" t="s">
        <v>32</v>
      </c>
      <c r="F276" s="3">
        <v>43646</v>
      </c>
      <c r="G276">
        <f t="shared" si="24"/>
        <v>2019</v>
      </c>
      <c r="H276" t="str">
        <f t="shared" si="25"/>
        <v>Junio</v>
      </c>
      <c r="I276" t="str">
        <f t="shared" si="26"/>
        <v>2019-1</v>
      </c>
      <c r="J276">
        <v>1</v>
      </c>
      <c r="L276" s="4">
        <v>41502</v>
      </c>
      <c r="O276" t="s">
        <v>35</v>
      </c>
      <c r="P276" t="s">
        <v>35</v>
      </c>
      <c r="Q276" t="str">
        <f t="shared" si="27"/>
        <v>274-2019-06-30</v>
      </c>
      <c r="R276">
        <v>0</v>
      </c>
      <c r="S276">
        <v>0</v>
      </c>
      <c r="T276" t="s">
        <v>31</v>
      </c>
      <c r="U276" t="s">
        <v>37</v>
      </c>
      <c r="V276" t="s">
        <v>194</v>
      </c>
      <c r="W276" t="s">
        <v>38</v>
      </c>
      <c r="X276" t="s">
        <v>39</v>
      </c>
      <c r="Y276" t="s">
        <v>40</v>
      </c>
      <c r="Z276" t="s">
        <v>41</v>
      </c>
      <c r="AA276" t="s">
        <v>42</v>
      </c>
      <c r="AB276" t="s">
        <v>78</v>
      </c>
      <c r="AC276" t="s">
        <v>31</v>
      </c>
    </row>
    <row r="277" spans="1:29" x14ac:dyDescent="0.3">
      <c r="A277">
        <v>274</v>
      </c>
      <c r="B277" t="s">
        <v>480</v>
      </c>
      <c r="C277" t="s">
        <v>194</v>
      </c>
      <c r="D277" t="s">
        <v>31</v>
      </c>
      <c r="E277" t="s">
        <v>32</v>
      </c>
      <c r="F277" s="3">
        <v>43830</v>
      </c>
      <c r="G277">
        <f t="shared" si="24"/>
        <v>2019</v>
      </c>
      <c r="H277" t="str">
        <f t="shared" si="25"/>
        <v>Diciembre</v>
      </c>
      <c r="I277" t="str">
        <f t="shared" si="26"/>
        <v>2019-2</v>
      </c>
      <c r="J277">
        <v>2</v>
      </c>
      <c r="L277" s="4">
        <v>43581</v>
      </c>
      <c r="O277" t="s">
        <v>35</v>
      </c>
      <c r="P277" t="s">
        <v>35</v>
      </c>
      <c r="Q277" t="str">
        <f t="shared" si="27"/>
        <v>274-2019-12-31</v>
      </c>
      <c r="R277">
        <v>0</v>
      </c>
      <c r="S277">
        <v>0</v>
      </c>
      <c r="T277" t="s">
        <v>31</v>
      </c>
      <c r="U277" t="s">
        <v>37</v>
      </c>
      <c r="V277" t="s">
        <v>194</v>
      </c>
      <c r="W277" t="s">
        <v>38</v>
      </c>
      <c r="X277" t="s">
        <v>39</v>
      </c>
      <c r="Y277" t="s">
        <v>40</v>
      </c>
      <c r="Z277" t="s">
        <v>41</v>
      </c>
      <c r="AA277" t="s">
        <v>42</v>
      </c>
      <c r="AB277" t="s">
        <v>78</v>
      </c>
      <c r="AC277" t="s">
        <v>31</v>
      </c>
    </row>
    <row r="278" spans="1:29" x14ac:dyDescent="0.3">
      <c r="A278">
        <v>274</v>
      </c>
      <c r="B278" t="s">
        <v>480</v>
      </c>
      <c r="C278" t="s">
        <v>194</v>
      </c>
      <c r="D278" t="s">
        <v>31</v>
      </c>
      <c r="E278" t="s">
        <v>32</v>
      </c>
      <c r="F278" s="3">
        <v>43830</v>
      </c>
      <c r="G278">
        <f t="shared" si="24"/>
        <v>2019</v>
      </c>
      <c r="H278" t="str">
        <f t="shared" si="25"/>
        <v>Diciembre</v>
      </c>
      <c r="I278" t="str">
        <f t="shared" si="26"/>
        <v>2019-2</v>
      </c>
      <c r="L278" s="4">
        <v>43581</v>
      </c>
      <c r="O278" t="s">
        <v>35</v>
      </c>
      <c r="P278" t="s">
        <v>35</v>
      </c>
      <c r="Q278" t="str">
        <f t="shared" si="27"/>
        <v>274-2019-12-31</v>
      </c>
      <c r="R278">
        <v>0</v>
      </c>
      <c r="S278">
        <v>0</v>
      </c>
      <c r="T278" t="s">
        <v>443</v>
      </c>
      <c r="U278" t="s">
        <v>37</v>
      </c>
      <c r="V278" t="s">
        <v>194</v>
      </c>
      <c r="W278" t="s">
        <v>38</v>
      </c>
      <c r="X278" t="s">
        <v>39</v>
      </c>
      <c r="Y278" t="s">
        <v>40</v>
      </c>
      <c r="Z278" t="s">
        <v>41</v>
      </c>
      <c r="AA278" t="s">
        <v>42</v>
      </c>
      <c r="AB278" t="s">
        <v>78</v>
      </c>
      <c r="AC278" t="s">
        <v>31</v>
      </c>
    </row>
    <row r="279" spans="1:29" x14ac:dyDescent="0.3">
      <c r="A279">
        <v>274</v>
      </c>
      <c r="B279" t="s">
        <v>480</v>
      </c>
      <c r="C279" t="s">
        <v>194</v>
      </c>
      <c r="D279" t="s">
        <v>31</v>
      </c>
      <c r="E279" t="s">
        <v>32</v>
      </c>
      <c r="F279" s="3">
        <v>44012</v>
      </c>
      <c r="G279">
        <f t="shared" si="24"/>
        <v>2020</v>
      </c>
      <c r="H279" t="str">
        <f t="shared" si="25"/>
        <v>Junio</v>
      </c>
      <c r="I279" t="str">
        <f t="shared" si="26"/>
        <v>2020-1</v>
      </c>
      <c r="J279">
        <v>1</v>
      </c>
      <c r="L279" s="4">
        <v>43711</v>
      </c>
      <c r="O279" t="s">
        <v>35</v>
      </c>
      <c r="P279" t="s">
        <v>35</v>
      </c>
      <c r="Q279" t="str">
        <f t="shared" si="27"/>
        <v>274-2020-06-30</v>
      </c>
      <c r="R279">
        <v>0</v>
      </c>
      <c r="S279">
        <v>0</v>
      </c>
      <c r="T279" t="s">
        <v>31</v>
      </c>
      <c r="U279" t="s">
        <v>37</v>
      </c>
      <c r="V279" t="s">
        <v>194</v>
      </c>
      <c r="W279" t="s">
        <v>38</v>
      </c>
      <c r="X279" t="s">
        <v>39</v>
      </c>
      <c r="Y279" t="s">
        <v>40</v>
      </c>
      <c r="Z279" t="s">
        <v>41</v>
      </c>
      <c r="AA279" t="s">
        <v>42</v>
      </c>
      <c r="AB279" t="s">
        <v>78</v>
      </c>
      <c r="AC279" t="s">
        <v>31</v>
      </c>
    </row>
    <row r="280" spans="1:29" x14ac:dyDescent="0.3">
      <c r="A280">
        <v>274</v>
      </c>
      <c r="B280" t="s">
        <v>480</v>
      </c>
      <c r="C280" t="s">
        <v>194</v>
      </c>
      <c r="D280" t="s">
        <v>31</v>
      </c>
      <c r="E280" t="s">
        <v>32</v>
      </c>
      <c r="F280" s="3">
        <v>44196</v>
      </c>
      <c r="G280">
        <f t="shared" si="24"/>
        <v>2020</v>
      </c>
      <c r="H280" t="str">
        <f t="shared" si="25"/>
        <v>Diciembre</v>
      </c>
      <c r="I280" t="str">
        <f t="shared" si="26"/>
        <v>2020-2</v>
      </c>
      <c r="J280">
        <v>2</v>
      </c>
      <c r="L280" s="4">
        <v>41013</v>
      </c>
      <c r="O280" t="s">
        <v>35</v>
      </c>
      <c r="P280" t="s">
        <v>35</v>
      </c>
      <c r="Q280" t="str">
        <f t="shared" si="27"/>
        <v>274-2020-12-31</v>
      </c>
      <c r="R280">
        <v>0</v>
      </c>
      <c r="S280">
        <v>0</v>
      </c>
      <c r="T280" t="s">
        <v>31</v>
      </c>
      <c r="U280" t="s">
        <v>37</v>
      </c>
      <c r="V280" t="s">
        <v>194</v>
      </c>
      <c r="W280" t="s">
        <v>38</v>
      </c>
      <c r="X280" t="s">
        <v>39</v>
      </c>
      <c r="Y280" t="s">
        <v>40</v>
      </c>
      <c r="Z280" t="s">
        <v>41</v>
      </c>
      <c r="AA280" t="s">
        <v>42</v>
      </c>
      <c r="AB280" t="s">
        <v>78</v>
      </c>
      <c r="AC280" t="s">
        <v>31</v>
      </c>
    </row>
    <row r="281" spans="1:29" x14ac:dyDescent="0.3">
      <c r="A281">
        <v>274</v>
      </c>
      <c r="B281" t="s">
        <v>480</v>
      </c>
      <c r="C281" t="s">
        <v>194</v>
      </c>
      <c r="D281" t="s">
        <v>31</v>
      </c>
      <c r="E281" t="s">
        <v>32</v>
      </c>
      <c r="F281" s="3">
        <v>44196</v>
      </c>
      <c r="G281">
        <f t="shared" si="24"/>
        <v>2020</v>
      </c>
      <c r="H281" t="str">
        <f t="shared" si="25"/>
        <v>Diciembre</v>
      </c>
      <c r="I281" t="str">
        <f t="shared" si="26"/>
        <v>2020-2</v>
      </c>
      <c r="L281" s="4">
        <v>41013</v>
      </c>
      <c r="O281" t="s">
        <v>35</v>
      </c>
      <c r="P281" t="s">
        <v>35</v>
      </c>
      <c r="Q281" t="str">
        <f t="shared" si="27"/>
        <v>274-2020-12-31</v>
      </c>
      <c r="R281">
        <v>0</v>
      </c>
      <c r="S281">
        <v>0</v>
      </c>
      <c r="T281" t="s">
        <v>443</v>
      </c>
      <c r="U281" t="s">
        <v>37</v>
      </c>
      <c r="V281" t="s">
        <v>194</v>
      </c>
      <c r="W281" t="s">
        <v>38</v>
      </c>
      <c r="X281" t="s">
        <v>39</v>
      </c>
      <c r="Y281" t="s">
        <v>40</v>
      </c>
      <c r="Z281" t="s">
        <v>41</v>
      </c>
      <c r="AA281" t="s">
        <v>42</v>
      </c>
      <c r="AB281" t="s">
        <v>78</v>
      </c>
      <c r="AC281" t="s">
        <v>31</v>
      </c>
    </row>
    <row r="282" spans="1:29" x14ac:dyDescent="0.3">
      <c r="A282">
        <v>274</v>
      </c>
      <c r="B282" t="s">
        <v>480</v>
      </c>
      <c r="C282" t="s">
        <v>194</v>
      </c>
      <c r="D282" t="s">
        <v>31</v>
      </c>
      <c r="E282" t="s">
        <v>32</v>
      </c>
      <c r="F282" s="3">
        <v>44377</v>
      </c>
      <c r="G282">
        <f t="shared" si="24"/>
        <v>2021</v>
      </c>
      <c r="H282" t="str">
        <f t="shared" si="25"/>
        <v>Junio</v>
      </c>
      <c r="I282" t="str">
        <f t="shared" si="26"/>
        <v>2021-1</v>
      </c>
      <c r="J282">
        <v>1</v>
      </c>
      <c r="L282" s="4">
        <v>41394</v>
      </c>
      <c r="O282" t="s">
        <v>35</v>
      </c>
      <c r="P282" t="s">
        <v>35</v>
      </c>
      <c r="Q282" t="str">
        <f t="shared" si="27"/>
        <v>274-2021-06-30</v>
      </c>
      <c r="R282">
        <v>0</v>
      </c>
      <c r="S282">
        <v>0</v>
      </c>
      <c r="T282" t="s">
        <v>31</v>
      </c>
      <c r="U282" t="s">
        <v>37</v>
      </c>
      <c r="V282" t="s">
        <v>194</v>
      </c>
      <c r="W282" t="s">
        <v>38</v>
      </c>
      <c r="X282" t="s">
        <v>39</v>
      </c>
      <c r="Y282" t="s">
        <v>40</v>
      </c>
      <c r="Z282" t="s">
        <v>41</v>
      </c>
      <c r="AA282" t="s">
        <v>42</v>
      </c>
      <c r="AB282" t="s">
        <v>78</v>
      </c>
      <c r="AC282" t="s">
        <v>31</v>
      </c>
    </row>
    <row r="283" spans="1:29" x14ac:dyDescent="0.3">
      <c r="A283">
        <v>274</v>
      </c>
      <c r="B283" t="s">
        <v>480</v>
      </c>
      <c r="C283" t="s">
        <v>194</v>
      </c>
      <c r="D283" t="s">
        <v>31</v>
      </c>
      <c r="E283" t="s">
        <v>32</v>
      </c>
      <c r="F283" s="3">
        <v>44561</v>
      </c>
      <c r="G283">
        <f t="shared" si="24"/>
        <v>2021</v>
      </c>
      <c r="H283" t="str">
        <f t="shared" si="25"/>
        <v>Diciembre</v>
      </c>
      <c r="I283" t="str">
        <f t="shared" si="26"/>
        <v>2021-2</v>
      </c>
      <c r="J283">
        <v>2</v>
      </c>
      <c r="L283" s="4">
        <v>40937</v>
      </c>
      <c r="O283" t="s">
        <v>35</v>
      </c>
      <c r="P283" t="s">
        <v>35</v>
      </c>
      <c r="Q283" t="str">
        <f t="shared" si="27"/>
        <v>274-2021-12-31</v>
      </c>
      <c r="R283">
        <v>0</v>
      </c>
      <c r="S283">
        <v>0</v>
      </c>
      <c r="T283" t="s">
        <v>31</v>
      </c>
      <c r="U283" t="s">
        <v>37</v>
      </c>
      <c r="V283" t="s">
        <v>194</v>
      </c>
      <c r="W283" t="s">
        <v>38</v>
      </c>
      <c r="X283" t="s">
        <v>39</v>
      </c>
      <c r="Y283" t="s">
        <v>40</v>
      </c>
      <c r="Z283" t="s">
        <v>41</v>
      </c>
      <c r="AA283" t="s">
        <v>42</v>
      </c>
      <c r="AB283" t="s">
        <v>78</v>
      </c>
      <c r="AC283" t="s">
        <v>31</v>
      </c>
    </row>
    <row r="284" spans="1:29" x14ac:dyDescent="0.3">
      <c r="A284">
        <v>274</v>
      </c>
      <c r="B284" t="s">
        <v>480</v>
      </c>
      <c r="C284" t="s">
        <v>194</v>
      </c>
      <c r="D284" t="s">
        <v>31</v>
      </c>
      <c r="E284" t="s">
        <v>32</v>
      </c>
      <c r="F284" s="3">
        <v>44561</v>
      </c>
      <c r="G284">
        <f t="shared" si="24"/>
        <v>2021</v>
      </c>
      <c r="H284" t="str">
        <f t="shared" si="25"/>
        <v>Diciembre</v>
      </c>
      <c r="I284" t="str">
        <f t="shared" si="26"/>
        <v>2021-2</v>
      </c>
      <c r="L284" s="4">
        <v>40937</v>
      </c>
      <c r="O284" t="s">
        <v>35</v>
      </c>
      <c r="P284" t="s">
        <v>35</v>
      </c>
      <c r="Q284" t="str">
        <f t="shared" si="27"/>
        <v>274-2021-12-31</v>
      </c>
      <c r="R284">
        <v>0</v>
      </c>
      <c r="S284">
        <v>0</v>
      </c>
      <c r="T284" t="s">
        <v>443</v>
      </c>
      <c r="U284" t="s">
        <v>37</v>
      </c>
      <c r="V284" t="s">
        <v>194</v>
      </c>
      <c r="W284" t="s">
        <v>38</v>
      </c>
      <c r="X284" t="s">
        <v>39</v>
      </c>
      <c r="Y284" t="s">
        <v>40</v>
      </c>
      <c r="Z284" t="s">
        <v>41</v>
      </c>
      <c r="AA284" t="s">
        <v>42</v>
      </c>
      <c r="AB284" t="s">
        <v>78</v>
      </c>
      <c r="AC284" t="s">
        <v>31</v>
      </c>
    </row>
    <row r="285" spans="1:29" x14ac:dyDescent="0.3">
      <c r="A285">
        <v>274</v>
      </c>
      <c r="B285" t="s">
        <v>480</v>
      </c>
      <c r="C285" t="s">
        <v>194</v>
      </c>
      <c r="D285" t="s">
        <v>31</v>
      </c>
      <c r="E285" t="s">
        <v>32</v>
      </c>
      <c r="F285" s="3">
        <v>44742</v>
      </c>
      <c r="G285">
        <v>2022</v>
      </c>
      <c r="H285" t="s">
        <v>33</v>
      </c>
      <c r="I285" t="s">
        <v>34</v>
      </c>
      <c r="J285">
        <v>1</v>
      </c>
      <c r="K285">
        <v>39623</v>
      </c>
      <c r="L285">
        <v>40000</v>
      </c>
      <c r="M285">
        <v>1.0095146758196001</v>
      </c>
      <c r="N285">
        <v>1.0095146758196001</v>
      </c>
      <c r="O285" t="s">
        <v>35</v>
      </c>
      <c r="P285" t="s">
        <v>35</v>
      </c>
      <c r="Q285" t="s">
        <v>195</v>
      </c>
      <c r="R285">
        <v>0</v>
      </c>
      <c r="S285">
        <v>0</v>
      </c>
      <c r="T285" t="s">
        <v>31</v>
      </c>
      <c r="U285" t="s">
        <v>37</v>
      </c>
      <c r="V285" t="s">
        <v>194</v>
      </c>
      <c r="W285" t="s">
        <v>38</v>
      </c>
      <c r="X285" t="s">
        <v>39</v>
      </c>
      <c r="Y285" t="s">
        <v>40</v>
      </c>
      <c r="Z285" t="s">
        <v>41</v>
      </c>
      <c r="AA285" t="s">
        <v>42</v>
      </c>
      <c r="AB285" t="s">
        <v>78</v>
      </c>
      <c r="AC285" t="s">
        <v>31</v>
      </c>
    </row>
    <row r="286" spans="1:29" x14ac:dyDescent="0.3">
      <c r="A286">
        <v>274</v>
      </c>
      <c r="B286" t="s">
        <v>480</v>
      </c>
      <c r="C286" t="s">
        <v>194</v>
      </c>
      <c r="D286" t="s">
        <v>31</v>
      </c>
      <c r="E286" t="s">
        <v>32</v>
      </c>
      <c r="F286" s="3">
        <v>44926</v>
      </c>
      <c r="G286">
        <v>2022</v>
      </c>
      <c r="H286" t="s">
        <v>44</v>
      </c>
      <c r="I286" t="s">
        <v>45</v>
      </c>
      <c r="J286">
        <v>2</v>
      </c>
      <c r="K286">
        <v>39817</v>
      </c>
      <c r="L286">
        <v>40663</v>
      </c>
      <c r="M286">
        <v>1.0212472059672999</v>
      </c>
      <c r="N286">
        <v>1.0212472059672999</v>
      </c>
      <c r="O286" t="s">
        <v>35</v>
      </c>
      <c r="P286" t="s">
        <v>35</v>
      </c>
      <c r="Q286" t="s">
        <v>196</v>
      </c>
      <c r="R286">
        <v>0</v>
      </c>
      <c r="S286">
        <v>0</v>
      </c>
      <c r="T286" t="s">
        <v>31</v>
      </c>
      <c r="U286" t="s">
        <v>37</v>
      </c>
      <c r="V286" t="s">
        <v>194</v>
      </c>
      <c r="W286" t="s">
        <v>38</v>
      </c>
      <c r="X286" t="s">
        <v>39</v>
      </c>
      <c r="Y286" t="s">
        <v>40</v>
      </c>
      <c r="Z286" t="s">
        <v>41</v>
      </c>
      <c r="AA286" t="s">
        <v>42</v>
      </c>
      <c r="AB286" t="s">
        <v>78</v>
      </c>
      <c r="AC286" t="s">
        <v>31</v>
      </c>
    </row>
    <row r="287" spans="1:29" x14ac:dyDescent="0.3">
      <c r="A287">
        <v>274</v>
      </c>
      <c r="B287" t="s">
        <v>480</v>
      </c>
      <c r="C287" t="s">
        <v>194</v>
      </c>
      <c r="D287" t="s">
        <v>31</v>
      </c>
      <c r="E287" t="s">
        <v>32</v>
      </c>
      <c r="F287" s="3">
        <v>44926</v>
      </c>
      <c r="G287">
        <v>2022</v>
      </c>
      <c r="H287" t="s">
        <v>44</v>
      </c>
      <c r="I287" t="s">
        <v>45</v>
      </c>
      <c r="K287">
        <v>39817</v>
      </c>
      <c r="L287">
        <v>40663</v>
      </c>
      <c r="M287">
        <v>1.0212472059672999</v>
      </c>
      <c r="N287">
        <v>1.0212472059672999</v>
      </c>
      <c r="O287" t="s">
        <v>35</v>
      </c>
      <c r="P287" t="s">
        <v>35</v>
      </c>
      <c r="Q287" t="s">
        <v>196</v>
      </c>
      <c r="R287">
        <v>0</v>
      </c>
      <c r="S287">
        <v>0</v>
      </c>
      <c r="T287" t="s">
        <v>443</v>
      </c>
      <c r="U287" t="s">
        <v>37</v>
      </c>
      <c r="V287" t="s">
        <v>194</v>
      </c>
      <c r="W287" t="s">
        <v>38</v>
      </c>
      <c r="X287" t="s">
        <v>39</v>
      </c>
      <c r="Y287" t="s">
        <v>40</v>
      </c>
      <c r="Z287" t="s">
        <v>41</v>
      </c>
      <c r="AA287" t="s">
        <v>42</v>
      </c>
      <c r="AB287" t="s">
        <v>78</v>
      </c>
      <c r="AC287" t="s">
        <v>31</v>
      </c>
    </row>
    <row r="288" spans="1:29" x14ac:dyDescent="0.3">
      <c r="A288">
        <v>274</v>
      </c>
      <c r="B288" t="s">
        <v>480</v>
      </c>
      <c r="C288" t="s">
        <v>194</v>
      </c>
      <c r="D288" t="s">
        <v>31</v>
      </c>
      <c r="E288" t="s">
        <v>32</v>
      </c>
      <c r="F288" s="3">
        <v>45107</v>
      </c>
      <c r="G288">
        <v>2023</v>
      </c>
      <c r="H288" t="s">
        <v>33</v>
      </c>
      <c r="I288" t="s">
        <v>47</v>
      </c>
      <c r="J288">
        <v>1</v>
      </c>
      <c r="K288">
        <v>40047</v>
      </c>
      <c r="L288">
        <v>39091</v>
      </c>
      <c r="M288">
        <v>0.97612804954178845</v>
      </c>
      <c r="N288">
        <v>0.97612804954178845</v>
      </c>
      <c r="O288" t="s">
        <v>35</v>
      </c>
      <c r="P288" t="s">
        <v>35</v>
      </c>
      <c r="Q288" t="s">
        <v>197</v>
      </c>
      <c r="R288">
        <v>0</v>
      </c>
      <c r="S288">
        <v>0</v>
      </c>
      <c r="T288" t="s">
        <v>31</v>
      </c>
      <c r="U288" t="s">
        <v>37</v>
      </c>
      <c r="V288" t="s">
        <v>194</v>
      </c>
      <c r="W288" t="s">
        <v>38</v>
      </c>
      <c r="X288" t="s">
        <v>39</v>
      </c>
      <c r="Y288" t="s">
        <v>40</v>
      </c>
      <c r="Z288" t="s">
        <v>41</v>
      </c>
      <c r="AA288" t="s">
        <v>42</v>
      </c>
      <c r="AB288" t="s">
        <v>78</v>
      </c>
      <c r="AC288" t="s">
        <v>31</v>
      </c>
    </row>
    <row r="289" spans="1:29" x14ac:dyDescent="0.3">
      <c r="A289">
        <v>274</v>
      </c>
      <c r="B289" t="s">
        <v>480</v>
      </c>
      <c r="C289" t="s">
        <v>194</v>
      </c>
      <c r="D289" t="s">
        <v>31</v>
      </c>
      <c r="E289" t="s">
        <v>32</v>
      </c>
      <c r="F289" s="3">
        <v>45291</v>
      </c>
      <c r="G289">
        <v>2023</v>
      </c>
      <c r="H289" t="s">
        <v>44</v>
      </c>
      <c r="I289" t="s">
        <v>49</v>
      </c>
      <c r="J289">
        <v>2</v>
      </c>
      <c r="K289">
        <v>41811</v>
      </c>
      <c r="L289">
        <v>40771</v>
      </c>
      <c r="M289">
        <v>0.97512616297146681</v>
      </c>
      <c r="N289">
        <v>0.97512616297146681</v>
      </c>
      <c r="O289" t="s">
        <v>35</v>
      </c>
      <c r="P289" t="s">
        <v>35</v>
      </c>
      <c r="Q289" t="s">
        <v>198</v>
      </c>
      <c r="R289">
        <v>0</v>
      </c>
      <c r="S289">
        <v>0</v>
      </c>
      <c r="T289" t="s">
        <v>31</v>
      </c>
      <c r="U289" t="s">
        <v>37</v>
      </c>
      <c r="V289" t="s">
        <v>194</v>
      </c>
      <c r="W289" t="s">
        <v>38</v>
      </c>
      <c r="X289" t="s">
        <v>39</v>
      </c>
      <c r="Y289" t="s">
        <v>40</v>
      </c>
      <c r="Z289" t="s">
        <v>41</v>
      </c>
      <c r="AA289" t="s">
        <v>42</v>
      </c>
      <c r="AB289" t="s">
        <v>78</v>
      </c>
      <c r="AC289" t="s">
        <v>31</v>
      </c>
    </row>
    <row r="290" spans="1:29" x14ac:dyDescent="0.3">
      <c r="A290">
        <v>274</v>
      </c>
      <c r="B290" t="s">
        <v>480</v>
      </c>
      <c r="C290" t="s">
        <v>194</v>
      </c>
      <c r="D290" t="s">
        <v>31</v>
      </c>
      <c r="E290" t="s">
        <v>32</v>
      </c>
      <c r="F290" s="3">
        <v>45291</v>
      </c>
      <c r="G290">
        <v>2023</v>
      </c>
      <c r="H290" t="s">
        <v>44</v>
      </c>
      <c r="I290" t="s">
        <v>49</v>
      </c>
      <c r="K290">
        <v>41811</v>
      </c>
      <c r="L290">
        <v>40770</v>
      </c>
      <c r="M290">
        <v>0.97512616297146681</v>
      </c>
      <c r="N290">
        <v>0.97512616297146681</v>
      </c>
      <c r="O290" t="s">
        <v>35</v>
      </c>
      <c r="P290" t="s">
        <v>35</v>
      </c>
      <c r="Q290" t="s">
        <v>198</v>
      </c>
      <c r="R290">
        <v>0</v>
      </c>
      <c r="S290">
        <v>0</v>
      </c>
      <c r="T290" t="s">
        <v>443</v>
      </c>
      <c r="U290" t="s">
        <v>37</v>
      </c>
      <c r="V290" t="s">
        <v>194</v>
      </c>
      <c r="W290" t="s">
        <v>38</v>
      </c>
      <c r="X290" t="s">
        <v>39</v>
      </c>
      <c r="Y290" t="s">
        <v>40</v>
      </c>
      <c r="Z290" t="s">
        <v>41</v>
      </c>
      <c r="AA290" t="s">
        <v>42</v>
      </c>
      <c r="AB290" t="s">
        <v>78</v>
      </c>
      <c r="AC290" t="s">
        <v>31</v>
      </c>
    </row>
    <row r="291" spans="1:29" x14ac:dyDescent="0.3">
      <c r="A291">
        <v>274</v>
      </c>
      <c r="B291" t="s">
        <v>480</v>
      </c>
      <c r="C291" t="s">
        <v>194</v>
      </c>
      <c r="D291" t="s">
        <v>31</v>
      </c>
      <c r="E291" t="s">
        <v>32</v>
      </c>
      <c r="F291" s="3">
        <v>45473</v>
      </c>
      <c r="G291">
        <v>2024</v>
      </c>
      <c r="H291" t="s">
        <v>33</v>
      </c>
      <c r="I291" t="s">
        <v>51</v>
      </c>
      <c r="J291">
        <v>1</v>
      </c>
      <c r="K291">
        <v>38813</v>
      </c>
      <c r="L291">
        <v>39598</v>
      </c>
      <c r="M291">
        <v>1.020225182284286</v>
      </c>
      <c r="N291">
        <v>1.020225182284286</v>
      </c>
      <c r="O291" t="s">
        <v>35</v>
      </c>
      <c r="P291" t="s">
        <v>35</v>
      </c>
      <c r="Q291" t="s">
        <v>199</v>
      </c>
      <c r="R291">
        <v>0</v>
      </c>
      <c r="S291">
        <v>0</v>
      </c>
      <c r="T291" t="s">
        <v>31</v>
      </c>
      <c r="U291" t="s">
        <v>37</v>
      </c>
      <c r="V291" t="s">
        <v>194</v>
      </c>
      <c r="W291" t="s">
        <v>38</v>
      </c>
      <c r="X291" t="s">
        <v>39</v>
      </c>
      <c r="Y291" t="s">
        <v>40</v>
      </c>
      <c r="Z291" t="s">
        <v>41</v>
      </c>
      <c r="AA291" t="s">
        <v>42</v>
      </c>
      <c r="AB291" t="s">
        <v>78</v>
      </c>
      <c r="AC291" t="s">
        <v>31</v>
      </c>
    </row>
    <row r="292" spans="1:29" x14ac:dyDescent="0.3">
      <c r="A292">
        <v>274</v>
      </c>
      <c r="B292" t="s">
        <v>480</v>
      </c>
      <c r="C292" t="s">
        <v>194</v>
      </c>
      <c r="D292" t="s">
        <v>31</v>
      </c>
      <c r="E292" t="s">
        <v>32</v>
      </c>
      <c r="F292" s="3">
        <v>45657</v>
      </c>
      <c r="G292">
        <v>2024</v>
      </c>
      <c r="H292" t="s">
        <v>44</v>
      </c>
      <c r="I292" t="s">
        <v>53</v>
      </c>
      <c r="J292">
        <v>2</v>
      </c>
      <c r="K292">
        <v>40441</v>
      </c>
      <c r="L292">
        <v>41436</v>
      </c>
      <c r="M292">
        <v>1.024603743725427</v>
      </c>
      <c r="N292">
        <v>1.024603743725427</v>
      </c>
      <c r="O292" t="s">
        <v>35</v>
      </c>
      <c r="P292" t="s">
        <v>35</v>
      </c>
      <c r="Q292" t="s">
        <v>200</v>
      </c>
      <c r="R292">
        <v>0</v>
      </c>
      <c r="S292">
        <v>0</v>
      </c>
      <c r="T292" t="s">
        <v>31</v>
      </c>
      <c r="U292" t="s">
        <v>37</v>
      </c>
      <c r="V292" t="s">
        <v>194</v>
      </c>
      <c r="W292" t="s">
        <v>38</v>
      </c>
      <c r="X292" t="s">
        <v>39</v>
      </c>
      <c r="Y292" t="s">
        <v>40</v>
      </c>
      <c r="Z292" t="s">
        <v>41</v>
      </c>
      <c r="AA292" t="s">
        <v>42</v>
      </c>
      <c r="AB292" t="s">
        <v>78</v>
      </c>
      <c r="AC292" t="s">
        <v>31</v>
      </c>
    </row>
    <row r="293" spans="1:29" x14ac:dyDescent="0.3">
      <c r="A293">
        <v>274</v>
      </c>
      <c r="B293" t="s">
        <v>480</v>
      </c>
      <c r="C293" t="s">
        <v>194</v>
      </c>
      <c r="D293" t="s">
        <v>31</v>
      </c>
      <c r="E293" t="s">
        <v>32</v>
      </c>
      <c r="F293" s="3">
        <v>45657</v>
      </c>
      <c r="G293">
        <v>2024</v>
      </c>
      <c r="H293" t="s">
        <v>44</v>
      </c>
      <c r="I293" t="s">
        <v>53</v>
      </c>
      <c r="K293">
        <v>40441.334115206948</v>
      </c>
      <c r="L293">
        <v>41436</v>
      </c>
      <c r="M293">
        <v>1.024595278730408</v>
      </c>
      <c r="N293">
        <v>1.024595278730408</v>
      </c>
      <c r="O293" t="s">
        <v>35</v>
      </c>
      <c r="P293" t="s">
        <v>35</v>
      </c>
      <c r="Q293" t="s">
        <v>200</v>
      </c>
      <c r="R293">
        <v>0</v>
      </c>
      <c r="S293">
        <v>0</v>
      </c>
      <c r="T293" t="s">
        <v>443</v>
      </c>
      <c r="U293" t="s">
        <v>37</v>
      </c>
      <c r="V293" t="s">
        <v>194</v>
      </c>
      <c r="W293" t="s">
        <v>38</v>
      </c>
      <c r="X293" t="s">
        <v>39</v>
      </c>
      <c r="Y293" t="s">
        <v>40</v>
      </c>
      <c r="Z293" t="s">
        <v>41</v>
      </c>
      <c r="AA293" t="s">
        <v>42</v>
      </c>
      <c r="AB293" t="s">
        <v>78</v>
      </c>
      <c r="AC293" t="s">
        <v>31</v>
      </c>
    </row>
    <row r="294" spans="1:29" x14ac:dyDescent="0.3">
      <c r="A294">
        <v>274</v>
      </c>
      <c r="B294" t="s">
        <v>480</v>
      </c>
      <c r="C294" t="s">
        <v>194</v>
      </c>
      <c r="D294" t="s">
        <v>31</v>
      </c>
      <c r="E294" t="s">
        <v>32</v>
      </c>
      <c r="F294" s="3">
        <v>45838</v>
      </c>
      <c r="G294">
        <v>2025</v>
      </c>
      <c r="H294" t="s">
        <v>33</v>
      </c>
      <c r="I294" t="s">
        <v>404</v>
      </c>
      <c r="J294">
        <v>1</v>
      </c>
      <c r="K294">
        <v>40026</v>
      </c>
      <c r="L294">
        <v>42364</v>
      </c>
      <c r="M294">
        <v>1.058412032179084</v>
      </c>
      <c r="N294">
        <v>1.058412032179084</v>
      </c>
      <c r="O294" t="s">
        <v>35</v>
      </c>
      <c r="P294" t="s">
        <v>35</v>
      </c>
      <c r="Q294" t="s">
        <v>413</v>
      </c>
      <c r="R294">
        <v>0</v>
      </c>
      <c r="S294">
        <v>0</v>
      </c>
      <c r="T294" t="s">
        <v>31</v>
      </c>
      <c r="U294" t="s">
        <v>37</v>
      </c>
      <c r="V294" t="s">
        <v>194</v>
      </c>
      <c r="W294" t="s">
        <v>38</v>
      </c>
      <c r="X294" t="s">
        <v>39</v>
      </c>
      <c r="Y294" t="s">
        <v>40</v>
      </c>
      <c r="Z294" t="s">
        <v>41</v>
      </c>
      <c r="AA294" t="s">
        <v>42</v>
      </c>
      <c r="AB294" t="s">
        <v>78</v>
      </c>
      <c r="AC294" t="s">
        <v>31</v>
      </c>
    </row>
    <row r="295" spans="1:29" x14ac:dyDescent="0.3">
      <c r="A295">
        <v>274</v>
      </c>
      <c r="B295" t="s">
        <v>480</v>
      </c>
      <c r="C295" t="s">
        <v>194</v>
      </c>
      <c r="D295" t="s">
        <v>31</v>
      </c>
      <c r="E295" t="s">
        <v>32</v>
      </c>
      <c r="F295" s="3">
        <v>46022</v>
      </c>
      <c r="G295">
        <v>2025</v>
      </c>
      <c r="H295" t="str">
        <f>PROPER(TEXT(F295,"mmmm"))</f>
        <v>Diciembre</v>
      </c>
      <c r="I295" t="s">
        <v>465</v>
      </c>
      <c r="K295">
        <v>40026</v>
      </c>
      <c r="L295" s="4">
        <v>45641</v>
      </c>
      <c r="M295">
        <v>1.058412032179084</v>
      </c>
      <c r="N295">
        <v>1.058412032179084</v>
      </c>
      <c r="O295" t="s">
        <v>35</v>
      </c>
      <c r="P295" t="s">
        <v>35</v>
      </c>
      <c r="Q295" t="s">
        <v>413</v>
      </c>
      <c r="R295">
        <v>0</v>
      </c>
      <c r="S295">
        <v>0</v>
      </c>
      <c r="T295" t="s">
        <v>443</v>
      </c>
      <c r="U295" t="s">
        <v>37</v>
      </c>
      <c r="V295" t="s">
        <v>194</v>
      </c>
      <c r="W295" t="s">
        <v>38</v>
      </c>
      <c r="X295" t="s">
        <v>39</v>
      </c>
      <c r="Y295" t="s">
        <v>40</v>
      </c>
      <c r="Z295" t="s">
        <v>41</v>
      </c>
      <c r="AA295" t="s">
        <v>42</v>
      </c>
      <c r="AB295" t="s">
        <v>78</v>
      </c>
      <c r="AC295" t="s">
        <v>31</v>
      </c>
    </row>
    <row r="296" spans="1:29" x14ac:dyDescent="0.3">
      <c r="A296">
        <v>274</v>
      </c>
      <c r="B296" t="s">
        <v>480</v>
      </c>
      <c r="C296" t="s">
        <v>194</v>
      </c>
      <c r="D296" t="s">
        <v>31</v>
      </c>
      <c r="E296" t="s">
        <v>32</v>
      </c>
      <c r="F296" s="3">
        <v>46022</v>
      </c>
      <c r="G296">
        <f>YEAR(F296)</f>
        <v>2025</v>
      </c>
      <c r="H296" t="str">
        <f>PROPER(TEXT(F296,"mmmm"))</f>
        <v>Diciembre</v>
      </c>
      <c r="I296" t="str">
        <f>IF(H296="Junio",G296&amp;"-1",G296&amp;"-2")</f>
        <v>2025-2</v>
      </c>
      <c r="J296">
        <v>2</v>
      </c>
      <c r="L296" s="4">
        <v>45641</v>
      </c>
      <c r="O296" t="s">
        <v>35</v>
      </c>
      <c r="P296" t="s">
        <v>35</v>
      </c>
      <c r="Q296" t="str">
        <f>A296&amp;"-"&amp;TEXT(F296,"yyyy-mm-dd")</f>
        <v>274-2025-12-31</v>
      </c>
      <c r="R296">
        <v>0</v>
      </c>
      <c r="S296">
        <v>0</v>
      </c>
      <c r="T296" t="s">
        <v>31</v>
      </c>
      <c r="U296" t="s">
        <v>37</v>
      </c>
      <c r="V296" t="s">
        <v>194</v>
      </c>
      <c r="W296" t="s">
        <v>38</v>
      </c>
      <c r="X296" t="s">
        <v>39</v>
      </c>
      <c r="Y296" t="s">
        <v>40</v>
      </c>
      <c r="Z296" t="s">
        <v>41</v>
      </c>
      <c r="AA296" t="s">
        <v>42</v>
      </c>
      <c r="AB296" t="s">
        <v>78</v>
      </c>
      <c r="AC296" t="s">
        <v>31</v>
      </c>
    </row>
    <row r="297" spans="1:29" x14ac:dyDescent="0.3">
      <c r="A297">
        <v>276</v>
      </c>
      <c r="B297" t="s">
        <v>201</v>
      </c>
      <c r="C297" t="s">
        <v>202</v>
      </c>
      <c r="D297" t="s">
        <v>31</v>
      </c>
      <c r="E297" t="s">
        <v>171</v>
      </c>
      <c r="F297" s="3">
        <v>44742</v>
      </c>
      <c r="G297">
        <v>2022</v>
      </c>
      <c r="H297" t="s">
        <v>33</v>
      </c>
      <c r="I297" t="s">
        <v>34</v>
      </c>
      <c r="J297">
        <v>1</v>
      </c>
      <c r="K297">
        <v>93</v>
      </c>
      <c r="L297">
        <v>106</v>
      </c>
      <c r="M297">
        <v>0.87735849056603776</v>
      </c>
      <c r="N297">
        <v>0.87735849056603776</v>
      </c>
      <c r="Q297" t="s">
        <v>203</v>
      </c>
      <c r="R297">
        <v>0</v>
      </c>
      <c r="S297">
        <v>0</v>
      </c>
      <c r="T297" t="s">
        <v>31</v>
      </c>
      <c r="U297" t="s">
        <v>37</v>
      </c>
      <c r="V297" t="s">
        <v>202</v>
      </c>
      <c r="W297" t="s">
        <v>73</v>
      </c>
      <c r="X297" t="s">
        <v>74</v>
      </c>
      <c r="Y297" t="s">
        <v>75</v>
      </c>
      <c r="Z297" t="s">
        <v>86</v>
      </c>
      <c r="AA297" t="s">
        <v>204</v>
      </c>
      <c r="AB297" t="s">
        <v>65</v>
      </c>
      <c r="AC297" t="s">
        <v>31</v>
      </c>
    </row>
    <row r="298" spans="1:29" x14ac:dyDescent="0.3">
      <c r="A298">
        <v>276</v>
      </c>
      <c r="B298" t="s">
        <v>201</v>
      </c>
      <c r="C298" t="s">
        <v>202</v>
      </c>
      <c r="D298" t="s">
        <v>31</v>
      </c>
      <c r="E298" t="s">
        <v>171</v>
      </c>
      <c r="F298" s="3">
        <v>44926</v>
      </c>
      <c r="G298">
        <v>2022</v>
      </c>
      <c r="H298" t="s">
        <v>44</v>
      </c>
      <c r="I298" t="s">
        <v>45</v>
      </c>
      <c r="J298">
        <v>2</v>
      </c>
      <c r="K298">
        <v>88</v>
      </c>
      <c r="L298">
        <v>88</v>
      </c>
      <c r="M298">
        <v>1</v>
      </c>
      <c r="N298">
        <v>1</v>
      </c>
      <c r="Q298" t="s">
        <v>205</v>
      </c>
      <c r="R298">
        <v>0</v>
      </c>
      <c r="S298">
        <v>0</v>
      </c>
      <c r="T298" t="s">
        <v>31</v>
      </c>
      <c r="U298" t="s">
        <v>37</v>
      </c>
      <c r="V298" t="s">
        <v>202</v>
      </c>
      <c r="W298" t="s">
        <v>73</v>
      </c>
      <c r="X298" t="s">
        <v>74</v>
      </c>
      <c r="Y298" t="s">
        <v>75</v>
      </c>
      <c r="Z298" t="s">
        <v>86</v>
      </c>
      <c r="AA298" t="s">
        <v>204</v>
      </c>
      <c r="AB298" t="s">
        <v>65</v>
      </c>
      <c r="AC298" t="s">
        <v>31</v>
      </c>
    </row>
    <row r="299" spans="1:29" x14ac:dyDescent="0.3">
      <c r="A299">
        <v>276</v>
      </c>
      <c r="B299" t="s">
        <v>201</v>
      </c>
      <c r="C299" t="s">
        <v>202</v>
      </c>
      <c r="D299" t="s">
        <v>31</v>
      </c>
      <c r="E299" t="s">
        <v>171</v>
      </c>
      <c r="F299" s="3">
        <v>44926</v>
      </c>
      <c r="G299">
        <v>2022</v>
      </c>
      <c r="H299" t="s">
        <v>44</v>
      </c>
      <c r="I299" t="s">
        <v>45</v>
      </c>
      <c r="K299">
        <v>88</v>
      </c>
      <c r="L299">
        <v>88</v>
      </c>
      <c r="M299">
        <v>1</v>
      </c>
      <c r="N299">
        <v>1</v>
      </c>
      <c r="O299" t="s">
        <v>35</v>
      </c>
      <c r="P299" t="s">
        <v>35</v>
      </c>
      <c r="Q299" t="s">
        <v>205</v>
      </c>
      <c r="R299">
        <v>0</v>
      </c>
      <c r="S299">
        <v>0</v>
      </c>
      <c r="T299" t="s">
        <v>443</v>
      </c>
      <c r="U299" t="s">
        <v>37</v>
      </c>
      <c r="V299" t="s">
        <v>202</v>
      </c>
      <c r="W299" t="s">
        <v>73</v>
      </c>
      <c r="X299" t="s">
        <v>74</v>
      </c>
      <c r="Y299" t="s">
        <v>75</v>
      </c>
      <c r="Z299" t="s">
        <v>86</v>
      </c>
      <c r="AA299" t="s">
        <v>204</v>
      </c>
      <c r="AB299" t="s">
        <v>65</v>
      </c>
      <c r="AC299" t="s">
        <v>31</v>
      </c>
    </row>
    <row r="300" spans="1:29" x14ac:dyDescent="0.3">
      <c r="A300">
        <v>276</v>
      </c>
      <c r="B300" t="s">
        <v>201</v>
      </c>
      <c r="C300" t="s">
        <v>202</v>
      </c>
      <c r="D300" t="s">
        <v>31</v>
      </c>
      <c r="E300" t="s">
        <v>171</v>
      </c>
      <c r="F300" s="3">
        <v>45107</v>
      </c>
      <c r="G300">
        <v>2023</v>
      </c>
      <c r="H300" t="s">
        <v>33</v>
      </c>
      <c r="I300" t="s">
        <v>47</v>
      </c>
      <c r="J300">
        <v>1</v>
      </c>
      <c r="K300">
        <v>85</v>
      </c>
      <c r="L300">
        <v>89.99</v>
      </c>
      <c r="M300">
        <v>0.94454939437715302</v>
      </c>
      <c r="N300">
        <v>0.94454939437715302</v>
      </c>
      <c r="Q300" t="s">
        <v>206</v>
      </c>
      <c r="R300">
        <v>0</v>
      </c>
      <c r="S300">
        <v>0</v>
      </c>
      <c r="T300" t="s">
        <v>31</v>
      </c>
      <c r="U300" t="s">
        <v>37</v>
      </c>
      <c r="V300" t="s">
        <v>202</v>
      </c>
      <c r="W300" t="s">
        <v>73</v>
      </c>
      <c r="X300" t="s">
        <v>74</v>
      </c>
      <c r="Y300" t="s">
        <v>75</v>
      </c>
      <c r="Z300" t="s">
        <v>86</v>
      </c>
      <c r="AA300" t="s">
        <v>204</v>
      </c>
      <c r="AB300" t="s">
        <v>65</v>
      </c>
      <c r="AC300" t="s">
        <v>31</v>
      </c>
    </row>
    <row r="301" spans="1:29" x14ac:dyDescent="0.3">
      <c r="A301">
        <v>276</v>
      </c>
      <c r="B301" t="s">
        <v>201</v>
      </c>
      <c r="C301" t="s">
        <v>202</v>
      </c>
      <c r="D301" t="s">
        <v>31</v>
      </c>
      <c r="E301" t="s">
        <v>171</v>
      </c>
      <c r="F301" s="3">
        <v>45291</v>
      </c>
      <c r="G301">
        <v>2023</v>
      </c>
      <c r="H301" t="s">
        <v>44</v>
      </c>
      <c r="I301" t="s">
        <v>49</v>
      </c>
      <c r="J301">
        <v>2</v>
      </c>
      <c r="K301">
        <v>85</v>
      </c>
      <c r="L301">
        <v>84.5</v>
      </c>
      <c r="M301">
        <v>1.0059171597633141</v>
      </c>
      <c r="N301">
        <v>1.0059171597633141</v>
      </c>
      <c r="Q301" t="s">
        <v>207</v>
      </c>
      <c r="R301">
        <v>0</v>
      </c>
      <c r="S301">
        <v>0</v>
      </c>
      <c r="T301" t="s">
        <v>31</v>
      </c>
      <c r="U301" t="s">
        <v>37</v>
      </c>
      <c r="V301" t="s">
        <v>202</v>
      </c>
      <c r="W301" t="s">
        <v>73</v>
      </c>
      <c r="X301" t="s">
        <v>74</v>
      </c>
      <c r="Y301" t="s">
        <v>75</v>
      </c>
      <c r="Z301" t="s">
        <v>86</v>
      </c>
      <c r="AA301" t="s">
        <v>204</v>
      </c>
      <c r="AB301" t="s">
        <v>65</v>
      </c>
      <c r="AC301" t="s">
        <v>31</v>
      </c>
    </row>
    <row r="302" spans="1:29" x14ac:dyDescent="0.3">
      <c r="A302">
        <v>276</v>
      </c>
      <c r="B302" t="s">
        <v>201</v>
      </c>
      <c r="C302" t="s">
        <v>202</v>
      </c>
      <c r="D302" t="s">
        <v>31</v>
      </c>
      <c r="E302" t="s">
        <v>171</v>
      </c>
      <c r="F302" s="3">
        <v>45291</v>
      </c>
      <c r="G302">
        <v>2023</v>
      </c>
      <c r="H302" t="s">
        <v>44</v>
      </c>
      <c r="I302" t="s">
        <v>49</v>
      </c>
      <c r="K302">
        <v>85</v>
      </c>
      <c r="L302">
        <v>84.5</v>
      </c>
      <c r="M302">
        <v>1</v>
      </c>
      <c r="N302">
        <v>1.0059171597633141</v>
      </c>
      <c r="O302" t="s">
        <v>35</v>
      </c>
      <c r="P302" t="s">
        <v>245</v>
      </c>
      <c r="Q302" t="s">
        <v>207</v>
      </c>
      <c r="R302">
        <v>0</v>
      </c>
      <c r="S302">
        <v>1</v>
      </c>
      <c r="T302" t="s">
        <v>443</v>
      </c>
      <c r="U302" t="s">
        <v>37</v>
      </c>
      <c r="V302" t="s">
        <v>202</v>
      </c>
      <c r="W302" t="s">
        <v>73</v>
      </c>
      <c r="X302" t="s">
        <v>74</v>
      </c>
      <c r="Y302" t="s">
        <v>75</v>
      </c>
      <c r="Z302" t="s">
        <v>86</v>
      </c>
      <c r="AA302" t="s">
        <v>204</v>
      </c>
      <c r="AB302" t="s">
        <v>65</v>
      </c>
      <c r="AC302" t="s">
        <v>31</v>
      </c>
    </row>
    <row r="303" spans="1:29" x14ac:dyDescent="0.3">
      <c r="A303">
        <v>276</v>
      </c>
      <c r="B303" t="s">
        <v>201</v>
      </c>
      <c r="C303" t="s">
        <v>202</v>
      </c>
      <c r="D303" t="s">
        <v>31</v>
      </c>
      <c r="E303" t="s">
        <v>171</v>
      </c>
      <c r="F303" s="3">
        <v>45473</v>
      </c>
      <c r="G303">
        <v>2024</v>
      </c>
      <c r="H303" t="s">
        <v>33</v>
      </c>
      <c r="I303" t="s">
        <v>51</v>
      </c>
      <c r="J303">
        <v>1</v>
      </c>
      <c r="K303">
        <v>75</v>
      </c>
      <c r="L303">
        <v>83.65</v>
      </c>
      <c r="M303">
        <v>0.89659294680215174</v>
      </c>
      <c r="N303">
        <v>0.89659294680215174</v>
      </c>
      <c r="Q303" t="s">
        <v>208</v>
      </c>
      <c r="R303">
        <v>1</v>
      </c>
      <c r="S303">
        <v>1</v>
      </c>
      <c r="T303" t="s">
        <v>31</v>
      </c>
      <c r="U303" t="s">
        <v>37</v>
      </c>
      <c r="V303" t="s">
        <v>202</v>
      </c>
      <c r="W303" t="s">
        <v>73</v>
      </c>
      <c r="X303" t="s">
        <v>74</v>
      </c>
      <c r="Y303" t="s">
        <v>75</v>
      </c>
      <c r="Z303" t="s">
        <v>86</v>
      </c>
      <c r="AA303" t="s">
        <v>204</v>
      </c>
      <c r="AB303" t="s">
        <v>65</v>
      </c>
      <c r="AC303" t="s">
        <v>31</v>
      </c>
    </row>
    <row r="304" spans="1:29" x14ac:dyDescent="0.3">
      <c r="A304">
        <v>276</v>
      </c>
      <c r="B304" t="s">
        <v>201</v>
      </c>
      <c r="C304" t="s">
        <v>202</v>
      </c>
      <c r="D304" t="s">
        <v>31</v>
      </c>
      <c r="E304" t="s">
        <v>171</v>
      </c>
      <c r="F304" s="3">
        <v>45657</v>
      </c>
      <c r="G304">
        <v>2024</v>
      </c>
      <c r="H304" t="s">
        <v>44</v>
      </c>
      <c r="I304" t="s">
        <v>53</v>
      </c>
      <c r="J304">
        <v>2</v>
      </c>
      <c r="K304">
        <v>75</v>
      </c>
      <c r="L304">
        <v>82.68</v>
      </c>
      <c r="M304">
        <v>1.1024</v>
      </c>
      <c r="N304">
        <v>1.1024</v>
      </c>
      <c r="Q304" t="s">
        <v>209</v>
      </c>
      <c r="R304">
        <v>0</v>
      </c>
      <c r="S304">
        <v>0</v>
      </c>
      <c r="T304" t="s">
        <v>31</v>
      </c>
      <c r="U304" t="s">
        <v>37</v>
      </c>
      <c r="V304" t="s">
        <v>202</v>
      </c>
      <c r="W304" t="s">
        <v>73</v>
      </c>
      <c r="X304" t="s">
        <v>74</v>
      </c>
      <c r="Y304" t="s">
        <v>75</v>
      </c>
      <c r="Z304" t="s">
        <v>86</v>
      </c>
      <c r="AA304" t="s">
        <v>204</v>
      </c>
      <c r="AB304" t="s">
        <v>65</v>
      </c>
      <c r="AC304" t="s">
        <v>31</v>
      </c>
    </row>
    <row r="305" spans="1:29" x14ac:dyDescent="0.3">
      <c r="A305">
        <v>276</v>
      </c>
      <c r="B305" t="s">
        <v>201</v>
      </c>
      <c r="C305" t="s">
        <v>202</v>
      </c>
      <c r="D305" t="s">
        <v>31</v>
      </c>
      <c r="E305" t="s">
        <v>171</v>
      </c>
      <c r="F305" s="3">
        <v>45657</v>
      </c>
      <c r="G305">
        <v>2024</v>
      </c>
      <c r="H305" t="s">
        <v>44</v>
      </c>
      <c r="I305" t="s">
        <v>53</v>
      </c>
      <c r="K305">
        <v>75</v>
      </c>
      <c r="L305">
        <v>82.68</v>
      </c>
      <c r="M305">
        <v>0.90711175616835982</v>
      </c>
      <c r="N305">
        <v>0.90711175616835982</v>
      </c>
      <c r="O305" t="s">
        <v>35</v>
      </c>
      <c r="P305" t="s">
        <v>245</v>
      </c>
      <c r="Q305" t="s">
        <v>209</v>
      </c>
      <c r="R305">
        <v>0</v>
      </c>
      <c r="S305">
        <v>1</v>
      </c>
      <c r="T305" t="s">
        <v>443</v>
      </c>
      <c r="U305" t="s">
        <v>37</v>
      </c>
      <c r="V305" t="s">
        <v>202</v>
      </c>
      <c r="W305" t="s">
        <v>73</v>
      </c>
      <c r="X305" t="s">
        <v>74</v>
      </c>
      <c r="Y305" t="s">
        <v>75</v>
      </c>
      <c r="Z305" t="s">
        <v>86</v>
      </c>
      <c r="AA305" t="s">
        <v>204</v>
      </c>
      <c r="AB305" t="s">
        <v>65</v>
      </c>
      <c r="AC305" t="s">
        <v>31</v>
      </c>
    </row>
    <row r="306" spans="1:29" x14ac:dyDescent="0.3">
      <c r="A306">
        <v>276</v>
      </c>
      <c r="B306" t="s">
        <v>201</v>
      </c>
      <c r="C306" t="s">
        <v>202</v>
      </c>
      <c r="D306" t="s">
        <v>31</v>
      </c>
      <c r="E306" t="s">
        <v>171</v>
      </c>
      <c r="F306" s="3">
        <v>45838</v>
      </c>
      <c r="G306">
        <v>2025</v>
      </c>
      <c r="H306" t="s">
        <v>33</v>
      </c>
      <c r="I306" t="s">
        <v>404</v>
      </c>
      <c r="J306">
        <v>1</v>
      </c>
      <c r="K306">
        <v>81</v>
      </c>
      <c r="L306">
        <v>84.18</v>
      </c>
      <c r="M306">
        <v>1.0392592592592591</v>
      </c>
      <c r="N306">
        <v>1.0392592592592591</v>
      </c>
      <c r="O306" t="s">
        <v>35</v>
      </c>
      <c r="P306" t="s">
        <v>245</v>
      </c>
      <c r="Q306" t="s">
        <v>410</v>
      </c>
      <c r="R306">
        <v>0</v>
      </c>
      <c r="S306">
        <v>1</v>
      </c>
      <c r="T306" t="s">
        <v>31</v>
      </c>
      <c r="U306" t="s">
        <v>37</v>
      </c>
      <c r="V306" t="s">
        <v>202</v>
      </c>
      <c r="W306" t="s">
        <v>73</v>
      </c>
      <c r="X306" t="s">
        <v>74</v>
      </c>
      <c r="Y306" t="s">
        <v>75</v>
      </c>
      <c r="Z306" t="s">
        <v>86</v>
      </c>
      <c r="AA306" t="s">
        <v>204</v>
      </c>
      <c r="AB306" t="s">
        <v>65</v>
      </c>
      <c r="AC306" t="s">
        <v>31</v>
      </c>
    </row>
    <row r="307" spans="1:29" x14ac:dyDescent="0.3">
      <c r="A307">
        <v>276</v>
      </c>
      <c r="B307" t="s">
        <v>201</v>
      </c>
      <c r="C307" t="s">
        <v>202</v>
      </c>
      <c r="D307" t="s">
        <v>31</v>
      </c>
      <c r="E307" t="s">
        <v>171</v>
      </c>
      <c r="F307" s="3">
        <v>45838</v>
      </c>
      <c r="G307">
        <v>2025</v>
      </c>
      <c r="H307" t="s">
        <v>33</v>
      </c>
      <c r="I307" t="s">
        <v>404</v>
      </c>
      <c r="K307">
        <v>81</v>
      </c>
      <c r="L307">
        <v>84.18</v>
      </c>
      <c r="M307">
        <v>0.96222380612972191</v>
      </c>
      <c r="N307">
        <v>0.96222380612972191</v>
      </c>
      <c r="O307" t="s">
        <v>35</v>
      </c>
      <c r="P307" t="s">
        <v>245</v>
      </c>
      <c r="Q307" t="s">
        <v>410</v>
      </c>
      <c r="R307">
        <v>0</v>
      </c>
      <c r="S307">
        <v>1</v>
      </c>
      <c r="T307" t="s">
        <v>443</v>
      </c>
      <c r="U307" t="s">
        <v>37</v>
      </c>
      <c r="V307" t="s">
        <v>202</v>
      </c>
      <c r="W307" t="s">
        <v>73</v>
      </c>
      <c r="X307" t="s">
        <v>74</v>
      </c>
      <c r="Y307" t="s">
        <v>75</v>
      </c>
      <c r="Z307" t="s">
        <v>86</v>
      </c>
      <c r="AA307" t="s">
        <v>204</v>
      </c>
      <c r="AB307" t="s">
        <v>65</v>
      </c>
      <c r="AC307" t="s">
        <v>31</v>
      </c>
    </row>
    <row r="308" spans="1:29" x14ac:dyDescent="0.3">
      <c r="A308">
        <v>277</v>
      </c>
      <c r="B308" t="s">
        <v>210</v>
      </c>
      <c r="C308" t="s">
        <v>202</v>
      </c>
      <c r="D308" t="s">
        <v>31</v>
      </c>
      <c r="E308" t="s">
        <v>171</v>
      </c>
      <c r="F308" s="3">
        <v>45107</v>
      </c>
      <c r="G308">
        <v>2023</v>
      </c>
      <c r="H308" t="s">
        <v>33</v>
      </c>
      <c r="I308" t="s">
        <v>47</v>
      </c>
      <c r="J308">
        <v>1</v>
      </c>
      <c r="K308">
        <v>85</v>
      </c>
      <c r="L308">
        <v>76.48</v>
      </c>
      <c r="M308">
        <v>1.1114016736401671</v>
      </c>
      <c r="N308">
        <v>1.1114016736401671</v>
      </c>
      <c r="Q308" t="s">
        <v>211</v>
      </c>
      <c r="R308">
        <v>1</v>
      </c>
      <c r="S308">
        <v>1</v>
      </c>
      <c r="T308" t="s">
        <v>31</v>
      </c>
      <c r="U308" t="s">
        <v>37</v>
      </c>
      <c r="V308" t="s">
        <v>202</v>
      </c>
      <c r="W308" t="s">
        <v>73</v>
      </c>
      <c r="X308" t="s">
        <v>74</v>
      </c>
      <c r="Z308" t="s">
        <v>86</v>
      </c>
      <c r="AA308" t="s">
        <v>204</v>
      </c>
      <c r="AB308" t="s">
        <v>65</v>
      </c>
      <c r="AC308" t="s">
        <v>31</v>
      </c>
    </row>
    <row r="309" spans="1:29" x14ac:dyDescent="0.3">
      <c r="A309">
        <v>277</v>
      </c>
      <c r="B309" t="s">
        <v>210</v>
      </c>
      <c r="C309" t="s">
        <v>202</v>
      </c>
      <c r="D309" t="s">
        <v>31</v>
      </c>
      <c r="E309" t="s">
        <v>171</v>
      </c>
      <c r="F309" s="3">
        <v>45291</v>
      </c>
      <c r="G309">
        <v>2023</v>
      </c>
      <c r="H309" t="s">
        <v>44</v>
      </c>
      <c r="I309" t="s">
        <v>49</v>
      </c>
      <c r="J309">
        <v>2</v>
      </c>
      <c r="K309">
        <v>85</v>
      </c>
      <c r="L309">
        <v>73.290000000000006</v>
      </c>
      <c r="M309">
        <v>1.1597762314094691</v>
      </c>
      <c r="N309">
        <v>1.1597762314094691</v>
      </c>
      <c r="Q309" t="s">
        <v>212</v>
      </c>
      <c r="R309">
        <v>1</v>
      </c>
      <c r="S309">
        <v>1</v>
      </c>
      <c r="T309" t="s">
        <v>31</v>
      </c>
      <c r="U309" t="s">
        <v>37</v>
      </c>
      <c r="V309" t="s">
        <v>202</v>
      </c>
      <c r="W309" t="s">
        <v>73</v>
      </c>
      <c r="X309" t="s">
        <v>74</v>
      </c>
      <c r="Z309" t="s">
        <v>86</v>
      </c>
      <c r="AA309" t="s">
        <v>204</v>
      </c>
      <c r="AB309" t="s">
        <v>65</v>
      </c>
      <c r="AC309" t="s">
        <v>31</v>
      </c>
    </row>
    <row r="310" spans="1:29" x14ac:dyDescent="0.3">
      <c r="A310">
        <v>277</v>
      </c>
      <c r="B310" t="s">
        <v>210</v>
      </c>
      <c r="C310" t="s">
        <v>202</v>
      </c>
      <c r="D310" t="s">
        <v>31</v>
      </c>
      <c r="E310" t="s">
        <v>171</v>
      </c>
      <c r="F310" s="3">
        <v>45291</v>
      </c>
      <c r="G310">
        <v>2023</v>
      </c>
      <c r="H310" t="s">
        <v>44</v>
      </c>
      <c r="I310" t="s">
        <v>49</v>
      </c>
      <c r="K310">
        <v>85</v>
      </c>
      <c r="L310">
        <v>73.290000000000006</v>
      </c>
      <c r="M310">
        <v>1.1597762314094691</v>
      </c>
      <c r="N310">
        <v>1.1597762314094691</v>
      </c>
      <c r="O310" t="s">
        <v>35</v>
      </c>
      <c r="P310" t="s">
        <v>245</v>
      </c>
      <c r="Q310" t="s">
        <v>212</v>
      </c>
      <c r="R310">
        <v>1</v>
      </c>
      <c r="S310">
        <v>1</v>
      </c>
      <c r="T310" t="s">
        <v>443</v>
      </c>
      <c r="U310" t="s">
        <v>37</v>
      </c>
      <c r="V310" t="s">
        <v>202</v>
      </c>
      <c r="W310" t="s">
        <v>73</v>
      </c>
      <c r="X310" t="s">
        <v>74</v>
      </c>
      <c r="Z310" t="s">
        <v>86</v>
      </c>
      <c r="AA310" t="s">
        <v>204</v>
      </c>
      <c r="AB310" t="s">
        <v>65</v>
      </c>
      <c r="AC310" t="s">
        <v>31</v>
      </c>
    </row>
    <row r="311" spans="1:29" x14ac:dyDescent="0.3">
      <c r="A311">
        <v>277</v>
      </c>
      <c r="B311" t="s">
        <v>210</v>
      </c>
      <c r="C311" t="s">
        <v>202</v>
      </c>
      <c r="D311" t="s">
        <v>31</v>
      </c>
      <c r="E311" t="s">
        <v>171</v>
      </c>
      <c r="F311" s="3">
        <v>45473</v>
      </c>
      <c r="G311">
        <v>2024</v>
      </c>
      <c r="H311" t="s">
        <v>33</v>
      </c>
      <c r="I311" t="s">
        <v>51</v>
      </c>
      <c r="J311">
        <v>1</v>
      </c>
      <c r="K311">
        <v>73</v>
      </c>
      <c r="L311">
        <v>71.180000000000007</v>
      </c>
      <c r="M311">
        <v>1.0255689800505761</v>
      </c>
      <c r="N311">
        <v>1.0255689800505761</v>
      </c>
      <c r="Q311" t="s">
        <v>213</v>
      </c>
      <c r="R311">
        <v>1</v>
      </c>
      <c r="S311">
        <v>1</v>
      </c>
      <c r="T311" t="s">
        <v>31</v>
      </c>
      <c r="U311" t="s">
        <v>37</v>
      </c>
      <c r="V311" t="s">
        <v>202</v>
      </c>
      <c r="W311" t="s">
        <v>73</v>
      </c>
      <c r="X311" t="s">
        <v>74</v>
      </c>
      <c r="Z311" t="s">
        <v>86</v>
      </c>
      <c r="AA311" t="s">
        <v>204</v>
      </c>
      <c r="AB311" t="s">
        <v>65</v>
      </c>
      <c r="AC311" t="s">
        <v>31</v>
      </c>
    </row>
    <row r="312" spans="1:29" x14ac:dyDescent="0.3">
      <c r="A312">
        <v>277</v>
      </c>
      <c r="B312" t="s">
        <v>210</v>
      </c>
      <c r="C312" t="s">
        <v>202</v>
      </c>
      <c r="D312" t="s">
        <v>31</v>
      </c>
      <c r="E312" t="s">
        <v>171</v>
      </c>
      <c r="F312" s="3">
        <v>45657</v>
      </c>
      <c r="G312">
        <v>2024</v>
      </c>
      <c r="H312" t="s">
        <v>44</v>
      </c>
      <c r="I312" t="s">
        <v>53</v>
      </c>
      <c r="J312">
        <v>2</v>
      </c>
      <c r="K312">
        <v>73</v>
      </c>
      <c r="L312">
        <v>71.239999999999995</v>
      </c>
      <c r="M312">
        <v>0.97589041095890405</v>
      </c>
      <c r="N312">
        <v>0.97589041095890405</v>
      </c>
      <c r="Q312" t="s">
        <v>214</v>
      </c>
      <c r="R312">
        <v>0</v>
      </c>
      <c r="S312">
        <v>0</v>
      </c>
      <c r="T312" t="s">
        <v>31</v>
      </c>
      <c r="U312" t="s">
        <v>37</v>
      </c>
      <c r="V312" t="s">
        <v>202</v>
      </c>
      <c r="W312" t="s">
        <v>73</v>
      </c>
      <c r="X312" t="s">
        <v>74</v>
      </c>
      <c r="Z312" t="s">
        <v>86</v>
      </c>
      <c r="AA312" t="s">
        <v>204</v>
      </c>
      <c r="AB312" t="s">
        <v>65</v>
      </c>
      <c r="AC312" t="s">
        <v>31</v>
      </c>
    </row>
    <row r="313" spans="1:29" x14ac:dyDescent="0.3">
      <c r="A313">
        <v>277</v>
      </c>
      <c r="B313" t="s">
        <v>210</v>
      </c>
      <c r="C313" t="s">
        <v>202</v>
      </c>
      <c r="D313" t="s">
        <v>31</v>
      </c>
      <c r="E313" t="s">
        <v>171</v>
      </c>
      <c r="F313" s="3">
        <v>45657</v>
      </c>
      <c r="G313">
        <v>2024</v>
      </c>
      <c r="H313" t="s">
        <v>44</v>
      </c>
      <c r="I313" t="s">
        <v>53</v>
      </c>
      <c r="K313">
        <v>73</v>
      </c>
      <c r="L313">
        <v>71.239999999999995</v>
      </c>
      <c r="M313">
        <v>0.97589041095890405</v>
      </c>
      <c r="N313">
        <v>0.97589041095890405</v>
      </c>
      <c r="O313" t="s">
        <v>35</v>
      </c>
      <c r="P313" t="s">
        <v>245</v>
      </c>
      <c r="Q313" t="s">
        <v>214</v>
      </c>
      <c r="R313">
        <v>1</v>
      </c>
      <c r="S313">
        <v>1</v>
      </c>
      <c r="T313" t="s">
        <v>443</v>
      </c>
      <c r="U313" t="s">
        <v>37</v>
      </c>
      <c r="V313" t="s">
        <v>202</v>
      </c>
      <c r="W313" t="s">
        <v>73</v>
      </c>
      <c r="X313" t="s">
        <v>74</v>
      </c>
      <c r="Z313" t="s">
        <v>86</v>
      </c>
      <c r="AA313" t="s">
        <v>204</v>
      </c>
      <c r="AB313" t="s">
        <v>65</v>
      </c>
      <c r="AC313" t="s">
        <v>31</v>
      </c>
    </row>
    <row r="314" spans="1:29" x14ac:dyDescent="0.3">
      <c r="A314">
        <v>277</v>
      </c>
      <c r="B314" t="s">
        <v>210</v>
      </c>
      <c r="C314" t="s">
        <v>202</v>
      </c>
      <c r="D314" t="s">
        <v>31</v>
      </c>
      <c r="E314" t="s">
        <v>171</v>
      </c>
      <c r="F314" s="3">
        <v>45838</v>
      </c>
      <c r="G314">
        <v>2025</v>
      </c>
      <c r="H314" t="s">
        <v>33</v>
      </c>
      <c r="I314" t="s">
        <v>404</v>
      </c>
      <c r="J314">
        <v>1</v>
      </c>
      <c r="K314">
        <v>71</v>
      </c>
      <c r="L314">
        <v>69.39</v>
      </c>
      <c r="M314">
        <v>0.97732394366197184</v>
      </c>
      <c r="N314">
        <v>0.97732394366197184</v>
      </c>
      <c r="O314" t="s">
        <v>35</v>
      </c>
      <c r="P314" t="s">
        <v>245</v>
      </c>
      <c r="Q314" t="s">
        <v>434</v>
      </c>
      <c r="R314">
        <v>1</v>
      </c>
      <c r="S314">
        <v>1</v>
      </c>
      <c r="T314" t="s">
        <v>31</v>
      </c>
      <c r="U314" t="s">
        <v>37</v>
      </c>
      <c r="V314" t="s">
        <v>202</v>
      </c>
      <c r="W314" t="s">
        <v>73</v>
      </c>
      <c r="X314" t="s">
        <v>74</v>
      </c>
      <c r="Z314" t="s">
        <v>86</v>
      </c>
      <c r="AA314" t="s">
        <v>204</v>
      </c>
      <c r="AB314" t="s">
        <v>65</v>
      </c>
      <c r="AC314" t="s">
        <v>31</v>
      </c>
    </row>
    <row r="315" spans="1:29" x14ac:dyDescent="0.3">
      <c r="A315">
        <v>277</v>
      </c>
      <c r="B315" t="s">
        <v>210</v>
      </c>
      <c r="C315" t="s">
        <v>202</v>
      </c>
      <c r="D315" t="s">
        <v>31</v>
      </c>
      <c r="E315" t="s">
        <v>171</v>
      </c>
      <c r="F315" s="3">
        <v>45838</v>
      </c>
      <c r="G315">
        <v>2025</v>
      </c>
      <c r="H315" t="s">
        <v>33</v>
      </c>
      <c r="I315" t="s">
        <v>404</v>
      </c>
      <c r="K315">
        <v>71</v>
      </c>
      <c r="L315">
        <v>69.39</v>
      </c>
      <c r="M315">
        <v>1.0232021905173661</v>
      </c>
      <c r="N315">
        <v>1.0232021905173661</v>
      </c>
      <c r="O315" t="s">
        <v>35</v>
      </c>
      <c r="P315" t="s">
        <v>245</v>
      </c>
      <c r="Q315" t="s">
        <v>434</v>
      </c>
      <c r="R315">
        <v>1</v>
      </c>
      <c r="S315">
        <v>1</v>
      </c>
      <c r="T315" t="s">
        <v>443</v>
      </c>
      <c r="U315" t="s">
        <v>37</v>
      </c>
      <c r="V315" t="s">
        <v>202</v>
      </c>
      <c r="W315" t="s">
        <v>73</v>
      </c>
      <c r="X315" t="s">
        <v>74</v>
      </c>
      <c r="Z315" t="s">
        <v>86</v>
      </c>
      <c r="AA315" t="s">
        <v>204</v>
      </c>
      <c r="AB315" t="s">
        <v>65</v>
      </c>
      <c r="AC315" t="s">
        <v>31</v>
      </c>
    </row>
    <row r="316" spans="1:29" x14ac:dyDescent="0.3">
      <c r="A316">
        <v>323</v>
      </c>
      <c r="B316" t="s">
        <v>215</v>
      </c>
      <c r="C316" t="s">
        <v>216</v>
      </c>
      <c r="D316" t="s">
        <v>31</v>
      </c>
      <c r="E316" t="s">
        <v>32</v>
      </c>
      <c r="F316" s="3">
        <v>44926</v>
      </c>
      <c r="G316">
        <v>2022</v>
      </c>
      <c r="H316" t="s">
        <v>44</v>
      </c>
      <c r="I316" t="s">
        <v>45</v>
      </c>
      <c r="J316">
        <v>2</v>
      </c>
      <c r="K316">
        <v>3</v>
      </c>
      <c r="L316">
        <v>3</v>
      </c>
      <c r="M316">
        <v>1</v>
      </c>
      <c r="N316">
        <v>1</v>
      </c>
      <c r="Q316" t="s">
        <v>217</v>
      </c>
      <c r="R316">
        <v>0</v>
      </c>
      <c r="S316">
        <v>0</v>
      </c>
      <c r="T316" t="s">
        <v>31</v>
      </c>
      <c r="U316" t="s">
        <v>37</v>
      </c>
      <c r="V316" t="s">
        <v>216</v>
      </c>
      <c r="W316" t="s">
        <v>73</v>
      </c>
      <c r="X316" t="s">
        <v>218</v>
      </c>
      <c r="Y316" t="s">
        <v>219</v>
      </c>
      <c r="Z316" t="s">
        <v>86</v>
      </c>
      <c r="AA316" t="s">
        <v>87</v>
      </c>
      <c r="AB316" t="s">
        <v>78</v>
      </c>
      <c r="AC316" t="s">
        <v>66</v>
      </c>
    </row>
    <row r="317" spans="1:29" x14ac:dyDescent="0.3">
      <c r="A317">
        <v>323</v>
      </c>
      <c r="B317" t="s">
        <v>215</v>
      </c>
      <c r="C317" t="s">
        <v>216</v>
      </c>
      <c r="D317" t="s">
        <v>31</v>
      </c>
      <c r="E317" t="s">
        <v>32</v>
      </c>
      <c r="F317" s="3">
        <v>44926</v>
      </c>
      <c r="G317">
        <v>2022</v>
      </c>
      <c r="H317" t="s">
        <v>44</v>
      </c>
      <c r="I317" t="s">
        <v>45</v>
      </c>
      <c r="K317">
        <v>3</v>
      </c>
      <c r="L317">
        <v>3</v>
      </c>
      <c r="M317">
        <v>1</v>
      </c>
      <c r="N317">
        <v>1</v>
      </c>
      <c r="O317" t="s">
        <v>35</v>
      </c>
      <c r="P317" t="s">
        <v>35</v>
      </c>
      <c r="Q317" t="s">
        <v>217</v>
      </c>
      <c r="R317">
        <v>0</v>
      </c>
      <c r="S317">
        <v>0</v>
      </c>
      <c r="T317" t="s">
        <v>443</v>
      </c>
      <c r="U317" t="s">
        <v>37</v>
      </c>
      <c r="V317" t="s">
        <v>216</v>
      </c>
      <c r="W317" t="s">
        <v>73</v>
      </c>
      <c r="X317" t="s">
        <v>218</v>
      </c>
      <c r="Y317" t="s">
        <v>219</v>
      </c>
      <c r="Z317" t="s">
        <v>86</v>
      </c>
      <c r="AA317" t="s">
        <v>87</v>
      </c>
      <c r="AB317" t="s">
        <v>78</v>
      </c>
      <c r="AC317" t="s">
        <v>66</v>
      </c>
    </row>
    <row r="318" spans="1:29" x14ac:dyDescent="0.3">
      <c r="A318">
        <v>323</v>
      </c>
      <c r="B318" t="s">
        <v>215</v>
      </c>
      <c r="C318" t="s">
        <v>216</v>
      </c>
      <c r="D318" t="s">
        <v>31</v>
      </c>
      <c r="E318" t="s">
        <v>32</v>
      </c>
      <c r="F318" s="3">
        <v>45107</v>
      </c>
      <c r="G318">
        <v>2023</v>
      </c>
      <c r="H318" t="s">
        <v>33</v>
      </c>
      <c r="I318" t="s">
        <v>47</v>
      </c>
      <c r="J318">
        <v>1</v>
      </c>
      <c r="K318">
        <v>2</v>
      </c>
      <c r="L318">
        <v>2</v>
      </c>
      <c r="M318">
        <v>1</v>
      </c>
      <c r="N318">
        <v>1</v>
      </c>
      <c r="Q318" t="s">
        <v>220</v>
      </c>
      <c r="R318">
        <v>0</v>
      </c>
      <c r="S318">
        <v>0</v>
      </c>
      <c r="T318" t="s">
        <v>31</v>
      </c>
      <c r="U318" t="s">
        <v>37</v>
      </c>
      <c r="V318" t="s">
        <v>216</v>
      </c>
      <c r="W318" t="s">
        <v>73</v>
      </c>
      <c r="X318" t="s">
        <v>218</v>
      </c>
      <c r="Y318" t="s">
        <v>219</v>
      </c>
      <c r="Z318" t="s">
        <v>86</v>
      </c>
      <c r="AA318" t="s">
        <v>87</v>
      </c>
      <c r="AB318" t="s">
        <v>78</v>
      </c>
      <c r="AC318" t="s">
        <v>66</v>
      </c>
    </row>
    <row r="319" spans="1:29" x14ac:dyDescent="0.3">
      <c r="A319">
        <v>323</v>
      </c>
      <c r="B319" t="s">
        <v>215</v>
      </c>
      <c r="C319" t="s">
        <v>216</v>
      </c>
      <c r="D319" t="s">
        <v>31</v>
      </c>
      <c r="E319" t="s">
        <v>32</v>
      </c>
      <c r="F319" s="3">
        <v>45291</v>
      </c>
      <c r="G319">
        <v>2023</v>
      </c>
      <c r="H319" t="s">
        <v>44</v>
      </c>
      <c r="I319" t="s">
        <v>49</v>
      </c>
      <c r="J319">
        <v>2</v>
      </c>
      <c r="K319">
        <v>6</v>
      </c>
      <c r="L319">
        <v>6</v>
      </c>
      <c r="M319">
        <v>1</v>
      </c>
      <c r="N319">
        <v>1</v>
      </c>
      <c r="Q319" t="s">
        <v>221</v>
      </c>
      <c r="R319">
        <v>0</v>
      </c>
      <c r="S319">
        <v>0</v>
      </c>
      <c r="T319" t="s">
        <v>31</v>
      </c>
      <c r="U319" t="s">
        <v>37</v>
      </c>
      <c r="V319" t="s">
        <v>216</v>
      </c>
      <c r="W319" t="s">
        <v>73</v>
      </c>
      <c r="X319" t="s">
        <v>218</v>
      </c>
      <c r="Y319" t="s">
        <v>219</v>
      </c>
      <c r="Z319" t="s">
        <v>86</v>
      </c>
      <c r="AA319" t="s">
        <v>87</v>
      </c>
      <c r="AB319" t="s">
        <v>78</v>
      </c>
      <c r="AC319" t="s">
        <v>66</v>
      </c>
    </row>
    <row r="320" spans="1:29" x14ac:dyDescent="0.3">
      <c r="A320">
        <v>323</v>
      </c>
      <c r="B320" t="s">
        <v>215</v>
      </c>
      <c r="C320" t="s">
        <v>216</v>
      </c>
      <c r="D320" t="s">
        <v>31</v>
      </c>
      <c r="E320" t="s">
        <v>32</v>
      </c>
      <c r="F320" s="3">
        <v>45291</v>
      </c>
      <c r="G320">
        <v>2023</v>
      </c>
      <c r="H320" t="s">
        <v>44</v>
      </c>
      <c r="I320" t="s">
        <v>49</v>
      </c>
      <c r="K320">
        <v>8</v>
      </c>
      <c r="L320">
        <v>8</v>
      </c>
      <c r="M320">
        <v>1</v>
      </c>
      <c r="N320">
        <v>1</v>
      </c>
      <c r="O320" t="s">
        <v>35</v>
      </c>
      <c r="P320" t="s">
        <v>35</v>
      </c>
      <c r="Q320" t="s">
        <v>221</v>
      </c>
      <c r="R320">
        <v>0</v>
      </c>
      <c r="S320">
        <v>0</v>
      </c>
      <c r="T320" t="s">
        <v>443</v>
      </c>
      <c r="U320" t="s">
        <v>37</v>
      </c>
      <c r="V320" t="s">
        <v>216</v>
      </c>
      <c r="W320" t="s">
        <v>73</v>
      </c>
      <c r="X320" t="s">
        <v>218</v>
      </c>
      <c r="Y320" t="s">
        <v>219</v>
      </c>
      <c r="Z320" t="s">
        <v>86</v>
      </c>
      <c r="AA320" t="s">
        <v>87</v>
      </c>
      <c r="AB320" t="s">
        <v>78</v>
      </c>
      <c r="AC320" t="s">
        <v>66</v>
      </c>
    </row>
    <row r="321" spans="1:29" x14ac:dyDescent="0.3">
      <c r="A321">
        <v>323</v>
      </c>
      <c r="B321" t="s">
        <v>215</v>
      </c>
      <c r="C321" t="s">
        <v>216</v>
      </c>
      <c r="D321" t="s">
        <v>31</v>
      </c>
      <c r="E321" t="s">
        <v>32</v>
      </c>
      <c r="F321" s="3">
        <v>45473</v>
      </c>
      <c r="G321">
        <v>2024</v>
      </c>
      <c r="H321" t="s">
        <v>33</v>
      </c>
      <c r="I321" t="s">
        <v>51</v>
      </c>
      <c r="J321">
        <v>1</v>
      </c>
      <c r="K321">
        <v>3</v>
      </c>
      <c r="L321">
        <v>3</v>
      </c>
      <c r="M321">
        <v>1</v>
      </c>
      <c r="N321">
        <v>1</v>
      </c>
      <c r="Q321" t="s">
        <v>222</v>
      </c>
      <c r="R321">
        <v>0</v>
      </c>
      <c r="S321">
        <v>0</v>
      </c>
      <c r="T321" t="s">
        <v>31</v>
      </c>
      <c r="U321" t="s">
        <v>37</v>
      </c>
      <c r="V321" t="s">
        <v>216</v>
      </c>
      <c r="W321" t="s">
        <v>73</v>
      </c>
      <c r="X321" t="s">
        <v>218</v>
      </c>
      <c r="Y321" t="s">
        <v>219</v>
      </c>
      <c r="Z321" t="s">
        <v>86</v>
      </c>
      <c r="AA321" t="s">
        <v>87</v>
      </c>
      <c r="AB321" t="s">
        <v>78</v>
      </c>
      <c r="AC321" t="s">
        <v>66</v>
      </c>
    </row>
    <row r="322" spans="1:29" x14ac:dyDescent="0.3">
      <c r="A322">
        <v>323</v>
      </c>
      <c r="B322" t="s">
        <v>215</v>
      </c>
      <c r="C322" t="s">
        <v>216</v>
      </c>
      <c r="D322" t="s">
        <v>31</v>
      </c>
      <c r="E322" t="s">
        <v>32</v>
      </c>
      <c r="F322" s="3">
        <v>45657</v>
      </c>
      <c r="G322">
        <v>2024</v>
      </c>
      <c r="H322" t="s">
        <v>44</v>
      </c>
      <c r="I322" t="s">
        <v>53</v>
      </c>
      <c r="J322">
        <v>2</v>
      </c>
      <c r="K322">
        <v>0</v>
      </c>
      <c r="L322">
        <v>0</v>
      </c>
      <c r="Q322" t="s">
        <v>223</v>
      </c>
      <c r="R322">
        <v>0</v>
      </c>
      <c r="S322">
        <v>0</v>
      </c>
      <c r="T322" t="s">
        <v>31</v>
      </c>
      <c r="U322" t="s">
        <v>37</v>
      </c>
      <c r="V322" t="s">
        <v>216</v>
      </c>
      <c r="W322" t="s">
        <v>73</v>
      </c>
      <c r="X322" t="s">
        <v>218</v>
      </c>
      <c r="Y322" t="s">
        <v>219</v>
      </c>
      <c r="Z322" t="s">
        <v>86</v>
      </c>
      <c r="AA322" t="s">
        <v>87</v>
      </c>
      <c r="AB322" t="s">
        <v>78</v>
      </c>
      <c r="AC322" t="s">
        <v>66</v>
      </c>
    </row>
    <row r="323" spans="1:29" x14ac:dyDescent="0.3">
      <c r="A323">
        <v>323</v>
      </c>
      <c r="B323" t="s">
        <v>215</v>
      </c>
      <c r="C323" t="s">
        <v>216</v>
      </c>
      <c r="D323" t="s">
        <v>31</v>
      </c>
      <c r="E323" t="s">
        <v>32</v>
      </c>
      <c r="F323" s="3">
        <v>45657</v>
      </c>
      <c r="G323">
        <v>2024</v>
      </c>
      <c r="H323" t="s">
        <v>44</v>
      </c>
      <c r="I323" t="s">
        <v>53</v>
      </c>
      <c r="K323">
        <v>3</v>
      </c>
      <c r="L323">
        <v>3</v>
      </c>
      <c r="M323">
        <v>1</v>
      </c>
      <c r="N323">
        <v>1</v>
      </c>
      <c r="O323" t="s">
        <v>35</v>
      </c>
      <c r="P323" t="s">
        <v>35</v>
      </c>
      <c r="Q323" t="s">
        <v>223</v>
      </c>
      <c r="R323">
        <v>0</v>
      </c>
      <c r="S323">
        <v>0</v>
      </c>
      <c r="T323" t="s">
        <v>443</v>
      </c>
      <c r="U323" t="s">
        <v>37</v>
      </c>
      <c r="V323" t="s">
        <v>216</v>
      </c>
      <c r="W323" t="s">
        <v>73</v>
      </c>
      <c r="X323" t="s">
        <v>218</v>
      </c>
      <c r="Y323" t="s">
        <v>219</v>
      </c>
      <c r="Z323" t="s">
        <v>86</v>
      </c>
      <c r="AA323" t="s">
        <v>87</v>
      </c>
      <c r="AB323" t="s">
        <v>78</v>
      </c>
      <c r="AC323" t="s">
        <v>66</v>
      </c>
    </row>
    <row r="324" spans="1:29" x14ac:dyDescent="0.3">
      <c r="A324">
        <v>323</v>
      </c>
      <c r="B324" t="s">
        <v>215</v>
      </c>
      <c r="C324" t="s">
        <v>216</v>
      </c>
      <c r="D324" t="s">
        <v>31</v>
      </c>
      <c r="E324" t="s">
        <v>32</v>
      </c>
      <c r="F324" s="3">
        <v>45838</v>
      </c>
      <c r="G324">
        <v>2025</v>
      </c>
      <c r="H324" t="s">
        <v>33</v>
      </c>
      <c r="I324" t="s">
        <v>404</v>
      </c>
      <c r="J324">
        <v>1</v>
      </c>
      <c r="K324">
        <v>1</v>
      </c>
      <c r="L324">
        <v>1</v>
      </c>
      <c r="M324">
        <v>1</v>
      </c>
      <c r="N324">
        <v>1</v>
      </c>
      <c r="O324" t="s">
        <v>35</v>
      </c>
      <c r="P324" t="s">
        <v>35</v>
      </c>
      <c r="Q324" t="s">
        <v>409</v>
      </c>
      <c r="R324">
        <v>0</v>
      </c>
      <c r="S324">
        <v>0</v>
      </c>
      <c r="T324" t="s">
        <v>31</v>
      </c>
      <c r="U324" t="s">
        <v>37</v>
      </c>
      <c r="V324" t="s">
        <v>216</v>
      </c>
      <c r="W324" t="s">
        <v>73</v>
      </c>
      <c r="X324" t="s">
        <v>218</v>
      </c>
      <c r="Y324" t="s">
        <v>219</v>
      </c>
      <c r="Z324" t="s">
        <v>86</v>
      </c>
      <c r="AA324" t="s">
        <v>87</v>
      </c>
      <c r="AB324" t="s">
        <v>78</v>
      </c>
      <c r="AC324" t="s">
        <v>66</v>
      </c>
    </row>
    <row r="325" spans="1:29" x14ac:dyDescent="0.3">
      <c r="A325">
        <v>323</v>
      </c>
      <c r="B325" t="s">
        <v>215</v>
      </c>
      <c r="C325" t="s">
        <v>216</v>
      </c>
      <c r="D325" t="s">
        <v>31</v>
      </c>
      <c r="E325" t="s">
        <v>32</v>
      </c>
      <c r="F325" s="3">
        <v>45838</v>
      </c>
      <c r="G325">
        <v>2025</v>
      </c>
      <c r="H325" t="s">
        <v>33</v>
      </c>
      <c r="I325" t="s">
        <v>404</v>
      </c>
      <c r="K325">
        <v>1</v>
      </c>
      <c r="L325">
        <v>1</v>
      </c>
      <c r="M325">
        <v>1</v>
      </c>
      <c r="N325">
        <v>1</v>
      </c>
      <c r="O325" t="s">
        <v>35</v>
      </c>
      <c r="P325" t="s">
        <v>35</v>
      </c>
      <c r="Q325" t="s">
        <v>409</v>
      </c>
      <c r="R325">
        <v>0</v>
      </c>
      <c r="S325">
        <v>0</v>
      </c>
      <c r="T325" t="s">
        <v>443</v>
      </c>
      <c r="U325" t="s">
        <v>37</v>
      </c>
      <c r="V325" t="s">
        <v>216</v>
      </c>
      <c r="W325" t="s">
        <v>73</v>
      </c>
      <c r="X325" t="s">
        <v>218</v>
      </c>
      <c r="Y325" t="s">
        <v>219</v>
      </c>
      <c r="Z325" t="s">
        <v>86</v>
      </c>
      <c r="AA325" t="s">
        <v>87</v>
      </c>
      <c r="AB325" t="s">
        <v>78</v>
      </c>
      <c r="AC325" t="s">
        <v>66</v>
      </c>
    </row>
    <row r="326" spans="1:29" x14ac:dyDescent="0.3">
      <c r="A326">
        <v>325</v>
      </c>
      <c r="B326" t="s">
        <v>224</v>
      </c>
      <c r="C326" t="s">
        <v>216</v>
      </c>
      <c r="D326" t="s">
        <v>31</v>
      </c>
      <c r="E326" t="s">
        <v>32</v>
      </c>
      <c r="F326" s="3">
        <v>44742</v>
      </c>
      <c r="G326">
        <v>2022</v>
      </c>
      <c r="H326" t="s">
        <v>33</v>
      </c>
      <c r="I326" t="s">
        <v>34</v>
      </c>
      <c r="J326">
        <v>1</v>
      </c>
      <c r="K326">
        <v>3</v>
      </c>
      <c r="L326">
        <v>3</v>
      </c>
      <c r="M326">
        <v>1</v>
      </c>
      <c r="N326">
        <v>1</v>
      </c>
      <c r="O326" t="s">
        <v>35</v>
      </c>
      <c r="P326" t="s">
        <v>35</v>
      </c>
      <c r="Q326" t="s">
        <v>225</v>
      </c>
      <c r="R326">
        <v>0</v>
      </c>
      <c r="S326">
        <v>0</v>
      </c>
      <c r="T326" t="s">
        <v>31</v>
      </c>
      <c r="U326" t="s">
        <v>37</v>
      </c>
      <c r="V326" t="s">
        <v>216</v>
      </c>
      <c r="W326" t="s">
        <v>73</v>
      </c>
      <c r="X326" t="s">
        <v>218</v>
      </c>
      <c r="Y326" t="s">
        <v>219</v>
      </c>
      <c r="Z326" t="s">
        <v>86</v>
      </c>
      <c r="AA326" t="s">
        <v>87</v>
      </c>
      <c r="AB326" t="s">
        <v>78</v>
      </c>
      <c r="AC326" t="s">
        <v>66</v>
      </c>
    </row>
    <row r="327" spans="1:29" x14ac:dyDescent="0.3">
      <c r="A327">
        <v>325</v>
      </c>
      <c r="B327" t="s">
        <v>224</v>
      </c>
      <c r="C327" t="s">
        <v>216</v>
      </c>
      <c r="D327" t="s">
        <v>31</v>
      </c>
      <c r="E327" t="s">
        <v>32</v>
      </c>
      <c r="F327" s="3">
        <v>44926</v>
      </c>
      <c r="G327">
        <v>2022</v>
      </c>
      <c r="H327" t="s">
        <v>44</v>
      </c>
      <c r="I327" t="s">
        <v>45</v>
      </c>
      <c r="J327">
        <v>2</v>
      </c>
      <c r="K327">
        <v>3</v>
      </c>
      <c r="L327">
        <v>3</v>
      </c>
      <c r="M327">
        <v>1</v>
      </c>
      <c r="N327">
        <v>1</v>
      </c>
      <c r="O327" t="s">
        <v>35</v>
      </c>
      <c r="P327" t="s">
        <v>35</v>
      </c>
      <c r="Q327" t="s">
        <v>226</v>
      </c>
      <c r="R327">
        <v>0</v>
      </c>
      <c r="S327">
        <v>0</v>
      </c>
      <c r="T327" t="s">
        <v>31</v>
      </c>
      <c r="U327" t="s">
        <v>37</v>
      </c>
      <c r="V327" t="s">
        <v>216</v>
      </c>
      <c r="W327" t="s">
        <v>73</v>
      </c>
      <c r="X327" t="s">
        <v>218</v>
      </c>
      <c r="Y327" t="s">
        <v>219</v>
      </c>
      <c r="Z327" t="s">
        <v>86</v>
      </c>
      <c r="AA327" t="s">
        <v>87</v>
      </c>
      <c r="AB327" t="s">
        <v>78</v>
      </c>
      <c r="AC327" t="s">
        <v>66</v>
      </c>
    </row>
    <row r="328" spans="1:29" x14ac:dyDescent="0.3">
      <c r="A328">
        <v>325</v>
      </c>
      <c r="B328" t="s">
        <v>224</v>
      </c>
      <c r="C328" t="s">
        <v>216</v>
      </c>
      <c r="D328" t="s">
        <v>31</v>
      </c>
      <c r="E328" t="s">
        <v>32</v>
      </c>
      <c r="F328" s="3">
        <v>44926</v>
      </c>
      <c r="G328">
        <v>2022</v>
      </c>
      <c r="H328" t="s">
        <v>44</v>
      </c>
      <c r="I328" t="s">
        <v>45</v>
      </c>
      <c r="K328">
        <v>6</v>
      </c>
      <c r="L328">
        <v>6</v>
      </c>
      <c r="M328">
        <v>1</v>
      </c>
      <c r="N328">
        <v>1</v>
      </c>
      <c r="O328" t="s">
        <v>35</v>
      </c>
      <c r="P328" t="s">
        <v>35</v>
      </c>
      <c r="Q328" t="s">
        <v>226</v>
      </c>
      <c r="R328">
        <v>0</v>
      </c>
      <c r="S328">
        <v>0</v>
      </c>
      <c r="T328" t="s">
        <v>443</v>
      </c>
      <c r="U328" t="s">
        <v>37</v>
      </c>
      <c r="V328" t="s">
        <v>216</v>
      </c>
      <c r="W328" t="s">
        <v>73</v>
      </c>
      <c r="X328" t="s">
        <v>218</v>
      </c>
      <c r="Y328" t="s">
        <v>219</v>
      </c>
      <c r="Z328" t="s">
        <v>86</v>
      </c>
      <c r="AA328" t="s">
        <v>87</v>
      </c>
      <c r="AB328" t="s">
        <v>78</v>
      </c>
      <c r="AC328" t="s">
        <v>66</v>
      </c>
    </row>
    <row r="329" spans="1:29" x14ac:dyDescent="0.3">
      <c r="A329">
        <v>325</v>
      </c>
      <c r="B329" t="s">
        <v>224</v>
      </c>
      <c r="C329" t="s">
        <v>216</v>
      </c>
      <c r="D329" t="s">
        <v>31</v>
      </c>
      <c r="E329" t="s">
        <v>32</v>
      </c>
      <c r="F329" s="3">
        <v>45107</v>
      </c>
      <c r="G329">
        <v>2023</v>
      </c>
      <c r="H329" t="s">
        <v>33</v>
      </c>
      <c r="I329" t="s">
        <v>47</v>
      </c>
      <c r="J329">
        <v>1</v>
      </c>
      <c r="K329">
        <v>1</v>
      </c>
      <c r="L329">
        <v>1</v>
      </c>
      <c r="M329">
        <v>1</v>
      </c>
      <c r="N329">
        <v>1</v>
      </c>
      <c r="O329" t="s">
        <v>35</v>
      </c>
      <c r="P329" t="s">
        <v>35</v>
      </c>
      <c r="Q329" t="s">
        <v>227</v>
      </c>
      <c r="R329">
        <v>0</v>
      </c>
      <c r="S329">
        <v>0</v>
      </c>
      <c r="T329" t="s">
        <v>31</v>
      </c>
      <c r="U329" t="s">
        <v>37</v>
      </c>
      <c r="V329" t="s">
        <v>216</v>
      </c>
      <c r="W329" t="s">
        <v>73</v>
      </c>
      <c r="X329" t="s">
        <v>218</v>
      </c>
      <c r="Y329" t="s">
        <v>219</v>
      </c>
      <c r="Z329" t="s">
        <v>86</v>
      </c>
      <c r="AA329" t="s">
        <v>87</v>
      </c>
      <c r="AB329" t="s">
        <v>78</v>
      </c>
      <c r="AC329" t="s">
        <v>66</v>
      </c>
    </row>
    <row r="330" spans="1:29" x14ac:dyDescent="0.3">
      <c r="A330">
        <v>325</v>
      </c>
      <c r="B330" t="s">
        <v>224</v>
      </c>
      <c r="C330" t="s">
        <v>216</v>
      </c>
      <c r="D330" t="s">
        <v>31</v>
      </c>
      <c r="E330" t="s">
        <v>32</v>
      </c>
      <c r="F330" s="3">
        <v>45291</v>
      </c>
      <c r="G330">
        <v>2023</v>
      </c>
      <c r="H330" t="s">
        <v>44</v>
      </c>
      <c r="I330" t="s">
        <v>49</v>
      </c>
      <c r="J330">
        <v>2</v>
      </c>
      <c r="K330">
        <v>0</v>
      </c>
      <c r="L330">
        <v>0</v>
      </c>
      <c r="Q330" t="s">
        <v>228</v>
      </c>
      <c r="R330">
        <v>0</v>
      </c>
      <c r="S330">
        <v>0</v>
      </c>
      <c r="T330" t="s">
        <v>31</v>
      </c>
      <c r="U330" t="s">
        <v>37</v>
      </c>
      <c r="V330" t="s">
        <v>216</v>
      </c>
      <c r="W330" t="s">
        <v>73</v>
      </c>
      <c r="X330" t="s">
        <v>218</v>
      </c>
      <c r="Y330" t="s">
        <v>219</v>
      </c>
      <c r="Z330" t="s">
        <v>86</v>
      </c>
      <c r="AA330" t="s">
        <v>87</v>
      </c>
      <c r="AB330" t="s">
        <v>78</v>
      </c>
      <c r="AC330" t="s">
        <v>66</v>
      </c>
    </row>
    <row r="331" spans="1:29" x14ac:dyDescent="0.3">
      <c r="A331">
        <v>325</v>
      </c>
      <c r="B331" t="s">
        <v>224</v>
      </c>
      <c r="C331" t="s">
        <v>216</v>
      </c>
      <c r="D331" t="s">
        <v>31</v>
      </c>
      <c r="E331" t="s">
        <v>32</v>
      </c>
      <c r="F331" s="3">
        <v>45291</v>
      </c>
      <c r="G331">
        <v>2023</v>
      </c>
      <c r="H331" t="s">
        <v>44</v>
      </c>
      <c r="I331" t="s">
        <v>49</v>
      </c>
      <c r="K331">
        <v>1</v>
      </c>
      <c r="L331">
        <v>1</v>
      </c>
      <c r="M331">
        <v>1</v>
      </c>
      <c r="N331">
        <v>1</v>
      </c>
      <c r="O331" t="s">
        <v>35</v>
      </c>
      <c r="P331" t="s">
        <v>35</v>
      </c>
      <c r="Q331" t="s">
        <v>228</v>
      </c>
      <c r="R331">
        <v>0</v>
      </c>
      <c r="S331">
        <v>0</v>
      </c>
      <c r="T331" t="s">
        <v>443</v>
      </c>
      <c r="U331" t="s">
        <v>37</v>
      </c>
      <c r="V331" t="s">
        <v>216</v>
      </c>
      <c r="W331" t="s">
        <v>73</v>
      </c>
      <c r="X331" t="s">
        <v>218</v>
      </c>
      <c r="Y331" t="s">
        <v>219</v>
      </c>
      <c r="Z331" t="s">
        <v>86</v>
      </c>
      <c r="AA331" t="s">
        <v>87</v>
      </c>
      <c r="AB331" t="s">
        <v>78</v>
      </c>
      <c r="AC331" t="s">
        <v>66</v>
      </c>
    </row>
    <row r="332" spans="1:29" x14ac:dyDescent="0.3">
      <c r="A332">
        <v>325</v>
      </c>
      <c r="B332" t="s">
        <v>224</v>
      </c>
      <c r="C332" t="s">
        <v>216</v>
      </c>
      <c r="D332" t="s">
        <v>31</v>
      </c>
      <c r="E332" t="s">
        <v>32</v>
      </c>
      <c r="F332" s="3">
        <v>45473</v>
      </c>
      <c r="G332">
        <v>2024</v>
      </c>
      <c r="H332" t="s">
        <v>33</v>
      </c>
      <c r="I332" t="s">
        <v>51</v>
      </c>
      <c r="J332">
        <v>1</v>
      </c>
      <c r="K332">
        <v>5</v>
      </c>
      <c r="L332">
        <v>5</v>
      </c>
      <c r="M332">
        <v>1</v>
      </c>
      <c r="N332">
        <v>1</v>
      </c>
      <c r="O332" t="s">
        <v>35</v>
      </c>
      <c r="P332" t="s">
        <v>35</v>
      </c>
      <c r="Q332" t="s">
        <v>229</v>
      </c>
      <c r="R332">
        <v>0</v>
      </c>
      <c r="S332">
        <v>0</v>
      </c>
      <c r="T332" t="s">
        <v>31</v>
      </c>
      <c r="U332" t="s">
        <v>37</v>
      </c>
      <c r="V332" t="s">
        <v>216</v>
      </c>
      <c r="W332" t="s">
        <v>73</v>
      </c>
      <c r="X332" t="s">
        <v>218</v>
      </c>
      <c r="Y332" t="s">
        <v>219</v>
      </c>
      <c r="Z332" t="s">
        <v>86</v>
      </c>
      <c r="AA332" t="s">
        <v>87</v>
      </c>
      <c r="AB332" t="s">
        <v>78</v>
      </c>
      <c r="AC332" t="s">
        <v>66</v>
      </c>
    </row>
    <row r="333" spans="1:29" x14ac:dyDescent="0.3">
      <c r="A333">
        <v>325</v>
      </c>
      <c r="B333" t="s">
        <v>224</v>
      </c>
      <c r="C333" t="s">
        <v>216</v>
      </c>
      <c r="D333" t="s">
        <v>31</v>
      </c>
      <c r="E333" t="s">
        <v>32</v>
      </c>
      <c r="F333" s="3">
        <v>45657</v>
      </c>
      <c r="G333">
        <v>2024</v>
      </c>
      <c r="H333" t="s">
        <v>44</v>
      </c>
      <c r="I333" t="s">
        <v>53</v>
      </c>
      <c r="J333">
        <v>2</v>
      </c>
      <c r="K333">
        <v>3</v>
      </c>
      <c r="L333">
        <v>3</v>
      </c>
      <c r="M333">
        <v>1</v>
      </c>
      <c r="N333">
        <v>1</v>
      </c>
      <c r="O333" t="s">
        <v>35</v>
      </c>
      <c r="P333" t="s">
        <v>35</v>
      </c>
      <c r="Q333" t="s">
        <v>230</v>
      </c>
      <c r="R333">
        <v>0</v>
      </c>
      <c r="S333">
        <v>0</v>
      </c>
      <c r="T333" t="s">
        <v>31</v>
      </c>
      <c r="U333" t="s">
        <v>37</v>
      </c>
      <c r="V333" t="s">
        <v>216</v>
      </c>
      <c r="W333" t="s">
        <v>73</v>
      </c>
      <c r="X333" t="s">
        <v>218</v>
      </c>
      <c r="Y333" t="s">
        <v>219</v>
      </c>
      <c r="Z333" t="s">
        <v>86</v>
      </c>
      <c r="AA333" t="s">
        <v>87</v>
      </c>
      <c r="AB333" t="s">
        <v>78</v>
      </c>
      <c r="AC333" t="s">
        <v>66</v>
      </c>
    </row>
    <row r="334" spans="1:29" x14ac:dyDescent="0.3">
      <c r="A334">
        <v>325</v>
      </c>
      <c r="B334" t="s">
        <v>224</v>
      </c>
      <c r="C334" t="s">
        <v>216</v>
      </c>
      <c r="D334" t="s">
        <v>31</v>
      </c>
      <c r="E334" t="s">
        <v>32</v>
      </c>
      <c r="F334" s="3">
        <v>45657</v>
      </c>
      <c r="G334">
        <v>2024</v>
      </c>
      <c r="H334" t="s">
        <v>44</v>
      </c>
      <c r="I334" t="s">
        <v>53</v>
      </c>
      <c r="K334">
        <v>8</v>
      </c>
      <c r="L334">
        <v>8</v>
      </c>
      <c r="M334">
        <v>1</v>
      </c>
      <c r="N334">
        <v>1</v>
      </c>
      <c r="O334" t="s">
        <v>35</v>
      </c>
      <c r="P334" t="s">
        <v>35</v>
      </c>
      <c r="Q334" t="s">
        <v>230</v>
      </c>
      <c r="R334">
        <v>0</v>
      </c>
      <c r="S334">
        <v>0</v>
      </c>
      <c r="T334" t="s">
        <v>443</v>
      </c>
      <c r="U334" t="s">
        <v>37</v>
      </c>
      <c r="V334" t="s">
        <v>216</v>
      </c>
      <c r="W334" t="s">
        <v>73</v>
      </c>
      <c r="X334" t="s">
        <v>218</v>
      </c>
      <c r="Y334" t="s">
        <v>219</v>
      </c>
      <c r="Z334" t="s">
        <v>86</v>
      </c>
      <c r="AA334" t="s">
        <v>87</v>
      </c>
      <c r="AB334" t="s">
        <v>78</v>
      </c>
      <c r="AC334" t="s">
        <v>66</v>
      </c>
    </row>
    <row r="335" spans="1:29" x14ac:dyDescent="0.3">
      <c r="A335">
        <v>325</v>
      </c>
      <c r="B335" t="s">
        <v>224</v>
      </c>
      <c r="C335" t="s">
        <v>216</v>
      </c>
      <c r="D335" t="s">
        <v>31</v>
      </c>
      <c r="E335" t="s">
        <v>32</v>
      </c>
      <c r="F335" s="3">
        <v>45838</v>
      </c>
      <c r="G335">
        <v>2025</v>
      </c>
      <c r="H335" t="s">
        <v>33</v>
      </c>
      <c r="I335" t="s">
        <v>404</v>
      </c>
      <c r="J335">
        <v>1</v>
      </c>
      <c r="K335">
        <v>8</v>
      </c>
      <c r="L335">
        <v>8</v>
      </c>
      <c r="M335">
        <v>1</v>
      </c>
      <c r="N335">
        <v>1</v>
      </c>
      <c r="O335" t="s">
        <v>35</v>
      </c>
      <c r="P335" t="s">
        <v>35</v>
      </c>
      <c r="Q335" t="s">
        <v>408</v>
      </c>
      <c r="R335">
        <v>0</v>
      </c>
      <c r="S335">
        <v>0</v>
      </c>
      <c r="T335" t="s">
        <v>31</v>
      </c>
      <c r="U335" t="s">
        <v>37</v>
      </c>
      <c r="V335" t="s">
        <v>216</v>
      </c>
      <c r="W335" t="s">
        <v>73</v>
      </c>
      <c r="X335" t="s">
        <v>218</v>
      </c>
      <c r="Y335" t="s">
        <v>219</v>
      </c>
      <c r="Z335" t="s">
        <v>86</v>
      </c>
      <c r="AA335" t="s">
        <v>87</v>
      </c>
      <c r="AB335" t="s">
        <v>78</v>
      </c>
      <c r="AC335" t="s">
        <v>66</v>
      </c>
    </row>
    <row r="336" spans="1:29" x14ac:dyDescent="0.3">
      <c r="A336">
        <v>325</v>
      </c>
      <c r="B336" t="s">
        <v>224</v>
      </c>
      <c r="C336" t="s">
        <v>216</v>
      </c>
      <c r="D336" t="s">
        <v>31</v>
      </c>
      <c r="E336" t="s">
        <v>32</v>
      </c>
      <c r="F336" s="3">
        <v>45838</v>
      </c>
      <c r="G336">
        <v>2025</v>
      </c>
      <c r="H336" t="s">
        <v>33</v>
      </c>
      <c r="I336" t="s">
        <v>404</v>
      </c>
      <c r="K336">
        <v>8</v>
      </c>
      <c r="L336">
        <v>8</v>
      </c>
      <c r="M336">
        <v>1</v>
      </c>
      <c r="N336">
        <v>1</v>
      </c>
      <c r="O336" t="s">
        <v>35</v>
      </c>
      <c r="P336" t="s">
        <v>35</v>
      </c>
      <c r="Q336" t="s">
        <v>408</v>
      </c>
      <c r="R336">
        <v>0</v>
      </c>
      <c r="S336">
        <v>0</v>
      </c>
      <c r="T336" t="s">
        <v>443</v>
      </c>
      <c r="U336" t="s">
        <v>37</v>
      </c>
      <c r="V336" t="s">
        <v>216</v>
      </c>
      <c r="W336" t="s">
        <v>73</v>
      </c>
      <c r="X336" t="s">
        <v>218</v>
      </c>
      <c r="Y336" t="s">
        <v>219</v>
      </c>
      <c r="Z336" t="s">
        <v>86</v>
      </c>
      <c r="AA336" t="s">
        <v>87</v>
      </c>
      <c r="AB336" t="s">
        <v>78</v>
      </c>
      <c r="AC336" t="s">
        <v>66</v>
      </c>
    </row>
    <row r="337" spans="1:29" x14ac:dyDescent="0.3">
      <c r="A337">
        <v>331</v>
      </c>
      <c r="B337" t="s">
        <v>231</v>
      </c>
      <c r="C337" t="s">
        <v>232</v>
      </c>
      <c r="D337" t="s">
        <v>66</v>
      </c>
      <c r="E337" t="s">
        <v>32</v>
      </c>
      <c r="F337" s="3">
        <v>45291</v>
      </c>
      <c r="G337">
        <v>2023</v>
      </c>
      <c r="H337" t="s">
        <v>44</v>
      </c>
      <c r="I337" t="s">
        <v>49</v>
      </c>
      <c r="J337">
        <v>2</v>
      </c>
      <c r="K337">
        <v>0</v>
      </c>
      <c r="L337">
        <v>81</v>
      </c>
      <c r="O337" t="s">
        <v>233</v>
      </c>
      <c r="P337" t="s">
        <v>58</v>
      </c>
      <c r="Q337" t="s">
        <v>234</v>
      </c>
      <c r="R337">
        <v>0</v>
      </c>
      <c r="S337">
        <v>0</v>
      </c>
      <c r="T337" t="s">
        <v>31</v>
      </c>
      <c r="U337" t="s">
        <v>37</v>
      </c>
      <c r="V337" t="s">
        <v>232</v>
      </c>
      <c r="W337" t="s">
        <v>145</v>
      </c>
      <c r="X337" t="s">
        <v>179</v>
      </c>
      <c r="Y337" t="s">
        <v>235</v>
      </c>
      <c r="Z337" t="s">
        <v>236</v>
      </c>
      <c r="AA337" t="s">
        <v>237</v>
      </c>
      <c r="AB337" t="s">
        <v>43</v>
      </c>
      <c r="AC337" t="s">
        <v>66</v>
      </c>
    </row>
    <row r="338" spans="1:29" x14ac:dyDescent="0.3">
      <c r="A338">
        <v>331</v>
      </c>
      <c r="B338" t="s">
        <v>231</v>
      </c>
      <c r="C338" t="s">
        <v>232</v>
      </c>
      <c r="D338" t="s">
        <v>66</v>
      </c>
      <c r="E338" t="s">
        <v>32</v>
      </c>
      <c r="F338" s="3">
        <v>45291</v>
      </c>
      <c r="G338">
        <v>2023</v>
      </c>
      <c r="H338" t="s">
        <v>44</v>
      </c>
      <c r="I338" t="s">
        <v>49</v>
      </c>
      <c r="L338">
        <v>81</v>
      </c>
      <c r="O338" t="s">
        <v>429</v>
      </c>
      <c r="P338" t="s">
        <v>58</v>
      </c>
      <c r="Q338" t="s">
        <v>234</v>
      </c>
      <c r="R338">
        <v>0</v>
      </c>
      <c r="S338">
        <v>0</v>
      </c>
      <c r="T338" t="s">
        <v>443</v>
      </c>
      <c r="U338" t="s">
        <v>37</v>
      </c>
      <c r="V338" t="s">
        <v>232</v>
      </c>
      <c r="W338" t="s">
        <v>145</v>
      </c>
      <c r="X338" t="s">
        <v>179</v>
      </c>
      <c r="Y338" t="s">
        <v>235</v>
      </c>
      <c r="Z338" t="s">
        <v>236</v>
      </c>
      <c r="AA338" t="s">
        <v>237</v>
      </c>
      <c r="AB338" t="s">
        <v>43</v>
      </c>
      <c r="AC338" t="s">
        <v>66</v>
      </c>
    </row>
    <row r="339" spans="1:29" x14ac:dyDescent="0.3">
      <c r="A339">
        <v>331</v>
      </c>
      <c r="B339" t="s">
        <v>231</v>
      </c>
      <c r="C339" t="s">
        <v>232</v>
      </c>
      <c r="D339" t="s">
        <v>66</v>
      </c>
      <c r="E339" t="s">
        <v>32</v>
      </c>
      <c r="F339" s="3">
        <v>45657</v>
      </c>
      <c r="G339">
        <v>2024</v>
      </c>
      <c r="H339" t="s">
        <v>44</v>
      </c>
      <c r="I339" t="s">
        <v>53</v>
      </c>
      <c r="J339">
        <v>2</v>
      </c>
      <c r="K339">
        <v>0</v>
      </c>
      <c r="L339">
        <v>82</v>
      </c>
      <c r="O339" t="s">
        <v>233</v>
      </c>
      <c r="P339" t="s">
        <v>58</v>
      </c>
      <c r="Q339" t="s">
        <v>238</v>
      </c>
      <c r="R339">
        <v>0</v>
      </c>
      <c r="S339">
        <v>0</v>
      </c>
      <c r="T339" t="s">
        <v>31</v>
      </c>
      <c r="U339" t="s">
        <v>37</v>
      </c>
      <c r="V339" t="s">
        <v>232</v>
      </c>
      <c r="W339" t="s">
        <v>145</v>
      </c>
      <c r="X339" t="s">
        <v>179</v>
      </c>
      <c r="Y339" t="s">
        <v>235</v>
      </c>
      <c r="Z339" t="s">
        <v>236</v>
      </c>
      <c r="AA339" t="s">
        <v>237</v>
      </c>
      <c r="AB339" t="s">
        <v>43</v>
      </c>
      <c r="AC339" t="s">
        <v>66</v>
      </c>
    </row>
    <row r="340" spans="1:29" x14ac:dyDescent="0.3">
      <c r="A340">
        <v>331</v>
      </c>
      <c r="B340" t="s">
        <v>231</v>
      </c>
      <c r="C340" t="s">
        <v>232</v>
      </c>
      <c r="D340" t="s">
        <v>66</v>
      </c>
      <c r="E340" t="s">
        <v>32</v>
      </c>
      <c r="F340" s="3">
        <v>45657</v>
      </c>
      <c r="G340">
        <v>2024</v>
      </c>
      <c r="H340" t="s">
        <v>44</v>
      </c>
      <c r="I340" t="s">
        <v>53</v>
      </c>
      <c r="L340">
        <v>82</v>
      </c>
      <c r="O340" t="s">
        <v>429</v>
      </c>
      <c r="P340" t="s">
        <v>58</v>
      </c>
      <c r="Q340" t="s">
        <v>238</v>
      </c>
      <c r="R340">
        <v>0</v>
      </c>
      <c r="S340">
        <v>0</v>
      </c>
      <c r="T340" t="s">
        <v>443</v>
      </c>
      <c r="U340" t="s">
        <v>37</v>
      </c>
      <c r="V340" t="s">
        <v>232</v>
      </c>
      <c r="W340" t="s">
        <v>145</v>
      </c>
      <c r="X340" t="s">
        <v>179</v>
      </c>
      <c r="Y340" t="s">
        <v>235</v>
      </c>
      <c r="Z340" t="s">
        <v>236</v>
      </c>
      <c r="AA340" t="s">
        <v>237</v>
      </c>
      <c r="AB340" t="s">
        <v>43</v>
      </c>
      <c r="AC340" t="s">
        <v>66</v>
      </c>
    </row>
    <row r="341" spans="1:29" x14ac:dyDescent="0.3">
      <c r="A341">
        <v>331</v>
      </c>
      <c r="B341" t="s">
        <v>231</v>
      </c>
      <c r="C341" t="s">
        <v>232</v>
      </c>
      <c r="D341" t="s">
        <v>66</v>
      </c>
      <c r="E341" t="s">
        <v>32</v>
      </c>
      <c r="F341" s="3">
        <v>45838</v>
      </c>
      <c r="G341">
        <v>2025</v>
      </c>
      <c r="H341" t="s">
        <v>33</v>
      </c>
      <c r="I341" t="s">
        <v>404</v>
      </c>
      <c r="J341">
        <v>1</v>
      </c>
      <c r="L341">
        <v>82</v>
      </c>
      <c r="O341" t="s">
        <v>429</v>
      </c>
      <c r="P341" t="s">
        <v>58</v>
      </c>
      <c r="Q341" t="s">
        <v>430</v>
      </c>
      <c r="R341">
        <v>0</v>
      </c>
      <c r="S341">
        <v>0</v>
      </c>
      <c r="T341" t="s">
        <v>31</v>
      </c>
      <c r="U341" t="s">
        <v>37</v>
      </c>
      <c r="V341" t="s">
        <v>232</v>
      </c>
      <c r="W341" t="s">
        <v>145</v>
      </c>
      <c r="X341" t="s">
        <v>179</v>
      </c>
      <c r="Y341" t="s">
        <v>235</v>
      </c>
      <c r="Z341" t="s">
        <v>236</v>
      </c>
      <c r="AA341" t="s">
        <v>237</v>
      </c>
      <c r="AB341" t="s">
        <v>43</v>
      </c>
      <c r="AC341" t="s">
        <v>66</v>
      </c>
    </row>
    <row r="342" spans="1:29" x14ac:dyDescent="0.3">
      <c r="A342">
        <v>331</v>
      </c>
      <c r="B342" t="s">
        <v>231</v>
      </c>
      <c r="C342" t="s">
        <v>232</v>
      </c>
      <c r="D342" t="s">
        <v>66</v>
      </c>
      <c r="E342" t="s">
        <v>32</v>
      </c>
      <c r="F342" s="3">
        <v>45838</v>
      </c>
      <c r="G342">
        <v>2025</v>
      </c>
      <c r="H342" t="s">
        <v>33</v>
      </c>
      <c r="I342" t="s">
        <v>404</v>
      </c>
      <c r="L342">
        <v>82</v>
      </c>
      <c r="O342" t="s">
        <v>429</v>
      </c>
      <c r="P342" t="s">
        <v>58</v>
      </c>
      <c r="Q342" t="s">
        <v>430</v>
      </c>
      <c r="R342">
        <v>0</v>
      </c>
      <c r="S342">
        <v>0</v>
      </c>
      <c r="T342" t="s">
        <v>443</v>
      </c>
      <c r="U342" t="s">
        <v>37</v>
      </c>
      <c r="V342" t="s">
        <v>232</v>
      </c>
      <c r="W342" t="s">
        <v>145</v>
      </c>
      <c r="X342" t="s">
        <v>179</v>
      </c>
      <c r="Y342" t="s">
        <v>235</v>
      </c>
      <c r="Z342" t="s">
        <v>236</v>
      </c>
      <c r="AA342" t="s">
        <v>237</v>
      </c>
      <c r="AB342" t="s">
        <v>43</v>
      </c>
      <c r="AC342" t="s">
        <v>66</v>
      </c>
    </row>
    <row r="343" spans="1:29" x14ac:dyDescent="0.3">
      <c r="A343">
        <v>332</v>
      </c>
      <c r="B343" t="s">
        <v>239</v>
      </c>
      <c r="C343" t="s">
        <v>130</v>
      </c>
      <c r="D343" t="s">
        <v>31</v>
      </c>
      <c r="E343" t="s">
        <v>171</v>
      </c>
      <c r="F343" s="3">
        <v>44742</v>
      </c>
      <c r="G343">
        <v>2022</v>
      </c>
      <c r="H343" t="s">
        <v>33</v>
      </c>
      <c r="I343" t="s">
        <v>34</v>
      </c>
      <c r="J343">
        <v>1</v>
      </c>
      <c r="K343">
        <v>1.6</v>
      </c>
      <c r="L343">
        <v>1.8</v>
      </c>
      <c r="M343">
        <v>0.88888888888888895</v>
      </c>
      <c r="N343">
        <v>0.88888888888888895</v>
      </c>
      <c r="Q343" t="s">
        <v>240</v>
      </c>
      <c r="R343">
        <v>1</v>
      </c>
      <c r="S343">
        <v>1</v>
      </c>
      <c r="T343" t="s">
        <v>31</v>
      </c>
      <c r="U343" t="s">
        <v>37</v>
      </c>
      <c r="V343" t="s">
        <v>130</v>
      </c>
      <c r="W343" t="s">
        <v>60</v>
      </c>
      <c r="X343" t="s">
        <v>100</v>
      </c>
      <c r="Y343" t="s">
        <v>241</v>
      </c>
      <c r="Z343" t="s">
        <v>134</v>
      </c>
      <c r="AA343" t="s">
        <v>135</v>
      </c>
      <c r="AB343" t="s">
        <v>65</v>
      </c>
      <c r="AC343" t="s">
        <v>66</v>
      </c>
    </row>
    <row r="344" spans="1:29" x14ac:dyDescent="0.3">
      <c r="A344">
        <v>332</v>
      </c>
      <c r="B344" t="s">
        <v>239</v>
      </c>
      <c r="C344" t="s">
        <v>130</v>
      </c>
      <c r="D344" t="s">
        <v>31</v>
      </c>
      <c r="E344" t="s">
        <v>171</v>
      </c>
      <c r="F344" s="3">
        <v>44926</v>
      </c>
      <c r="G344">
        <v>2022</v>
      </c>
      <c r="H344" t="s">
        <v>44</v>
      </c>
      <c r="I344" t="s">
        <v>45</v>
      </c>
      <c r="J344">
        <v>2</v>
      </c>
      <c r="K344">
        <v>1.6</v>
      </c>
      <c r="L344">
        <v>1.75</v>
      </c>
      <c r="M344">
        <v>0.91428571428571437</v>
      </c>
      <c r="N344">
        <v>0.91428571428571437</v>
      </c>
      <c r="Q344" t="s">
        <v>242</v>
      </c>
      <c r="R344">
        <v>1</v>
      </c>
      <c r="S344">
        <v>1</v>
      </c>
      <c r="T344" t="s">
        <v>31</v>
      </c>
      <c r="U344" t="s">
        <v>37</v>
      </c>
      <c r="V344" t="s">
        <v>130</v>
      </c>
      <c r="W344" t="s">
        <v>60</v>
      </c>
      <c r="X344" t="s">
        <v>100</v>
      </c>
      <c r="Y344" t="s">
        <v>241</v>
      </c>
      <c r="Z344" t="s">
        <v>134</v>
      </c>
      <c r="AA344" t="s">
        <v>135</v>
      </c>
      <c r="AB344" t="s">
        <v>65</v>
      </c>
      <c r="AC344" t="s">
        <v>66</v>
      </c>
    </row>
    <row r="345" spans="1:29" x14ac:dyDescent="0.3">
      <c r="A345">
        <v>332</v>
      </c>
      <c r="B345" t="s">
        <v>239</v>
      </c>
      <c r="C345" t="s">
        <v>130</v>
      </c>
      <c r="D345" t="s">
        <v>31</v>
      </c>
      <c r="E345" t="s">
        <v>171</v>
      </c>
      <c r="F345" s="3">
        <v>44926</v>
      </c>
      <c r="G345">
        <v>2022</v>
      </c>
      <c r="H345" t="s">
        <v>44</v>
      </c>
      <c r="I345" t="s">
        <v>45</v>
      </c>
      <c r="K345">
        <v>1.6</v>
      </c>
      <c r="L345">
        <v>1.75</v>
      </c>
      <c r="M345">
        <v>0.91428571428571437</v>
      </c>
      <c r="N345">
        <v>0.91428571428571437</v>
      </c>
      <c r="O345" t="s">
        <v>245</v>
      </c>
      <c r="P345" t="s">
        <v>245</v>
      </c>
      <c r="Q345" t="s">
        <v>242</v>
      </c>
      <c r="R345">
        <v>1</v>
      </c>
      <c r="S345">
        <v>1</v>
      </c>
      <c r="T345" t="s">
        <v>443</v>
      </c>
      <c r="U345" t="s">
        <v>37</v>
      </c>
      <c r="V345" t="s">
        <v>130</v>
      </c>
      <c r="W345" t="s">
        <v>60</v>
      </c>
      <c r="X345" t="s">
        <v>100</v>
      </c>
      <c r="Y345" t="s">
        <v>241</v>
      </c>
      <c r="Z345" t="s">
        <v>134</v>
      </c>
      <c r="AA345" t="s">
        <v>135</v>
      </c>
      <c r="AB345" t="s">
        <v>65</v>
      </c>
      <c r="AC345" t="s">
        <v>66</v>
      </c>
    </row>
    <row r="346" spans="1:29" x14ac:dyDescent="0.3">
      <c r="A346">
        <v>332</v>
      </c>
      <c r="B346" t="s">
        <v>239</v>
      </c>
      <c r="C346" t="s">
        <v>130</v>
      </c>
      <c r="D346" t="s">
        <v>31</v>
      </c>
      <c r="E346" t="s">
        <v>171</v>
      </c>
      <c r="F346" s="3">
        <v>45107</v>
      </c>
      <c r="G346">
        <v>2023</v>
      </c>
      <c r="H346" t="s">
        <v>33</v>
      </c>
      <c r="I346" t="s">
        <v>47</v>
      </c>
      <c r="J346">
        <v>1</v>
      </c>
      <c r="K346">
        <v>1.8</v>
      </c>
      <c r="L346">
        <v>1.57</v>
      </c>
      <c r="M346">
        <v>1.1464968152866239</v>
      </c>
      <c r="N346">
        <v>1.1464968152866239</v>
      </c>
      <c r="Q346" t="s">
        <v>243</v>
      </c>
      <c r="R346">
        <v>1</v>
      </c>
      <c r="S346">
        <v>1</v>
      </c>
      <c r="T346" t="s">
        <v>31</v>
      </c>
      <c r="U346" t="s">
        <v>37</v>
      </c>
      <c r="V346" t="s">
        <v>130</v>
      </c>
      <c r="W346" t="s">
        <v>60</v>
      </c>
      <c r="X346" t="s">
        <v>100</v>
      </c>
      <c r="Y346" t="s">
        <v>241</v>
      </c>
      <c r="Z346" t="s">
        <v>134</v>
      </c>
      <c r="AA346" t="s">
        <v>135</v>
      </c>
      <c r="AB346" t="s">
        <v>65</v>
      </c>
      <c r="AC346" t="s">
        <v>66</v>
      </c>
    </row>
    <row r="347" spans="1:29" x14ac:dyDescent="0.3">
      <c r="A347">
        <v>332</v>
      </c>
      <c r="B347" t="s">
        <v>239</v>
      </c>
      <c r="C347" t="s">
        <v>130</v>
      </c>
      <c r="D347" t="s">
        <v>31</v>
      </c>
      <c r="E347" t="s">
        <v>171</v>
      </c>
      <c r="F347" s="3">
        <v>45291</v>
      </c>
      <c r="G347">
        <v>2023</v>
      </c>
      <c r="H347" t="s">
        <v>44</v>
      </c>
      <c r="I347" t="s">
        <v>49</v>
      </c>
      <c r="J347">
        <v>2</v>
      </c>
      <c r="K347">
        <v>1.8</v>
      </c>
      <c r="L347">
        <v>1.3</v>
      </c>
      <c r="M347">
        <v>1.3</v>
      </c>
      <c r="N347">
        <v>1.384615384615385</v>
      </c>
      <c r="Q347" t="s">
        <v>244</v>
      </c>
      <c r="R347">
        <v>1</v>
      </c>
      <c r="S347">
        <v>1</v>
      </c>
      <c r="T347" t="s">
        <v>31</v>
      </c>
      <c r="U347" t="s">
        <v>37</v>
      </c>
      <c r="V347" t="s">
        <v>130</v>
      </c>
      <c r="W347" t="s">
        <v>60</v>
      </c>
      <c r="X347" t="s">
        <v>100</v>
      </c>
      <c r="Y347" t="s">
        <v>241</v>
      </c>
      <c r="Z347" t="s">
        <v>134</v>
      </c>
      <c r="AA347" t="s">
        <v>135</v>
      </c>
      <c r="AB347" t="s">
        <v>65</v>
      </c>
      <c r="AC347" t="s">
        <v>66</v>
      </c>
    </row>
    <row r="348" spans="1:29" x14ac:dyDescent="0.3">
      <c r="A348">
        <v>332</v>
      </c>
      <c r="B348" t="s">
        <v>239</v>
      </c>
      <c r="C348" t="s">
        <v>130</v>
      </c>
      <c r="D348" t="s">
        <v>31</v>
      </c>
      <c r="E348" t="s">
        <v>171</v>
      </c>
      <c r="F348" s="3">
        <v>45291</v>
      </c>
      <c r="G348">
        <v>2023</v>
      </c>
      <c r="H348" t="s">
        <v>44</v>
      </c>
      <c r="I348" t="s">
        <v>49</v>
      </c>
      <c r="K348">
        <v>1.8</v>
      </c>
      <c r="L348">
        <v>1.4</v>
      </c>
      <c r="M348">
        <v>1.285714285714286</v>
      </c>
      <c r="N348">
        <v>1.285714285714286</v>
      </c>
      <c r="O348" t="s">
        <v>245</v>
      </c>
      <c r="P348" t="s">
        <v>245</v>
      </c>
      <c r="Q348" t="s">
        <v>244</v>
      </c>
      <c r="R348">
        <v>1</v>
      </c>
      <c r="S348">
        <v>1</v>
      </c>
      <c r="T348" t="s">
        <v>443</v>
      </c>
      <c r="U348" t="s">
        <v>37</v>
      </c>
      <c r="V348" t="s">
        <v>130</v>
      </c>
      <c r="W348" t="s">
        <v>60</v>
      </c>
      <c r="X348" t="s">
        <v>100</v>
      </c>
      <c r="Y348" t="s">
        <v>241</v>
      </c>
      <c r="Z348" t="s">
        <v>134</v>
      </c>
      <c r="AA348" t="s">
        <v>135</v>
      </c>
      <c r="AB348" t="s">
        <v>65</v>
      </c>
      <c r="AC348" t="s">
        <v>66</v>
      </c>
    </row>
    <row r="349" spans="1:29" x14ac:dyDescent="0.3">
      <c r="A349">
        <v>332</v>
      </c>
      <c r="B349" t="s">
        <v>239</v>
      </c>
      <c r="C349" t="s">
        <v>130</v>
      </c>
      <c r="D349" t="s">
        <v>31</v>
      </c>
      <c r="E349" t="s">
        <v>171</v>
      </c>
      <c r="F349" s="3">
        <v>45473</v>
      </c>
      <c r="G349">
        <v>2024</v>
      </c>
      <c r="H349" t="s">
        <v>33</v>
      </c>
      <c r="I349" t="s">
        <v>51</v>
      </c>
      <c r="J349">
        <v>1</v>
      </c>
      <c r="K349">
        <v>1.5</v>
      </c>
      <c r="L349">
        <v>1.48</v>
      </c>
      <c r="M349">
        <v>1.013513513513514</v>
      </c>
      <c r="N349">
        <v>1.013513513513514</v>
      </c>
      <c r="O349" t="s">
        <v>245</v>
      </c>
      <c r="P349" t="s">
        <v>245</v>
      </c>
      <c r="Q349" t="s">
        <v>246</v>
      </c>
      <c r="R349">
        <v>1</v>
      </c>
      <c r="S349">
        <v>1</v>
      </c>
      <c r="T349" t="s">
        <v>31</v>
      </c>
      <c r="U349" t="s">
        <v>37</v>
      </c>
      <c r="V349" t="s">
        <v>130</v>
      </c>
      <c r="W349" t="s">
        <v>60</v>
      </c>
      <c r="X349" t="s">
        <v>100</v>
      </c>
      <c r="Y349" t="s">
        <v>241</v>
      </c>
      <c r="Z349" t="s">
        <v>134</v>
      </c>
      <c r="AA349" t="s">
        <v>135</v>
      </c>
      <c r="AB349" t="s">
        <v>65</v>
      </c>
      <c r="AC349" t="s">
        <v>66</v>
      </c>
    </row>
    <row r="350" spans="1:29" x14ac:dyDescent="0.3">
      <c r="A350">
        <v>332</v>
      </c>
      <c r="B350" t="s">
        <v>239</v>
      </c>
      <c r="C350" t="s">
        <v>130</v>
      </c>
      <c r="D350" t="s">
        <v>31</v>
      </c>
      <c r="E350" t="s">
        <v>171</v>
      </c>
      <c r="F350" s="3">
        <v>45657</v>
      </c>
      <c r="G350">
        <v>2024</v>
      </c>
      <c r="H350" t="s">
        <v>44</v>
      </c>
      <c r="I350" t="s">
        <v>53</v>
      </c>
      <c r="J350">
        <v>2</v>
      </c>
      <c r="K350">
        <v>1.8</v>
      </c>
      <c r="L350">
        <v>0.82</v>
      </c>
      <c r="M350">
        <v>0.45555555555555549</v>
      </c>
      <c r="N350">
        <v>0.45555555555555549</v>
      </c>
      <c r="Q350" t="s">
        <v>247</v>
      </c>
      <c r="R350">
        <v>0</v>
      </c>
      <c r="S350">
        <v>0</v>
      </c>
      <c r="T350" t="s">
        <v>31</v>
      </c>
      <c r="U350" t="s">
        <v>37</v>
      </c>
      <c r="V350" t="s">
        <v>130</v>
      </c>
      <c r="W350" t="s">
        <v>60</v>
      </c>
      <c r="X350" t="s">
        <v>100</v>
      </c>
      <c r="Y350" t="s">
        <v>241</v>
      </c>
      <c r="Z350" t="s">
        <v>134</v>
      </c>
      <c r="AA350" t="s">
        <v>135</v>
      </c>
      <c r="AB350" t="s">
        <v>65</v>
      </c>
      <c r="AC350" t="s">
        <v>66</v>
      </c>
    </row>
    <row r="351" spans="1:29" x14ac:dyDescent="0.3">
      <c r="A351">
        <v>332</v>
      </c>
      <c r="B351" t="s">
        <v>239</v>
      </c>
      <c r="C351" t="s">
        <v>130</v>
      </c>
      <c r="D351" t="s">
        <v>31</v>
      </c>
      <c r="E351" t="s">
        <v>171</v>
      </c>
      <c r="F351" s="3">
        <v>45657</v>
      </c>
      <c r="G351">
        <v>2024</v>
      </c>
      <c r="H351" t="s">
        <v>44</v>
      </c>
      <c r="I351" t="s">
        <v>53</v>
      </c>
      <c r="K351">
        <v>1.5</v>
      </c>
      <c r="L351">
        <v>1.1499999999999999</v>
      </c>
      <c r="M351">
        <v>1.3</v>
      </c>
      <c r="N351">
        <v>1.304347826086957</v>
      </c>
      <c r="O351" t="s">
        <v>245</v>
      </c>
      <c r="P351" t="s">
        <v>245</v>
      </c>
      <c r="Q351" t="s">
        <v>247</v>
      </c>
      <c r="R351">
        <v>1</v>
      </c>
      <c r="S351">
        <v>2</v>
      </c>
      <c r="T351" t="s">
        <v>443</v>
      </c>
      <c r="U351" t="s">
        <v>37</v>
      </c>
      <c r="V351" t="s">
        <v>130</v>
      </c>
      <c r="W351" t="s">
        <v>60</v>
      </c>
      <c r="X351" t="s">
        <v>100</v>
      </c>
      <c r="Y351" t="s">
        <v>241</v>
      </c>
      <c r="Z351" t="s">
        <v>134</v>
      </c>
      <c r="AA351" t="s">
        <v>135</v>
      </c>
      <c r="AB351" t="s">
        <v>65</v>
      </c>
      <c r="AC351" t="s">
        <v>66</v>
      </c>
    </row>
    <row r="352" spans="1:29" x14ac:dyDescent="0.3">
      <c r="A352">
        <v>332</v>
      </c>
      <c r="B352" t="s">
        <v>239</v>
      </c>
      <c r="C352" t="s">
        <v>130</v>
      </c>
      <c r="D352" t="s">
        <v>31</v>
      </c>
      <c r="E352" t="s">
        <v>171</v>
      </c>
      <c r="F352" s="3">
        <v>45838</v>
      </c>
      <c r="G352">
        <v>2025</v>
      </c>
      <c r="H352" t="s">
        <v>33</v>
      </c>
      <c r="I352" t="s">
        <v>404</v>
      </c>
      <c r="J352">
        <v>1</v>
      </c>
      <c r="K352">
        <v>1.4</v>
      </c>
      <c r="L352">
        <v>0.85</v>
      </c>
      <c r="M352">
        <v>1.3</v>
      </c>
      <c r="N352">
        <v>1.6470588235294119</v>
      </c>
      <c r="O352" t="s">
        <v>245</v>
      </c>
      <c r="P352" t="s">
        <v>245</v>
      </c>
      <c r="Q352" t="s">
        <v>431</v>
      </c>
      <c r="R352">
        <v>2</v>
      </c>
      <c r="S352">
        <v>2</v>
      </c>
      <c r="T352" t="s">
        <v>31</v>
      </c>
      <c r="U352" t="s">
        <v>37</v>
      </c>
      <c r="V352" t="s">
        <v>130</v>
      </c>
      <c r="W352" t="s">
        <v>60</v>
      </c>
      <c r="X352" t="s">
        <v>100</v>
      </c>
      <c r="Y352" t="s">
        <v>241</v>
      </c>
      <c r="Z352" t="s">
        <v>134</v>
      </c>
      <c r="AA352" t="s">
        <v>135</v>
      </c>
      <c r="AB352" t="s">
        <v>65</v>
      </c>
      <c r="AC352" t="s">
        <v>66</v>
      </c>
    </row>
    <row r="353" spans="1:29" x14ac:dyDescent="0.3">
      <c r="A353">
        <v>332</v>
      </c>
      <c r="B353" t="s">
        <v>239</v>
      </c>
      <c r="C353" t="s">
        <v>130</v>
      </c>
      <c r="D353" t="s">
        <v>31</v>
      </c>
      <c r="E353" t="s">
        <v>171</v>
      </c>
      <c r="F353" s="3">
        <v>45838</v>
      </c>
      <c r="G353">
        <v>2025</v>
      </c>
      <c r="H353" t="s">
        <v>33</v>
      </c>
      <c r="I353" t="s">
        <v>404</v>
      </c>
      <c r="K353">
        <v>1.5</v>
      </c>
      <c r="L353">
        <v>1.1499999999999999</v>
      </c>
      <c r="M353">
        <v>1.3</v>
      </c>
      <c r="N353">
        <v>1.304347826086957</v>
      </c>
      <c r="O353" t="s">
        <v>245</v>
      </c>
      <c r="P353" t="s">
        <v>245</v>
      </c>
      <c r="Q353" t="s">
        <v>431</v>
      </c>
      <c r="R353">
        <v>2</v>
      </c>
      <c r="S353">
        <v>2</v>
      </c>
      <c r="T353" t="s">
        <v>443</v>
      </c>
      <c r="U353" t="s">
        <v>37</v>
      </c>
      <c r="V353" t="s">
        <v>130</v>
      </c>
      <c r="W353" t="s">
        <v>60</v>
      </c>
      <c r="X353" t="s">
        <v>100</v>
      </c>
      <c r="Y353" t="s">
        <v>241</v>
      </c>
      <c r="Z353" t="s">
        <v>134</v>
      </c>
      <c r="AA353" t="s">
        <v>135</v>
      </c>
      <c r="AB353" t="s">
        <v>65</v>
      </c>
      <c r="AC353" t="s">
        <v>66</v>
      </c>
    </row>
    <row r="354" spans="1:29" x14ac:dyDescent="0.3">
      <c r="A354">
        <v>334</v>
      </c>
      <c r="B354" t="s">
        <v>248</v>
      </c>
      <c r="C354" t="s">
        <v>130</v>
      </c>
      <c r="D354" t="s">
        <v>66</v>
      </c>
      <c r="E354" t="s">
        <v>32</v>
      </c>
      <c r="F354" s="3">
        <v>44926</v>
      </c>
      <c r="G354">
        <v>2022</v>
      </c>
      <c r="H354" t="s">
        <v>44</v>
      </c>
      <c r="I354" t="s">
        <v>45</v>
      </c>
      <c r="K354">
        <v>86</v>
      </c>
      <c r="L354">
        <v>86</v>
      </c>
      <c r="M354">
        <v>1</v>
      </c>
      <c r="N354">
        <v>1</v>
      </c>
      <c r="O354" t="s">
        <v>35</v>
      </c>
      <c r="P354" t="s">
        <v>35</v>
      </c>
      <c r="Q354" t="s">
        <v>448</v>
      </c>
      <c r="R354">
        <v>0</v>
      </c>
      <c r="S354">
        <v>0</v>
      </c>
      <c r="T354" t="s">
        <v>443</v>
      </c>
      <c r="U354" t="s">
        <v>37</v>
      </c>
      <c r="V354" t="s">
        <v>130</v>
      </c>
      <c r="W354" t="s">
        <v>60</v>
      </c>
      <c r="X354" t="s">
        <v>100</v>
      </c>
      <c r="Y354" t="s">
        <v>241</v>
      </c>
      <c r="Z354" t="s">
        <v>134</v>
      </c>
      <c r="AA354" t="s">
        <v>250</v>
      </c>
      <c r="AB354" t="s">
        <v>43</v>
      </c>
      <c r="AC354" t="s">
        <v>66</v>
      </c>
    </row>
    <row r="355" spans="1:29" x14ac:dyDescent="0.3">
      <c r="A355">
        <v>334</v>
      </c>
      <c r="B355" t="s">
        <v>248</v>
      </c>
      <c r="C355" t="s">
        <v>130</v>
      </c>
      <c r="D355" t="s">
        <v>66</v>
      </c>
      <c r="E355" t="s">
        <v>32</v>
      </c>
      <c r="F355" s="3">
        <v>45291</v>
      </c>
      <c r="G355">
        <v>2023</v>
      </c>
      <c r="H355" t="s">
        <v>44</v>
      </c>
      <c r="I355" t="s">
        <v>49</v>
      </c>
      <c r="J355">
        <v>2</v>
      </c>
      <c r="K355">
        <v>88</v>
      </c>
      <c r="L355">
        <v>88.39</v>
      </c>
      <c r="M355">
        <v>1.0044318181818179</v>
      </c>
      <c r="N355">
        <v>1.0044318181818179</v>
      </c>
      <c r="Q355" t="s">
        <v>249</v>
      </c>
      <c r="R355">
        <v>0</v>
      </c>
      <c r="S355">
        <v>0</v>
      </c>
      <c r="T355" t="s">
        <v>31</v>
      </c>
      <c r="U355" t="s">
        <v>37</v>
      </c>
      <c r="V355" t="s">
        <v>130</v>
      </c>
      <c r="W355" t="s">
        <v>60</v>
      </c>
      <c r="X355" t="s">
        <v>100</v>
      </c>
      <c r="Y355" t="s">
        <v>241</v>
      </c>
      <c r="Z355" t="s">
        <v>134</v>
      </c>
      <c r="AA355" t="s">
        <v>250</v>
      </c>
      <c r="AB355" t="s">
        <v>43</v>
      </c>
      <c r="AC355" t="s">
        <v>66</v>
      </c>
    </row>
    <row r="356" spans="1:29" x14ac:dyDescent="0.3">
      <c r="A356">
        <v>334</v>
      </c>
      <c r="B356" t="s">
        <v>248</v>
      </c>
      <c r="C356" t="s">
        <v>130</v>
      </c>
      <c r="D356" t="s">
        <v>66</v>
      </c>
      <c r="E356" t="s">
        <v>32</v>
      </c>
      <c r="F356" s="3">
        <v>45291</v>
      </c>
      <c r="G356">
        <v>2023</v>
      </c>
      <c r="H356" t="s">
        <v>44</v>
      </c>
      <c r="I356" t="s">
        <v>49</v>
      </c>
      <c r="K356">
        <v>88</v>
      </c>
      <c r="L356">
        <v>88.39</v>
      </c>
      <c r="M356">
        <v>1.0044318181818179</v>
      </c>
      <c r="N356">
        <v>1.0044318181818179</v>
      </c>
      <c r="O356" t="s">
        <v>35</v>
      </c>
      <c r="P356" t="s">
        <v>245</v>
      </c>
      <c r="Q356" t="s">
        <v>249</v>
      </c>
      <c r="R356">
        <v>0</v>
      </c>
      <c r="S356">
        <v>1</v>
      </c>
      <c r="T356" t="s">
        <v>443</v>
      </c>
      <c r="U356" t="s">
        <v>37</v>
      </c>
      <c r="V356" t="s">
        <v>130</v>
      </c>
      <c r="W356" t="s">
        <v>60</v>
      </c>
      <c r="X356" t="s">
        <v>100</v>
      </c>
      <c r="Y356" t="s">
        <v>241</v>
      </c>
      <c r="Z356" t="s">
        <v>134</v>
      </c>
      <c r="AA356" t="s">
        <v>250</v>
      </c>
      <c r="AB356" t="s">
        <v>43</v>
      </c>
      <c r="AC356" t="s">
        <v>66</v>
      </c>
    </row>
    <row r="357" spans="1:29" x14ac:dyDescent="0.3">
      <c r="A357">
        <v>334</v>
      </c>
      <c r="B357" t="s">
        <v>248</v>
      </c>
      <c r="C357" t="s">
        <v>130</v>
      </c>
      <c r="D357" t="s">
        <v>66</v>
      </c>
      <c r="E357" t="s">
        <v>32</v>
      </c>
      <c r="F357" s="3">
        <v>45657</v>
      </c>
      <c r="G357">
        <v>2024</v>
      </c>
      <c r="H357" t="s">
        <v>44</v>
      </c>
      <c r="I357" t="s">
        <v>53</v>
      </c>
      <c r="J357">
        <v>2</v>
      </c>
      <c r="K357">
        <v>88</v>
      </c>
      <c r="L357">
        <v>88.84</v>
      </c>
      <c r="M357">
        <v>1.009545454545455</v>
      </c>
      <c r="N357">
        <v>1.009545454545455</v>
      </c>
      <c r="Q357" t="s">
        <v>251</v>
      </c>
      <c r="R357">
        <v>0</v>
      </c>
      <c r="S357">
        <v>0</v>
      </c>
      <c r="T357" t="s">
        <v>31</v>
      </c>
      <c r="U357" t="s">
        <v>37</v>
      </c>
      <c r="V357" t="s">
        <v>130</v>
      </c>
      <c r="W357" t="s">
        <v>60</v>
      </c>
      <c r="X357" t="s">
        <v>100</v>
      </c>
      <c r="Y357" t="s">
        <v>241</v>
      </c>
      <c r="Z357" t="s">
        <v>134</v>
      </c>
      <c r="AA357" t="s">
        <v>250</v>
      </c>
      <c r="AB357" t="s">
        <v>43</v>
      </c>
      <c r="AC357" t="s">
        <v>66</v>
      </c>
    </row>
    <row r="358" spans="1:29" x14ac:dyDescent="0.3">
      <c r="A358">
        <v>334</v>
      </c>
      <c r="B358" t="s">
        <v>248</v>
      </c>
      <c r="C358" t="s">
        <v>130</v>
      </c>
      <c r="D358" t="s">
        <v>66</v>
      </c>
      <c r="E358" t="s">
        <v>32</v>
      </c>
      <c r="F358" s="3">
        <v>45657</v>
      </c>
      <c r="G358">
        <v>2024</v>
      </c>
      <c r="H358" t="s">
        <v>44</v>
      </c>
      <c r="I358" t="s">
        <v>53</v>
      </c>
      <c r="K358">
        <v>88</v>
      </c>
      <c r="L358">
        <v>88.84</v>
      </c>
      <c r="M358">
        <v>1.009545454545455</v>
      </c>
      <c r="N358">
        <v>1.009545454545455</v>
      </c>
      <c r="O358" t="s">
        <v>35</v>
      </c>
      <c r="P358" t="s">
        <v>245</v>
      </c>
      <c r="Q358" t="s">
        <v>251</v>
      </c>
      <c r="R358">
        <v>0</v>
      </c>
      <c r="S358">
        <v>1</v>
      </c>
      <c r="T358" t="s">
        <v>443</v>
      </c>
      <c r="U358" t="s">
        <v>37</v>
      </c>
      <c r="V358" t="s">
        <v>130</v>
      </c>
      <c r="W358" t="s">
        <v>60</v>
      </c>
      <c r="X358" t="s">
        <v>100</v>
      </c>
      <c r="Y358" t="s">
        <v>241</v>
      </c>
      <c r="Z358" t="s">
        <v>134</v>
      </c>
      <c r="AA358" t="s">
        <v>250</v>
      </c>
      <c r="AB358" t="s">
        <v>43</v>
      </c>
      <c r="AC358" t="s">
        <v>66</v>
      </c>
    </row>
    <row r="359" spans="1:29" x14ac:dyDescent="0.3">
      <c r="A359">
        <v>334</v>
      </c>
      <c r="B359" t="s">
        <v>248</v>
      </c>
      <c r="C359" t="s">
        <v>130</v>
      </c>
      <c r="D359" t="s">
        <v>66</v>
      </c>
      <c r="E359" t="s">
        <v>32</v>
      </c>
      <c r="F359" s="3">
        <v>45838</v>
      </c>
      <c r="G359">
        <v>2025</v>
      </c>
      <c r="H359" t="s">
        <v>33</v>
      </c>
      <c r="I359" t="s">
        <v>404</v>
      </c>
      <c r="K359">
        <v>88</v>
      </c>
      <c r="L359">
        <v>88.84</v>
      </c>
      <c r="M359">
        <v>1.009545454545455</v>
      </c>
      <c r="N359">
        <v>1.009545454545455</v>
      </c>
      <c r="O359" t="s">
        <v>35</v>
      </c>
      <c r="P359" t="s">
        <v>245</v>
      </c>
      <c r="Q359" t="s">
        <v>467</v>
      </c>
      <c r="R359">
        <v>0</v>
      </c>
      <c r="S359">
        <v>1</v>
      </c>
      <c r="T359" t="s">
        <v>443</v>
      </c>
      <c r="U359" t="s">
        <v>37</v>
      </c>
      <c r="V359" t="s">
        <v>130</v>
      </c>
      <c r="W359" t="s">
        <v>60</v>
      </c>
      <c r="X359" t="s">
        <v>100</v>
      </c>
      <c r="Y359" t="s">
        <v>241</v>
      </c>
      <c r="Z359" t="s">
        <v>134</v>
      </c>
      <c r="AA359" t="s">
        <v>250</v>
      </c>
      <c r="AB359" t="s">
        <v>43</v>
      </c>
      <c r="AC359" t="s">
        <v>66</v>
      </c>
    </row>
    <row r="360" spans="1:29" x14ac:dyDescent="0.3">
      <c r="A360">
        <v>335</v>
      </c>
      <c r="B360" t="s">
        <v>252</v>
      </c>
      <c r="C360" t="s">
        <v>130</v>
      </c>
      <c r="D360" t="s">
        <v>66</v>
      </c>
      <c r="E360" t="s">
        <v>32</v>
      </c>
      <c r="F360" s="3">
        <v>45291</v>
      </c>
      <c r="G360">
        <v>2023</v>
      </c>
      <c r="H360" t="s">
        <v>44</v>
      </c>
      <c r="I360" t="s">
        <v>49</v>
      </c>
      <c r="J360">
        <v>2</v>
      </c>
      <c r="K360">
        <v>80</v>
      </c>
      <c r="L360">
        <v>93.85</v>
      </c>
      <c r="M360">
        <v>1.173125</v>
      </c>
      <c r="N360">
        <v>1.173125</v>
      </c>
      <c r="O360" t="s">
        <v>58</v>
      </c>
      <c r="P360" t="s">
        <v>58</v>
      </c>
      <c r="Q360" t="s">
        <v>253</v>
      </c>
      <c r="R360">
        <v>0</v>
      </c>
      <c r="S360">
        <v>0</v>
      </c>
      <c r="T360" t="s">
        <v>31</v>
      </c>
      <c r="U360" t="s">
        <v>37</v>
      </c>
      <c r="V360" t="s">
        <v>130</v>
      </c>
      <c r="W360" t="s">
        <v>60</v>
      </c>
      <c r="X360" t="s">
        <v>100</v>
      </c>
      <c r="Z360" t="s">
        <v>134</v>
      </c>
      <c r="AA360" t="s">
        <v>135</v>
      </c>
      <c r="AB360" t="s">
        <v>43</v>
      </c>
      <c r="AC360" t="s">
        <v>66</v>
      </c>
    </row>
    <row r="361" spans="1:29" x14ac:dyDescent="0.3">
      <c r="A361">
        <v>335</v>
      </c>
      <c r="B361" t="s">
        <v>252</v>
      </c>
      <c r="C361" t="s">
        <v>130</v>
      </c>
      <c r="D361" t="s">
        <v>66</v>
      </c>
      <c r="E361" t="s">
        <v>32</v>
      </c>
      <c r="F361" s="3">
        <v>45291</v>
      </c>
      <c r="G361">
        <v>2023</v>
      </c>
      <c r="H361" t="s">
        <v>44</v>
      </c>
      <c r="I361" t="s">
        <v>49</v>
      </c>
      <c r="K361">
        <v>80</v>
      </c>
      <c r="L361">
        <v>93.85</v>
      </c>
      <c r="M361">
        <v>1.173125</v>
      </c>
      <c r="N361">
        <v>1.173125</v>
      </c>
      <c r="O361" t="s">
        <v>58</v>
      </c>
      <c r="P361" t="s">
        <v>58</v>
      </c>
      <c r="Q361" t="s">
        <v>253</v>
      </c>
      <c r="R361">
        <v>0</v>
      </c>
      <c r="S361">
        <v>0</v>
      </c>
      <c r="T361" t="s">
        <v>443</v>
      </c>
      <c r="U361" t="s">
        <v>37</v>
      </c>
      <c r="V361" t="s">
        <v>130</v>
      </c>
      <c r="W361" t="s">
        <v>60</v>
      </c>
      <c r="X361" t="s">
        <v>100</v>
      </c>
      <c r="Z361" t="s">
        <v>134</v>
      </c>
      <c r="AA361" t="s">
        <v>135</v>
      </c>
      <c r="AB361" t="s">
        <v>43</v>
      </c>
      <c r="AC361" t="s">
        <v>66</v>
      </c>
    </row>
    <row r="362" spans="1:29" x14ac:dyDescent="0.3">
      <c r="A362">
        <v>335</v>
      </c>
      <c r="B362" t="s">
        <v>252</v>
      </c>
      <c r="C362" t="s">
        <v>130</v>
      </c>
      <c r="D362" t="s">
        <v>66</v>
      </c>
      <c r="E362" t="s">
        <v>32</v>
      </c>
      <c r="F362" s="3">
        <v>45657</v>
      </c>
      <c r="G362">
        <v>2024</v>
      </c>
      <c r="H362" t="s">
        <v>44</v>
      </c>
      <c r="I362" t="s">
        <v>53</v>
      </c>
      <c r="J362">
        <v>2</v>
      </c>
      <c r="K362">
        <v>82</v>
      </c>
      <c r="L362">
        <v>80.95</v>
      </c>
      <c r="M362">
        <v>0.9871951219512195</v>
      </c>
      <c r="N362">
        <v>0.9871951219512195</v>
      </c>
      <c r="O362" t="s">
        <v>58</v>
      </c>
      <c r="P362" t="s">
        <v>58</v>
      </c>
      <c r="Q362" t="s">
        <v>254</v>
      </c>
      <c r="R362">
        <v>0</v>
      </c>
      <c r="S362">
        <v>0</v>
      </c>
      <c r="T362" t="s">
        <v>31</v>
      </c>
      <c r="U362" t="s">
        <v>37</v>
      </c>
      <c r="V362" t="s">
        <v>130</v>
      </c>
      <c r="W362" t="s">
        <v>60</v>
      </c>
      <c r="X362" t="s">
        <v>100</v>
      </c>
      <c r="Z362" t="s">
        <v>134</v>
      </c>
      <c r="AA362" t="s">
        <v>135</v>
      </c>
      <c r="AB362" t="s">
        <v>43</v>
      </c>
      <c r="AC362" t="s">
        <v>66</v>
      </c>
    </row>
    <row r="363" spans="1:29" x14ac:dyDescent="0.3">
      <c r="A363">
        <v>335</v>
      </c>
      <c r="B363" t="s">
        <v>252</v>
      </c>
      <c r="C363" t="s">
        <v>130</v>
      </c>
      <c r="D363" t="s">
        <v>66</v>
      </c>
      <c r="E363" t="s">
        <v>32</v>
      </c>
      <c r="F363" s="3">
        <v>45657</v>
      </c>
      <c r="G363">
        <v>2024</v>
      </c>
      <c r="H363" t="s">
        <v>44</v>
      </c>
      <c r="I363" t="s">
        <v>53</v>
      </c>
      <c r="K363">
        <v>82</v>
      </c>
      <c r="L363">
        <v>80.95</v>
      </c>
      <c r="M363">
        <v>0.9871951219512195</v>
      </c>
      <c r="N363">
        <v>0.9871951219512195</v>
      </c>
      <c r="O363" t="s">
        <v>58</v>
      </c>
      <c r="P363" t="s">
        <v>58</v>
      </c>
      <c r="Q363" t="s">
        <v>254</v>
      </c>
      <c r="R363">
        <v>0</v>
      </c>
      <c r="S363">
        <v>0</v>
      </c>
      <c r="T363" t="s">
        <v>443</v>
      </c>
      <c r="U363" t="s">
        <v>37</v>
      </c>
      <c r="V363" t="s">
        <v>130</v>
      </c>
      <c r="W363" t="s">
        <v>60</v>
      </c>
      <c r="X363" t="s">
        <v>100</v>
      </c>
      <c r="Z363" t="s">
        <v>134</v>
      </c>
      <c r="AA363" t="s">
        <v>135</v>
      </c>
      <c r="AB363" t="s">
        <v>43</v>
      </c>
      <c r="AC363" t="s">
        <v>66</v>
      </c>
    </row>
    <row r="364" spans="1:29" x14ac:dyDescent="0.3">
      <c r="A364">
        <v>335</v>
      </c>
      <c r="B364" t="s">
        <v>252</v>
      </c>
      <c r="C364" t="s">
        <v>130</v>
      </c>
      <c r="D364" t="s">
        <v>66</v>
      </c>
      <c r="E364" t="s">
        <v>32</v>
      </c>
      <c r="F364" s="3">
        <v>46022</v>
      </c>
      <c r="G364">
        <v>2025</v>
      </c>
      <c r="H364" t="s">
        <v>44</v>
      </c>
      <c r="I364" t="s">
        <v>465</v>
      </c>
      <c r="K364">
        <v>82</v>
      </c>
      <c r="L364">
        <v>80.95</v>
      </c>
      <c r="M364">
        <v>0.9871951219512195</v>
      </c>
      <c r="N364">
        <v>0.9871951219512195</v>
      </c>
      <c r="O364" t="s">
        <v>58</v>
      </c>
      <c r="P364" t="s">
        <v>58</v>
      </c>
      <c r="Q364" t="s">
        <v>466</v>
      </c>
      <c r="R364">
        <v>0</v>
      </c>
      <c r="S364">
        <v>0</v>
      </c>
      <c r="T364" t="s">
        <v>443</v>
      </c>
      <c r="U364" t="s">
        <v>37</v>
      </c>
      <c r="V364" t="s">
        <v>130</v>
      </c>
      <c r="W364" t="s">
        <v>60</v>
      </c>
      <c r="X364" t="s">
        <v>100</v>
      </c>
      <c r="Z364" t="s">
        <v>134</v>
      </c>
      <c r="AA364" t="s">
        <v>135</v>
      </c>
      <c r="AB364" t="s">
        <v>43</v>
      </c>
      <c r="AC364" t="s">
        <v>66</v>
      </c>
    </row>
    <row r="365" spans="1:29" x14ac:dyDescent="0.3">
      <c r="A365">
        <v>339</v>
      </c>
      <c r="B365" t="s">
        <v>255</v>
      </c>
      <c r="C365" t="s">
        <v>256</v>
      </c>
      <c r="D365" t="s">
        <v>66</v>
      </c>
      <c r="E365" t="s">
        <v>32</v>
      </c>
      <c r="F365" s="3">
        <v>45291</v>
      </c>
      <c r="G365">
        <v>2023</v>
      </c>
      <c r="H365" t="s">
        <v>44</v>
      </c>
      <c r="I365" t="s">
        <v>49</v>
      </c>
      <c r="J365">
        <v>2</v>
      </c>
      <c r="K365">
        <v>30</v>
      </c>
      <c r="L365">
        <v>28.57</v>
      </c>
      <c r="M365">
        <v>0.95233333333333337</v>
      </c>
      <c r="N365">
        <v>0.95233333333333337</v>
      </c>
      <c r="O365" t="s">
        <v>58</v>
      </c>
      <c r="P365" t="s">
        <v>58</v>
      </c>
      <c r="Q365" t="s">
        <v>257</v>
      </c>
      <c r="R365">
        <v>0</v>
      </c>
      <c r="S365">
        <v>1</v>
      </c>
      <c r="T365" t="s">
        <v>31</v>
      </c>
      <c r="U365" t="s">
        <v>37</v>
      </c>
      <c r="V365" t="s">
        <v>256</v>
      </c>
      <c r="W365" t="s">
        <v>73</v>
      </c>
      <c r="X365" t="s">
        <v>74</v>
      </c>
      <c r="Y365" t="s">
        <v>75</v>
      </c>
      <c r="Z365" t="s">
        <v>86</v>
      </c>
      <c r="AA365" t="s">
        <v>87</v>
      </c>
      <c r="AB365" t="s">
        <v>43</v>
      </c>
      <c r="AC365" t="s">
        <v>66</v>
      </c>
    </row>
    <row r="366" spans="1:29" x14ac:dyDescent="0.3">
      <c r="A366">
        <v>339</v>
      </c>
      <c r="B366" t="s">
        <v>255</v>
      </c>
      <c r="C366" t="s">
        <v>256</v>
      </c>
      <c r="D366" t="s">
        <v>66</v>
      </c>
      <c r="E366" t="s">
        <v>32</v>
      </c>
      <c r="F366" s="3">
        <v>45291</v>
      </c>
      <c r="G366">
        <v>2023</v>
      </c>
      <c r="H366" t="s">
        <v>44</v>
      </c>
      <c r="I366" t="s">
        <v>49</v>
      </c>
      <c r="K366">
        <v>30</v>
      </c>
      <c r="L366">
        <v>28.57</v>
      </c>
      <c r="M366">
        <v>0.95233333333333337</v>
      </c>
      <c r="N366">
        <v>0.95233333333333337</v>
      </c>
      <c r="O366" t="s">
        <v>58</v>
      </c>
      <c r="P366" t="s">
        <v>58</v>
      </c>
      <c r="Q366" t="s">
        <v>257</v>
      </c>
      <c r="R366">
        <v>0</v>
      </c>
      <c r="S366">
        <v>1</v>
      </c>
      <c r="T366" t="s">
        <v>443</v>
      </c>
      <c r="U366" t="s">
        <v>37</v>
      </c>
      <c r="V366" t="s">
        <v>256</v>
      </c>
      <c r="W366" t="s">
        <v>73</v>
      </c>
      <c r="X366" t="s">
        <v>74</v>
      </c>
      <c r="Y366" t="s">
        <v>75</v>
      </c>
      <c r="Z366" t="s">
        <v>86</v>
      </c>
      <c r="AA366" t="s">
        <v>87</v>
      </c>
      <c r="AB366" t="s">
        <v>43</v>
      </c>
      <c r="AC366" t="s">
        <v>66</v>
      </c>
    </row>
    <row r="367" spans="1:29" x14ac:dyDescent="0.3">
      <c r="A367">
        <v>339</v>
      </c>
      <c r="B367" t="s">
        <v>255</v>
      </c>
      <c r="C367" t="s">
        <v>256</v>
      </c>
      <c r="D367" t="s">
        <v>66</v>
      </c>
      <c r="E367" t="s">
        <v>32</v>
      </c>
      <c r="F367" s="3">
        <v>45657</v>
      </c>
      <c r="G367">
        <v>2024</v>
      </c>
      <c r="H367" t="s">
        <v>44</v>
      </c>
      <c r="I367" t="s">
        <v>53</v>
      </c>
      <c r="J367">
        <v>2</v>
      </c>
      <c r="K367">
        <v>30</v>
      </c>
      <c r="L367">
        <v>30.3</v>
      </c>
      <c r="M367">
        <v>1.01</v>
      </c>
      <c r="N367">
        <v>1.01</v>
      </c>
      <c r="O367" t="s">
        <v>58</v>
      </c>
      <c r="P367" t="s">
        <v>58</v>
      </c>
      <c r="Q367" t="s">
        <v>258</v>
      </c>
      <c r="R367">
        <v>0</v>
      </c>
      <c r="S367">
        <v>1</v>
      </c>
      <c r="T367" t="s">
        <v>31</v>
      </c>
      <c r="U367" t="s">
        <v>37</v>
      </c>
      <c r="V367" t="s">
        <v>256</v>
      </c>
      <c r="W367" t="s">
        <v>73</v>
      </c>
      <c r="X367" t="s">
        <v>74</v>
      </c>
      <c r="Y367" t="s">
        <v>75</v>
      </c>
      <c r="Z367" t="s">
        <v>86</v>
      </c>
      <c r="AA367" t="s">
        <v>87</v>
      </c>
      <c r="AB367" t="s">
        <v>43</v>
      </c>
      <c r="AC367" t="s">
        <v>66</v>
      </c>
    </row>
    <row r="368" spans="1:29" x14ac:dyDescent="0.3">
      <c r="A368">
        <v>339</v>
      </c>
      <c r="B368" t="s">
        <v>255</v>
      </c>
      <c r="C368" t="s">
        <v>256</v>
      </c>
      <c r="D368" t="s">
        <v>66</v>
      </c>
      <c r="E368" t="s">
        <v>32</v>
      </c>
      <c r="F368" s="3">
        <v>45657</v>
      </c>
      <c r="G368">
        <v>2024</v>
      </c>
      <c r="H368" t="s">
        <v>44</v>
      </c>
      <c r="I368" t="s">
        <v>53</v>
      </c>
      <c r="K368">
        <v>30</v>
      </c>
      <c r="L368">
        <v>30.3</v>
      </c>
      <c r="M368">
        <v>1.01</v>
      </c>
      <c r="N368">
        <v>1.01</v>
      </c>
      <c r="O368" t="s">
        <v>58</v>
      </c>
      <c r="P368" t="s">
        <v>58</v>
      </c>
      <c r="Q368" t="s">
        <v>258</v>
      </c>
      <c r="R368">
        <v>0</v>
      </c>
      <c r="S368">
        <v>1</v>
      </c>
      <c r="T368" t="s">
        <v>443</v>
      </c>
      <c r="U368" t="s">
        <v>37</v>
      </c>
      <c r="V368" t="s">
        <v>256</v>
      </c>
      <c r="W368" t="s">
        <v>73</v>
      </c>
      <c r="X368" t="s">
        <v>74</v>
      </c>
      <c r="Y368" t="s">
        <v>75</v>
      </c>
      <c r="Z368" t="s">
        <v>86</v>
      </c>
      <c r="AA368" t="s">
        <v>87</v>
      </c>
      <c r="AB368" t="s">
        <v>43</v>
      </c>
      <c r="AC368" t="s">
        <v>66</v>
      </c>
    </row>
    <row r="369" spans="1:29" x14ac:dyDescent="0.3">
      <c r="A369">
        <v>339</v>
      </c>
      <c r="B369" t="s">
        <v>255</v>
      </c>
      <c r="C369" t="s">
        <v>256</v>
      </c>
      <c r="D369" t="s">
        <v>66</v>
      </c>
      <c r="E369" t="s">
        <v>32</v>
      </c>
      <c r="F369" s="3">
        <v>45838</v>
      </c>
      <c r="G369">
        <v>2025</v>
      </c>
      <c r="H369" t="s">
        <v>33</v>
      </c>
      <c r="I369" t="s">
        <v>404</v>
      </c>
      <c r="J369">
        <v>1</v>
      </c>
      <c r="K369">
        <v>30</v>
      </c>
      <c r="L369">
        <v>33.299999999999997</v>
      </c>
      <c r="M369">
        <v>1.1100000000000001</v>
      </c>
      <c r="N369">
        <v>1.1100000000000001</v>
      </c>
      <c r="O369" t="s">
        <v>58</v>
      </c>
      <c r="P369" t="s">
        <v>58</v>
      </c>
      <c r="Q369" t="s">
        <v>407</v>
      </c>
      <c r="R369">
        <v>0</v>
      </c>
      <c r="S369">
        <v>1</v>
      </c>
      <c r="T369" t="s">
        <v>31</v>
      </c>
      <c r="U369" t="s">
        <v>37</v>
      </c>
      <c r="V369" t="s">
        <v>256</v>
      </c>
      <c r="W369" t="s">
        <v>73</v>
      </c>
      <c r="X369" t="s">
        <v>74</v>
      </c>
      <c r="Y369" t="s">
        <v>75</v>
      </c>
      <c r="Z369" t="s">
        <v>86</v>
      </c>
      <c r="AA369" t="s">
        <v>87</v>
      </c>
      <c r="AB369" t="s">
        <v>43</v>
      </c>
      <c r="AC369" t="s">
        <v>66</v>
      </c>
    </row>
    <row r="370" spans="1:29" x14ac:dyDescent="0.3">
      <c r="A370">
        <v>339</v>
      </c>
      <c r="B370" t="s">
        <v>255</v>
      </c>
      <c r="C370" t="s">
        <v>256</v>
      </c>
      <c r="D370" t="s">
        <v>66</v>
      </c>
      <c r="E370" t="s">
        <v>32</v>
      </c>
      <c r="F370" s="3">
        <v>45838</v>
      </c>
      <c r="G370">
        <v>2025</v>
      </c>
      <c r="H370" t="s">
        <v>33</v>
      </c>
      <c r="I370" t="s">
        <v>404</v>
      </c>
      <c r="K370">
        <v>30</v>
      </c>
      <c r="L370">
        <v>33.299999999999997</v>
      </c>
      <c r="M370">
        <v>1.1100000000000001</v>
      </c>
      <c r="N370">
        <v>1.1100000000000001</v>
      </c>
      <c r="O370" t="s">
        <v>58</v>
      </c>
      <c r="P370" t="s">
        <v>58</v>
      </c>
      <c r="Q370" t="s">
        <v>407</v>
      </c>
      <c r="R370">
        <v>0</v>
      </c>
      <c r="S370">
        <v>1</v>
      </c>
      <c r="T370" t="s">
        <v>443</v>
      </c>
      <c r="U370" t="s">
        <v>37</v>
      </c>
      <c r="V370" t="s">
        <v>256</v>
      </c>
      <c r="W370" t="s">
        <v>73</v>
      </c>
      <c r="X370" t="s">
        <v>74</v>
      </c>
      <c r="Y370" t="s">
        <v>75</v>
      </c>
      <c r="Z370" t="s">
        <v>86</v>
      </c>
      <c r="AA370" t="s">
        <v>87</v>
      </c>
      <c r="AB370" t="s">
        <v>43</v>
      </c>
      <c r="AC370" t="s">
        <v>66</v>
      </c>
    </row>
    <row r="371" spans="1:29" x14ac:dyDescent="0.3">
      <c r="A371">
        <v>361</v>
      </c>
      <c r="B371" t="s">
        <v>479</v>
      </c>
      <c r="C371" t="s">
        <v>267</v>
      </c>
      <c r="D371" t="s">
        <v>66</v>
      </c>
      <c r="E371" t="s">
        <v>32</v>
      </c>
      <c r="F371" s="3">
        <v>44561</v>
      </c>
      <c r="G371">
        <f>YEAR(F371)</f>
        <v>2021</v>
      </c>
      <c r="H371" t="str">
        <f>PROPER(TEXT(F371,"mmmm"))</f>
        <v>Diciembre</v>
      </c>
      <c r="I371" t="str">
        <f>IF(H371="Junio",G371&amp;"-1",G371&amp;"-2")</f>
        <v>2021-2</v>
      </c>
      <c r="L371">
        <v>4.4000000000000004</v>
      </c>
      <c r="O371" t="s">
        <v>245</v>
      </c>
      <c r="P371" t="s">
        <v>245</v>
      </c>
      <c r="Q371" t="str">
        <f>A371&amp;"-"&amp;TEXT(F371,"yyyy-mm-dd")</f>
        <v>361-2021-12-31</v>
      </c>
      <c r="R371">
        <v>1</v>
      </c>
      <c r="S371">
        <v>2</v>
      </c>
      <c r="T371" t="s">
        <v>31</v>
      </c>
      <c r="U371" t="s">
        <v>37</v>
      </c>
      <c r="V371" t="s">
        <v>267</v>
      </c>
      <c r="W371" t="s">
        <v>145</v>
      </c>
      <c r="X371" t="s">
        <v>179</v>
      </c>
      <c r="Y371" t="s">
        <v>269</v>
      </c>
      <c r="Z371" t="s">
        <v>41</v>
      </c>
      <c r="AA371" t="s">
        <v>124</v>
      </c>
      <c r="AB371" t="s">
        <v>43</v>
      </c>
      <c r="AC371" t="s">
        <v>66</v>
      </c>
    </row>
    <row r="372" spans="1:29" x14ac:dyDescent="0.3">
      <c r="A372">
        <v>361</v>
      </c>
      <c r="B372" t="s">
        <v>479</v>
      </c>
      <c r="C372" t="s">
        <v>267</v>
      </c>
      <c r="D372" t="s">
        <v>66</v>
      </c>
      <c r="E372" t="s">
        <v>32</v>
      </c>
      <c r="F372" s="3">
        <v>45291</v>
      </c>
      <c r="G372">
        <v>2023</v>
      </c>
      <c r="H372" t="s">
        <v>44</v>
      </c>
      <c r="I372" t="s">
        <v>49</v>
      </c>
      <c r="J372">
        <v>2</v>
      </c>
      <c r="K372">
        <v>4.5</v>
      </c>
      <c r="L372">
        <v>4.5599999999999996</v>
      </c>
      <c r="M372">
        <v>1.013333333333333</v>
      </c>
      <c r="N372">
        <v>1.013333333333333</v>
      </c>
      <c r="O372" t="s">
        <v>245</v>
      </c>
      <c r="P372" t="s">
        <v>245</v>
      </c>
      <c r="Q372" t="s">
        <v>268</v>
      </c>
      <c r="R372">
        <v>2</v>
      </c>
      <c r="S372">
        <v>2</v>
      </c>
      <c r="T372" t="s">
        <v>31</v>
      </c>
      <c r="U372" t="s">
        <v>37</v>
      </c>
      <c r="V372" t="s">
        <v>267</v>
      </c>
      <c r="W372" t="s">
        <v>145</v>
      </c>
      <c r="X372" t="s">
        <v>179</v>
      </c>
      <c r="Y372" t="s">
        <v>269</v>
      </c>
      <c r="Z372" t="s">
        <v>41</v>
      </c>
      <c r="AA372" t="s">
        <v>124</v>
      </c>
      <c r="AB372" t="s">
        <v>43</v>
      </c>
      <c r="AC372" t="s">
        <v>66</v>
      </c>
    </row>
    <row r="373" spans="1:29" x14ac:dyDescent="0.3">
      <c r="A373">
        <v>361</v>
      </c>
      <c r="B373" t="s">
        <v>479</v>
      </c>
      <c r="C373" t="s">
        <v>267</v>
      </c>
      <c r="D373" t="s">
        <v>66</v>
      </c>
      <c r="E373" t="s">
        <v>32</v>
      </c>
      <c r="F373" s="3">
        <v>45291</v>
      </c>
      <c r="G373">
        <v>2023</v>
      </c>
      <c r="H373" t="s">
        <v>44</v>
      </c>
      <c r="I373" t="s">
        <v>49</v>
      </c>
      <c r="K373">
        <v>4.5</v>
      </c>
      <c r="L373">
        <v>4.5599999999999996</v>
      </c>
      <c r="M373">
        <v>1.013333333333333</v>
      </c>
      <c r="N373">
        <v>1.013333333333333</v>
      </c>
      <c r="O373" t="s">
        <v>245</v>
      </c>
      <c r="P373" t="s">
        <v>245</v>
      </c>
      <c r="Q373" t="s">
        <v>268</v>
      </c>
      <c r="R373">
        <v>2</v>
      </c>
      <c r="S373">
        <v>2</v>
      </c>
      <c r="T373" t="s">
        <v>443</v>
      </c>
      <c r="U373" t="s">
        <v>37</v>
      </c>
      <c r="V373" t="s">
        <v>267</v>
      </c>
      <c r="W373" t="s">
        <v>145</v>
      </c>
      <c r="X373" t="s">
        <v>179</v>
      </c>
      <c r="Y373" t="s">
        <v>269</v>
      </c>
      <c r="Z373" t="s">
        <v>41</v>
      </c>
      <c r="AA373" t="s">
        <v>124</v>
      </c>
      <c r="AB373" t="s">
        <v>43</v>
      </c>
      <c r="AC373" t="s">
        <v>66</v>
      </c>
    </row>
    <row r="374" spans="1:29" x14ac:dyDescent="0.3">
      <c r="A374">
        <v>361</v>
      </c>
      <c r="B374" t="s">
        <v>479</v>
      </c>
      <c r="C374" t="s">
        <v>267</v>
      </c>
      <c r="D374" t="s">
        <v>66</v>
      </c>
      <c r="E374" t="s">
        <v>32</v>
      </c>
      <c r="F374" s="3">
        <v>46022</v>
      </c>
      <c r="G374">
        <v>2025</v>
      </c>
      <c r="H374" t="s">
        <v>44</v>
      </c>
      <c r="I374" t="s">
        <v>465</v>
      </c>
      <c r="J374">
        <v>2</v>
      </c>
      <c r="K374">
        <v>4.5999999999999996</v>
      </c>
      <c r="L374">
        <v>4.78</v>
      </c>
      <c r="M374">
        <f>L374/K374</f>
        <v>1.0391304347826089</v>
      </c>
      <c r="N374">
        <v>1.013333333333333</v>
      </c>
      <c r="O374" t="s">
        <v>245</v>
      </c>
      <c r="P374" t="s">
        <v>245</v>
      </c>
      <c r="Q374" t="s">
        <v>461</v>
      </c>
      <c r="R374">
        <v>1</v>
      </c>
      <c r="S374">
        <v>2</v>
      </c>
      <c r="T374" t="s">
        <v>31</v>
      </c>
      <c r="U374" t="s">
        <v>37</v>
      </c>
      <c r="V374" t="s">
        <v>267</v>
      </c>
      <c r="W374" t="s">
        <v>145</v>
      </c>
      <c r="X374" t="s">
        <v>179</v>
      </c>
      <c r="Y374" t="s">
        <v>269</v>
      </c>
      <c r="Z374" t="s">
        <v>41</v>
      </c>
      <c r="AA374" t="s">
        <v>124</v>
      </c>
      <c r="AB374" t="s">
        <v>43</v>
      </c>
      <c r="AC374" t="s">
        <v>66</v>
      </c>
    </row>
    <row r="375" spans="1:29" x14ac:dyDescent="0.3">
      <c r="A375">
        <v>361</v>
      </c>
      <c r="B375" s="6" t="s">
        <v>479</v>
      </c>
      <c r="C375" t="s">
        <v>267</v>
      </c>
      <c r="D375" t="s">
        <v>66</v>
      </c>
      <c r="E375" t="s">
        <v>32</v>
      </c>
      <c r="F375" s="3">
        <v>46022</v>
      </c>
      <c r="G375">
        <v>2025</v>
      </c>
      <c r="H375" t="s">
        <v>44</v>
      </c>
      <c r="I375" t="s">
        <v>465</v>
      </c>
      <c r="K375">
        <v>4.5</v>
      </c>
      <c r="L375">
        <v>4.78</v>
      </c>
      <c r="M375">
        <f>L375/K375</f>
        <v>1.0622222222222222</v>
      </c>
      <c r="N375">
        <v>1.013333333333333</v>
      </c>
      <c r="O375" t="s">
        <v>245</v>
      </c>
      <c r="P375" t="s">
        <v>245</v>
      </c>
      <c r="Q375" t="s">
        <v>461</v>
      </c>
      <c r="R375">
        <v>1</v>
      </c>
      <c r="S375">
        <v>2</v>
      </c>
      <c r="T375" t="s">
        <v>443</v>
      </c>
      <c r="U375" t="s">
        <v>37</v>
      </c>
      <c r="V375" t="s">
        <v>267</v>
      </c>
      <c r="W375" t="s">
        <v>145</v>
      </c>
      <c r="X375" t="s">
        <v>179</v>
      </c>
      <c r="Y375" t="s">
        <v>269</v>
      </c>
      <c r="Z375" t="s">
        <v>41</v>
      </c>
      <c r="AA375" t="s">
        <v>124</v>
      </c>
      <c r="AB375" t="s">
        <v>43</v>
      </c>
      <c r="AC375" t="s">
        <v>66</v>
      </c>
    </row>
    <row r="376" spans="1:29" x14ac:dyDescent="0.3">
      <c r="A376">
        <v>364</v>
      </c>
      <c r="B376" t="s">
        <v>271</v>
      </c>
      <c r="C376" t="s">
        <v>267</v>
      </c>
      <c r="D376" t="s">
        <v>31</v>
      </c>
      <c r="E376" t="s">
        <v>171</v>
      </c>
      <c r="F376" s="3">
        <v>45107</v>
      </c>
      <c r="G376">
        <v>2023</v>
      </c>
      <c r="H376" t="s">
        <v>33</v>
      </c>
      <c r="I376" t="s">
        <v>47</v>
      </c>
      <c r="J376">
        <v>1</v>
      </c>
      <c r="K376">
        <v>0</v>
      </c>
      <c r="L376">
        <v>30173</v>
      </c>
      <c r="M376">
        <v>0</v>
      </c>
      <c r="N376">
        <v>0</v>
      </c>
      <c r="O376" t="s">
        <v>131</v>
      </c>
      <c r="P376" t="s">
        <v>35</v>
      </c>
      <c r="Q376" t="s">
        <v>272</v>
      </c>
      <c r="R376">
        <v>0</v>
      </c>
      <c r="S376">
        <v>0</v>
      </c>
      <c r="T376" t="s">
        <v>31</v>
      </c>
      <c r="U376" t="s">
        <v>37</v>
      </c>
      <c r="V376" t="s">
        <v>267</v>
      </c>
      <c r="W376" t="s">
        <v>145</v>
      </c>
      <c r="X376" t="s">
        <v>179</v>
      </c>
      <c r="Y376" t="s">
        <v>273</v>
      </c>
      <c r="Z376" t="s">
        <v>274</v>
      </c>
      <c r="AA376" t="s">
        <v>275</v>
      </c>
      <c r="AB376" t="s">
        <v>78</v>
      </c>
      <c r="AC376" t="s">
        <v>66</v>
      </c>
    </row>
    <row r="377" spans="1:29" x14ac:dyDescent="0.3">
      <c r="A377">
        <v>364</v>
      </c>
      <c r="B377" t="s">
        <v>271</v>
      </c>
      <c r="C377" t="s">
        <v>267</v>
      </c>
      <c r="D377" t="s">
        <v>31</v>
      </c>
      <c r="E377" t="s">
        <v>171</v>
      </c>
      <c r="F377" s="3">
        <v>45291</v>
      </c>
      <c r="G377">
        <v>2023</v>
      </c>
      <c r="H377" t="s">
        <v>44</v>
      </c>
      <c r="I377" t="s">
        <v>49</v>
      </c>
      <c r="J377">
        <v>2</v>
      </c>
      <c r="K377">
        <v>0</v>
      </c>
      <c r="L377">
        <v>48277</v>
      </c>
      <c r="M377">
        <v>0</v>
      </c>
      <c r="N377">
        <v>0</v>
      </c>
      <c r="O377" t="s">
        <v>131</v>
      </c>
      <c r="P377" t="s">
        <v>35</v>
      </c>
      <c r="Q377" t="s">
        <v>276</v>
      </c>
      <c r="R377">
        <v>0</v>
      </c>
      <c r="S377">
        <v>0</v>
      </c>
      <c r="T377" t="s">
        <v>31</v>
      </c>
      <c r="U377" t="s">
        <v>37</v>
      </c>
      <c r="V377" t="s">
        <v>267</v>
      </c>
      <c r="W377" t="s">
        <v>145</v>
      </c>
      <c r="X377" t="s">
        <v>179</v>
      </c>
      <c r="Y377" t="s">
        <v>273</v>
      </c>
      <c r="Z377" t="s">
        <v>274</v>
      </c>
      <c r="AA377" t="s">
        <v>275</v>
      </c>
      <c r="AB377" t="s">
        <v>78</v>
      </c>
      <c r="AC377" t="s">
        <v>66</v>
      </c>
    </row>
    <row r="378" spans="1:29" x14ac:dyDescent="0.3">
      <c r="A378">
        <v>364</v>
      </c>
      <c r="B378" t="s">
        <v>271</v>
      </c>
      <c r="C378" t="s">
        <v>267</v>
      </c>
      <c r="D378" t="s">
        <v>31</v>
      </c>
      <c r="E378" t="s">
        <v>171</v>
      </c>
      <c r="F378" s="3">
        <v>45291</v>
      </c>
      <c r="G378">
        <v>2023</v>
      </c>
      <c r="H378" t="s">
        <v>44</v>
      </c>
      <c r="I378" t="s">
        <v>49</v>
      </c>
      <c r="L378">
        <v>78450</v>
      </c>
      <c r="O378" t="s">
        <v>284</v>
      </c>
      <c r="P378" t="s">
        <v>35</v>
      </c>
      <c r="Q378" t="s">
        <v>276</v>
      </c>
      <c r="R378">
        <v>0</v>
      </c>
      <c r="S378">
        <v>0</v>
      </c>
      <c r="T378" t="s">
        <v>443</v>
      </c>
      <c r="U378" t="s">
        <v>37</v>
      </c>
      <c r="V378" t="s">
        <v>267</v>
      </c>
      <c r="W378" t="s">
        <v>145</v>
      </c>
      <c r="X378" t="s">
        <v>179</v>
      </c>
      <c r="Y378" t="s">
        <v>273</v>
      </c>
      <c r="Z378" t="s">
        <v>274</v>
      </c>
      <c r="AA378" t="s">
        <v>275</v>
      </c>
      <c r="AB378" t="s">
        <v>78</v>
      </c>
      <c r="AC378" t="s">
        <v>66</v>
      </c>
    </row>
    <row r="379" spans="1:29" x14ac:dyDescent="0.3">
      <c r="A379">
        <v>364</v>
      </c>
      <c r="B379" t="s">
        <v>271</v>
      </c>
      <c r="C379" t="s">
        <v>267</v>
      </c>
      <c r="D379" t="s">
        <v>31</v>
      </c>
      <c r="E379" t="s">
        <v>171</v>
      </c>
      <c r="F379" s="3">
        <v>45473</v>
      </c>
      <c r="G379">
        <v>2024</v>
      </c>
      <c r="H379" t="s">
        <v>33</v>
      </c>
      <c r="I379" t="s">
        <v>51</v>
      </c>
      <c r="J379">
        <v>1</v>
      </c>
      <c r="K379">
        <v>31694</v>
      </c>
      <c r="L379">
        <v>42069</v>
      </c>
      <c r="M379">
        <v>1.013513513513514</v>
      </c>
      <c r="N379">
        <v>1.013513513513514</v>
      </c>
      <c r="O379" t="s">
        <v>35</v>
      </c>
      <c r="P379" t="s">
        <v>35</v>
      </c>
      <c r="Q379" t="s">
        <v>277</v>
      </c>
      <c r="R379">
        <v>0</v>
      </c>
      <c r="S379">
        <v>0</v>
      </c>
      <c r="T379" t="s">
        <v>31</v>
      </c>
      <c r="U379" t="s">
        <v>37</v>
      </c>
      <c r="V379" t="s">
        <v>267</v>
      </c>
      <c r="W379" t="s">
        <v>145</v>
      </c>
      <c r="X379" t="s">
        <v>179</v>
      </c>
      <c r="Y379" t="s">
        <v>273</v>
      </c>
      <c r="Z379" t="s">
        <v>274</v>
      </c>
      <c r="AA379" t="s">
        <v>275</v>
      </c>
      <c r="AB379" t="s">
        <v>78</v>
      </c>
      <c r="AC379" t="s">
        <v>66</v>
      </c>
    </row>
    <row r="380" spans="1:29" x14ac:dyDescent="0.3">
      <c r="A380">
        <v>364</v>
      </c>
      <c r="B380" t="s">
        <v>271</v>
      </c>
      <c r="C380" t="s">
        <v>267</v>
      </c>
      <c r="D380" t="s">
        <v>31</v>
      </c>
      <c r="E380" t="s">
        <v>171</v>
      </c>
      <c r="F380" s="3">
        <v>45657</v>
      </c>
      <c r="G380">
        <v>2024</v>
      </c>
      <c r="H380" t="s">
        <v>44</v>
      </c>
      <c r="I380" t="s">
        <v>53</v>
      </c>
      <c r="J380">
        <v>2</v>
      </c>
      <c r="K380">
        <v>47541</v>
      </c>
      <c r="L380">
        <v>46635</v>
      </c>
      <c r="M380">
        <v>0.98094276519214996</v>
      </c>
      <c r="N380">
        <v>0.98094276519214996</v>
      </c>
      <c r="O380" t="s">
        <v>35</v>
      </c>
      <c r="P380" t="s">
        <v>35</v>
      </c>
      <c r="Q380" t="s">
        <v>278</v>
      </c>
      <c r="R380">
        <v>0</v>
      </c>
      <c r="S380">
        <v>0</v>
      </c>
      <c r="T380" t="s">
        <v>31</v>
      </c>
      <c r="U380" t="s">
        <v>37</v>
      </c>
      <c r="V380" t="s">
        <v>267</v>
      </c>
      <c r="W380" t="s">
        <v>145</v>
      </c>
      <c r="X380" t="s">
        <v>179</v>
      </c>
      <c r="Y380" t="s">
        <v>273</v>
      </c>
      <c r="Z380" t="s">
        <v>274</v>
      </c>
      <c r="AA380" t="s">
        <v>275</v>
      </c>
      <c r="AB380" t="s">
        <v>78</v>
      </c>
      <c r="AC380" t="s">
        <v>66</v>
      </c>
    </row>
    <row r="381" spans="1:29" x14ac:dyDescent="0.3">
      <c r="A381">
        <v>364</v>
      </c>
      <c r="B381" t="s">
        <v>271</v>
      </c>
      <c r="C381" t="s">
        <v>267</v>
      </c>
      <c r="D381" t="s">
        <v>31</v>
      </c>
      <c r="E381" t="s">
        <v>171</v>
      </c>
      <c r="F381" s="3">
        <v>45657</v>
      </c>
      <c r="G381">
        <v>2024</v>
      </c>
      <c r="H381" t="s">
        <v>44</v>
      </c>
      <c r="I381" t="s">
        <v>53</v>
      </c>
      <c r="K381">
        <v>79235</v>
      </c>
      <c r="L381">
        <v>88704</v>
      </c>
      <c r="M381">
        <v>1.119505269136114</v>
      </c>
      <c r="N381">
        <v>1.119505269136114</v>
      </c>
      <c r="O381" t="s">
        <v>35</v>
      </c>
      <c r="P381" t="s">
        <v>35</v>
      </c>
      <c r="Q381" t="s">
        <v>278</v>
      </c>
      <c r="R381">
        <v>0</v>
      </c>
      <c r="S381">
        <v>0</v>
      </c>
      <c r="T381" t="s">
        <v>443</v>
      </c>
      <c r="U381" t="s">
        <v>37</v>
      </c>
      <c r="V381" t="s">
        <v>267</v>
      </c>
      <c r="W381" t="s">
        <v>145</v>
      </c>
      <c r="X381" t="s">
        <v>179</v>
      </c>
      <c r="Y381" t="s">
        <v>273</v>
      </c>
      <c r="Z381" t="s">
        <v>274</v>
      </c>
      <c r="AA381" t="s">
        <v>275</v>
      </c>
      <c r="AB381" t="s">
        <v>78</v>
      </c>
      <c r="AC381" t="s">
        <v>66</v>
      </c>
    </row>
    <row r="382" spans="1:29" x14ac:dyDescent="0.3">
      <c r="A382">
        <v>364</v>
      </c>
      <c r="B382" t="s">
        <v>271</v>
      </c>
      <c r="C382" t="s">
        <v>267</v>
      </c>
      <c r="D382" t="s">
        <v>31</v>
      </c>
      <c r="E382" t="s">
        <v>171</v>
      </c>
      <c r="F382" s="3">
        <v>45838</v>
      </c>
      <c r="G382">
        <v>2025</v>
      </c>
      <c r="H382" t="s">
        <v>33</v>
      </c>
      <c r="I382" t="s">
        <v>404</v>
      </c>
      <c r="J382">
        <v>1</v>
      </c>
      <c r="K382">
        <v>33279</v>
      </c>
      <c r="L382">
        <v>131244</v>
      </c>
      <c r="M382">
        <v>1.3</v>
      </c>
      <c r="N382">
        <v>3.9437483097448842</v>
      </c>
      <c r="O382" t="s">
        <v>35</v>
      </c>
      <c r="P382" t="s">
        <v>35</v>
      </c>
      <c r="Q382" t="s">
        <v>424</v>
      </c>
      <c r="R382">
        <v>0</v>
      </c>
      <c r="S382">
        <v>0</v>
      </c>
      <c r="T382" t="s">
        <v>31</v>
      </c>
      <c r="U382" t="s">
        <v>37</v>
      </c>
      <c r="V382" t="s">
        <v>267</v>
      </c>
      <c r="W382" t="s">
        <v>145</v>
      </c>
      <c r="X382" t="s">
        <v>179</v>
      </c>
      <c r="Y382" t="s">
        <v>273</v>
      </c>
      <c r="Z382" t="s">
        <v>274</v>
      </c>
      <c r="AA382" t="s">
        <v>275</v>
      </c>
      <c r="AB382" t="s">
        <v>78</v>
      </c>
      <c r="AC382" t="s">
        <v>66</v>
      </c>
    </row>
    <row r="383" spans="1:29" x14ac:dyDescent="0.3">
      <c r="A383">
        <v>364</v>
      </c>
      <c r="B383" t="s">
        <v>271</v>
      </c>
      <c r="C383" t="s">
        <v>267</v>
      </c>
      <c r="D383" t="s">
        <v>31</v>
      </c>
      <c r="E383" t="s">
        <v>171</v>
      </c>
      <c r="F383" s="3">
        <v>45838</v>
      </c>
      <c r="G383">
        <v>2025</v>
      </c>
      <c r="H383" t="s">
        <v>33</v>
      </c>
      <c r="I383" t="s">
        <v>404</v>
      </c>
      <c r="K383">
        <v>33279</v>
      </c>
      <c r="L383">
        <v>131244</v>
      </c>
      <c r="M383">
        <v>1.3</v>
      </c>
      <c r="N383">
        <v>3.9437483097448842</v>
      </c>
      <c r="O383" t="s">
        <v>35</v>
      </c>
      <c r="P383" t="s">
        <v>35</v>
      </c>
      <c r="Q383" t="s">
        <v>424</v>
      </c>
      <c r="R383">
        <v>0</v>
      </c>
      <c r="S383">
        <v>0</v>
      </c>
      <c r="T383" t="s">
        <v>443</v>
      </c>
      <c r="U383" t="s">
        <v>37</v>
      </c>
      <c r="V383" t="s">
        <v>267</v>
      </c>
      <c r="W383" t="s">
        <v>145</v>
      </c>
      <c r="X383" t="s">
        <v>179</v>
      </c>
      <c r="Y383" t="s">
        <v>273</v>
      </c>
      <c r="Z383" t="s">
        <v>274</v>
      </c>
      <c r="AA383" t="s">
        <v>275</v>
      </c>
      <c r="AB383" t="s">
        <v>78</v>
      </c>
      <c r="AC383" t="s">
        <v>66</v>
      </c>
    </row>
    <row r="384" spans="1:29" x14ac:dyDescent="0.3">
      <c r="A384">
        <v>367</v>
      </c>
      <c r="B384" t="s">
        <v>279</v>
      </c>
      <c r="C384" t="s">
        <v>267</v>
      </c>
      <c r="D384" t="s">
        <v>66</v>
      </c>
      <c r="E384" t="s">
        <v>32</v>
      </c>
      <c r="F384" s="3">
        <v>44926</v>
      </c>
      <c r="G384">
        <v>2022</v>
      </c>
      <c r="H384" t="s">
        <v>44</v>
      </c>
      <c r="I384" t="s">
        <v>45</v>
      </c>
      <c r="K384">
        <v>5.7</v>
      </c>
      <c r="L384">
        <v>6.7</v>
      </c>
      <c r="M384">
        <v>1.1754385964912279</v>
      </c>
      <c r="N384">
        <v>1.1754385964912279</v>
      </c>
      <c r="O384" t="s">
        <v>58</v>
      </c>
      <c r="P384" t="s">
        <v>58</v>
      </c>
      <c r="Q384" t="s">
        <v>450</v>
      </c>
      <c r="R384">
        <v>1</v>
      </c>
      <c r="S384">
        <v>1</v>
      </c>
      <c r="T384" t="s">
        <v>443</v>
      </c>
      <c r="U384" t="s">
        <v>37</v>
      </c>
      <c r="V384" t="s">
        <v>267</v>
      </c>
      <c r="W384" t="s">
        <v>145</v>
      </c>
      <c r="X384" t="s">
        <v>179</v>
      </c>
      <c r="Y384" t="s">
        <v>281</v>
      </c>
      <c r="Z384" t="s">
        <v>41</v>
      </c>
      <c r="AA384" t="s">
        <v>42</v>
      </c>
      <c r="AB384" t="s">
        <v>43</v>
      </c>
      <c r="AC384" t="s">
        <v>66</v>
      </c>
    </row>
    <row r="385" spans="1:29" x14ac:dyDescent="0.3">
      <c r="A385">
        <v>367</v>
      </c>
      <c r="B385" t="s">
        <v>279</v>
      </c>
      <c r="C385" t="s">
        <v>267</v>
      </c>
      <c r="D385" t="s">
        <v>66</v>
      </c>
      <c r="E385" t="s">
        <v>32</v>
      </c>
      <c r="F385" s="3">
        <v>45291</v>
      </c>
      <c r="G385">
        <v>2023</v>
      </c>
      <c r="H385" t="s">
        <v>44</v>
      </c>
      <c r="I385" t="s">
        <v>49</v>
      </c>
      <c r="J385">
        <v>2</v>
      </c>
      <c r="K385">
        <v>5</v>
      </c>
      <c r="L385">
        <v>6.25</v>
      </c>
      <c r="M385">
        <v>1.25</v>
      </c>
      <c r="N385">
        <v>1.25</v>
      </c>
      <c r="O385" t="s">
        <v>58</v>
      </c>
      <c r="P385" t="s">
        <v>58</v>
      </c>
      <c r="Q385" t="s">
        <v>280</v>
      </c>
      <c r="R385">
        <v>2</v>
      </c>
      <c r="S385">
        <v>2</v>
      </c>
      <c r="T385" t="s">
        <v>31</v>
      </c>
      <c r="U385" t="s">
        <v>37</v>
      </c>
      <c r="V385" t="s">
        <v>267</v>
      </c>
      <c r="W385" t="s">
        <v>145</v>
      </c>
      <c r="X385" t="s">
        <v>179</v>
      </c>
      <c r="Y385" t="s">
        <v>281</v>
      </c>
      <c r="Z385" t="s">
        <v>41</v>
      </c>
      <c r="AA385" t="s">
        <v>42</v>
      </c>
      <c r="AB385" t="s">
        <v>43</v>
      </c>
      <c r="AC385" t="s">
        <v>66</v>
      </c>
    </row>
    <row r="386" spans="1:29" x14ac:dyDescent="0.3">
      <c r="A386">
        <v>367</v>
      </c>
      <c r="B386" t="s">
        <v>279</v>
      </c>
      <c r="C386" t="s">
        <v>267</v>
      </c>
      <c r="D386" t="s">
        <v>66</v>
      </c>
      <c r="E386" t="s">
        <v>32</v>
      </c>
      <c r="F386" s="3">
        <v>45291</v>
      </c>
      <c r="G386">
        <v>2023</v>
      </c>
      <c r="H386" t="s">
        <v>44</v>
      </c>
      <c r="I386" t="s">
        <v>49</v>
      </c>
      <c r="K386">
        <v>5</v>
      </c>
      <c r="L386">
        <v>6.25</v>
      </c>
      <c r="M386">
        <v>1.25</v>
      </c>
      <c r="N386">
        <v>1.25</v>
      </c>
      <c r="O386" t="s">
        <v>58</v>
      </c>
      <c r="P386" t="s">
        <v>58</v>
      </c>
      <c r="Q386" t="s">
        <v>280</v>
      </c>
      <c r="R386">
        <v>0</v>
      </c>
      <c r="S386">
        <v>2</v>
      </c>
      <c r="T386" t="s">
        <v>443</v>
      </c>
      <c r="U386" t="s">
        <v>37</v>
      </c>
      <c r="V386" t="s">
        <v>267</v>
      </c>
      <c r="W386" t="s">
        <v>145</v>
      </c>
      <c r="X386" t="s">
        <v>179</v>
      </c>
      <c r="Y386" t="s">
        <v>281</v>
      </c>
      <c r="Z386" t="s">
        <v>41</v>
      </c>
      <c r="AA386" t="s">
        <v>42</v>
      </c>
      <c r="AB386" t="s">
        <v>43</v>
      </c>
      <c r="AC386" t="s">
        <v>66</v>
      </c>
    </row>
    <row r="387" spans="1:29" x14ac:dyDescent="0.3">
      <c r="A387">
        <v>367</v>
      </c>
      <c r="B387" t="s">
        <v>279</v>
      </c>
      <c r="C387" t="s">
        <v>267</v>
      </c>
      <c r="D387" t="s">
        <v>66</v>
      </c>
      <c r="E387" t="s">
        <v>32</v>
      </c>
      <c r="F387" s="3">
        <v>45657</v>
      </c>
      <c r="G387">
        <v>2024</v>
      </c>
      <c r="H387" t="s">
        <v>44</v>
      </c>
      <c r="I387" t="s">
        <v>53</v>
      </c>
      <c r="J387">
        <v>2</v>
      </c>
      <c r="K387">
        <v>5</v>
      </c>
      <c r="L387">
        <v>4.96</v>
      </c>
      <c r="M387">
        <v>0.99199999999999999</v>
      </c>
      <c r="N387">
        <v>0.99199999999999999</v>
      </c>
      <c r="O387" t="s">
        <v>58</v>
      </c>
      <c r="P387" t="s">
        <v>58</v>
      </c>
      <c r="Q387" t="s">
        <v>282</v>
      </c>
      <c r="R387">
        <v>2</v>
      </c>
      <c r="S387">
        <v>2</v>
      </c>
      <c r="T387" t="s">
        <v>31</v>
      </c>
      <c r="U387" t="s">
        <v>37</v>
      </c>
      <c r="V387" t="s">
        <v>267</v>
      </c>
      <c r="W387" t="s">
        <v>145</v>
      </c>
      <c r="X387" t="s">
        <v>179</v>
      </c>
      <c r="Y387" t="s">
        <v>281</v>
      </c>
      <c r="Z387" t="s">
        <v>41</v>
      </c>
      <c r="AA387" t="s">
        <v>42</v>
      </c>
      <c r="AB387" t="s">
        <v>43</v>
      </c>
      <c r="AC387" t="s">
        <v>66</v>
      </c>
    </row>
    <row r="388" spans="1:29" x14ac:dyDescent="0.3">
      <c r="A388">
        <v>367</v>
      </c>
      <c r="B388" t="s">
        <v>279</v>
      </c>
      <c r="C388" t="s">
        <v>267</v>
      </c>
      <c r="D388" t="s">
        <v>66</v>
      </c>
      <c r="E388" t="s">
        <v>32</v>
      </c>
      <c r="F388" s="3">
        <v>45657</v>
      </c>
      <c r="G388">
        <v>2024</v>
      </c>
      <c r="H388" t="s">
        <v>44</v>
      </c>
      <c r="I388" t="s">
        <v>53</v>
      </c>
      <c r="K388">
        <v>5</v>
      </c>
      <c r="L388">
        <v>4.96</v>
      </c>
      <c r="M388">
        <v>0.99199999999999999</v>
      </c>
      <c r="N388">
        <v>0.99199999999999999</v>
      </c>
      <c r="O388" t="s">
        <v>58</v>
      </c>
      <c r="P388" t="s">
        <v>58</v>
      </c>
      <c r="Q388" t="s">
        <v>282</v>
      </c>
      <c r="R388">
        <v>0</v>
      </c>
      <c r="S388">
        <v>2</v>
      </c>
      <c r="T388" t="s">
        <v>443</v>
      </c>
      <c r="U388" t="s">
        <v>37</v>
      </c>
      <c r="V388" t="s">
        <v>267</v>
      </c>
      <c r="W388" t="s">
        <v>145</v>
      </c>
      <c r="X388" t="s">
        <v>179</v>
      </c>
      <c r="Y388" t="s">
        <v>281</v>
      </c>
      <c r="Z388" t="s">
        <v>41</v>
      </c>
      <c r="AA388" t="s">
        <v>42</v>
      </c>
      <c r="AB388" t="s">
        <v>43</v>
      </c>
      <c r="AC388" t="s">
        <v>66</v>
      </c>
    </row>
    <row r="389" spans="1:29" x14ac:dyDescent="0.3">
      <c r="A389">
        <v>367</v>
      </c>
      <c r="B389" t="s">
        <v>279</v>
      </c>
      <c r="C389" t="s">
        <v>267</v>
      </c>
      <c r="D389" t="s">
        <v>66</v>
      </c>
      <c r="E389" t="s">
        <v>32</v>
      </c>
      <c r="F389" s="3">
        <v>45838</v>
      </c>
      <c r="G389">
        <v>2025</v>
      </c>
      <c r="H389" t="s">
        <v>33</v>
      </c>
      <c r="I389" t="s">
        <v>404</v>
      </c>
      <c r="K389">
        <v>5</v>
      </c>
      <c r="L389">
        <v>4.96</v>
      </c>
      <c r="M389">
        <v>0.99199999999999999</v>
      </c>
      <c r="N389">
        <v>0.99199999999999999</v>
      </c>
      <c r="O389" t="s">
        <v>58</v>
      </c>
      <c r="P389" t="s">
        <v>58</v>
      </c>
      <c r="Q389" t="s">
        <v>459</v>
      </c>
      <c r="R389">
        <v>1</v>
      </c>
      <c r="S389">
        <v>2</v>
      </c>
      <c r="T389" t="s">
        <v>443</v>
      </c>
      <c r="U389" t="s">
        <v>37</v>
      </c>
      <c r="V389" t="s">
        <v>267</v>
      </c>
      <c r="W389" t="s">
        <v>145</v>
      </c>
      <c r="X389" t="s">
        <v>179</v>
      </c>
      <c r="Y389" t="s">
        <v>281</v>
      </c>
      <c r="Z389" t="s">
        <v>41</v>
      </c>
      <c r="AA389" t="s">
        <v>42</v>
      </c>
      <c r="AB389" t="s">
        <v>43</v>
      </c>
      <c r="AC389" t="s">
        <v>66</v>
      </c>
    </row>
    <row r="390" spans="1:29" x14ac:dyDescent="0.3">
      <c r="A390">
        <v>369</v>
      </c>
      <c r="B390" t="s">
        <v>283</v>
      </c>
      <c r="C390" t="s">
        <v>267</v>
      </c>
      <c r="D390" t="s">
        <v>31</v>
      </c>
      <c r="E390" t="s">
        <v>32</v>
      </c>
      <c r="F390" s="3">
        <v>45107</v>
      </c>
      <c r="G390">
        <v>2023</v>
      </c>
      <c r="H390" t="s">
        <v>33</v>
      </c>
      <c r="I390" t="s">
        <v>47</v>
      </c>
      <c r="J390">
        <v>1</v>
      </c>
      <c r="K390">
        <v>0</v>
      </c>
      <c r="L390">
        <v>78</v>
      </c>
      <c r="O390" t="s">
        <v>284</v>
      </c>
      <c r="P390" t="s">
        <v>35</v>
      </c>
      <c r="Q390" t="s">
        <v>285</v>
      </c>
      <c r="R390">
        <v>0</v>
      </c>
      <c r="S390">
        <v>0</v>
      </c>
      <c r="T390" t="s">
        <v>31</v>
      </c>
      <c r="U390" t="s">
        <v>37</v>
      </c>
      <c r="V390" t="s">
        <v>267</v>
      </c>
      <c r="W390" t="s">
        <v>145</v>
      </c>
      <c r="X390" t="s">
        <v>179</v>
      </c>
      <c r="Y390" t="s">
        <v>273</v>
      </c>
      <c r="Z390" t="s">
        <v>41</v>
      </c>
      <c r="AA390" t="s">
        <v>42</v>
      </c>
      <c r="AB390" t="s">
        <v>78</v>
      </c>
      <c r="AC390" t="s">
        <v>66</v>
      </c>
    </row>
    <row r="391" spans="1:29" x14ac:dyDescent="0.3">
      <c r="A391">
        <v>369</v>
      </c>
      <c r="B391" t="s">
        <v>283</v>
      </c>
      <c r="C391" t="s">
        <v>267</v>
      </c>
      <c r="D391" t="s">
        <v>31</v>
      </c>
      <c r="E391" t="s">
        <v>32</v>
      </c>
      <c r="F391" s="3">
        <v>45291</v>
      </c>
      <c r="G391">
        <v>2023</v>
      </c>
      <c r="H391" t="s">
        <v>44</v>
      </c>
      <c r="I391" t="s">
        <v>49</v>
      </c>
      <c r="J391">
        <v>2</v>
      </c>
      <c r="K391">
        <v>0</v>
      </c>
      <c r="L391">
        <v>96</v>
      </c>
      <c r="O391" t="s">
        <v>284</v>
      </c>
      <c r="P391" t="s">
        <v>35</v>
      </c>
      <c r="Q391" t="s">
        <v>286</v>
      </c>
      <c r="R391">
        <v>0</v>
      </c>
      <c r="S391">
        <v>0</v>
      </c>
      <c r="T391" t="s">
        <v>31</v>
      </c>
      <c r="U391" t="s">
        <v>37</v>
      </c>
      <c r="V391" t="s">
        <v>267</v>
      </c>
      <c r="W391" t="s">
        <v>145</v>
      </c>
      <c r="X391" t="s">
        <v>179</v>
      </c>
      <c r="Y391" t="s">
        <v>273</v>
      </c>
      <c r="Z391" t="s">
        <v>41</v>
      </c>
      <c r="AA391" t="s">
        <v>42</v>
      </c>
      <c r="AB391" t="s">
        <v>78</v>
      </c>
      <c r="AC391" t="s">
        <v>66</v>
      </c>
    </row>
    <row r="392" spans="1:29" x14ac:dyDescent="0.3">
      <c r="A392">
        <v>369</v>
      </c>
      <c r="B392" t="s">
        <v>283</v>
      </c>
      <c r="C392" t="s">
        <v>267</v>
      </c>
      <c r="D392" t="s">
        <v>31</v>
      </c>
      <c r="E392" t="s">
        <v>32</v>
      </c>
      <c r="F392" s="3">
        <v>45291</v>
      </c>
      <c r="G392">
        <v>2023</v>
      </c>
      <c r="H392" t="s">
        <v>44</v>
      </c>
      <c r="I392" t="s">
        <v>49</v>
      </c>
      <c r="L392">
        <v>174</v>
      </c>
      <c r="O392" t="s">
        <v>284</v>
      </c>
      <c r="P392" t="s">
        <v>35</v>
      </c>
      <c r="Q392" t="s">
        <v>286</v>
      </c>
      <c r="R392">
        <v>0</v>
      </c>
      <c r="S392">
        <v>0</v>
      </c>
      <c r="T392" t="s">
        <v>443</v>
      </c>
      <c r="U392" t="s">
        <v>37</v>
      </c>
      <c r="V392" t="s">
        <v>267</v>
      </c>
      <c r="W392" t="s">
        <v>145</v>
      </c>
      <c r="X392" t="s">
        <v>179</v>
      </c>
      <c r="Y392" t="s">
        <v>273</v>
      </c>
      <c r="Z392" t="s">
        <v>41</v>
      </c>
      <c r="AA392" t="s">
        <v>42</v>
      </c>
      <c r="AB392" t="s">
        <v>78</v>
      </c>
      <c r="AC392" t="s">
        <v>66</v>
      </c>
    </row>
    <row r="393" spans="1:29" x14ac:dyDescent="0.3">
      <c r="A393">
        <v>369</v>
      </c>
      <c r="B393" t="s">
        <v>283</v>
      </c>
      <c r="C393" t="s">
        <v>267</v>
      </c>
      <c r="D393" t="s">
        <v>31</v>
      </c>
      <c r="E393" t="s">
        <v>32</v>
      </c>
      <c r="F393" s="3">
        <v>45473</v>
      </c>
      <c r="G393">
        <v>2024</v>
      </c>
      <c r="H393" t="s">
        <v>33</v>
      </c>
      <c r="I393" t="s">
        <v>51</v>
      </c>
      <c r="J393">
        <v>1</v>
      </c>
      <c r="K393">
        <v>80</v>
      </c>
      <c r="L393">
        <v>61</v>
      </c>
      <c r="M393">
        <v>0.76249999999999996</v>
      </c>
      <c r="N393">
        <v>0.76249999999999996</v>
      </c>
      <c r="O393" t="s">
        <v>35</v>
      </c>
      <c r="P393" t="s">
        <v>35</v>
      </c>
      <c r="Q393" t="s">
        <v>287</v>
      </c>
      <c r="R393">
        <v>0</v>
      </c>
      <c r="S393">
        <v>0</v>
      </c>
      <c r="T393" t="s">
        <v>31</v>
      </c>
      <c r="U393" t="s">
        <v>37</v>
      </c>
      <c r="V393" t="s">
        <v>267</v>
      </c>
      <c r="W393" t="s">
        <v>145</v>
      </c>
      <c r="X393" t="s">
        <v>179</v>
      </c>
      <c r="Y393" t="s">
        <v>273</v>
      </c>
      <c r="Z393" t="s">
        <v>41</v>
      </c>
      <c r="AA393" t="s">
        <v>42</v>
      </c>
      <c r="AB393" t="s">
        <v>78</v>
      </c>
      <c r="AC393" t="s">
        <v>66</v>
      </c>
    </row>
    <row r="394" spans="1:29" x14ac:dyDescent="0.3">
      <c r="A394">
        <v>369</v>
      </c>
      <c r="B394" t="s">
        <v>283</v>
      </c>
      <c r="C394" t="s">
        <v>267</v>
      </c>
      <c r="D394" t="s">
        <v>31</v>
      </c>
      <c r="E394" t="s">
        <v>32</v>
      </c>
      <c r="F394" s="3">
        <v>45657</v>
      </c>
      <c r="G394">
        <v>2024</v>
      </c>
      <c r="H394" t="s">
        <v>44</v>
      </c>
      <c r="I394" t="s">
        <v>53</v>
      </c>
      <c r="J394">
        <v>2</v>
      </c>
      <c r="K394">
        <v>108</v>
      </c>
      <c r="L394">
        <v>77</v>
      </c>
      <c r="M394">
        <v>0.71296296296296291</v>
      </c>
      <c r="N394">
        <v>0.71296296296296291</v>
      </c>
      <c r="O394" t="s">
        <v>35</v>
      </c>
      <c r="P394" t="s">
        <v>35</v>
      </c>
      <c r="Q394" t="s">
        <v>288</v>
      </c>
      <c r="R394">
        <v>0</v>
      </c>
      <c r="S394">
        <v>0</v>
      </c>
      <c r="T394" t="s">
        <v>31</v>
      </c>
      <c r="U394" t="s">
        <v>37</v>
      </c>
      <c r="V394" t="s">
        <v>267</v>
      </c>
      <c r="W394" t="s">
        <v>145</v>
      </c>
      <c r="X394" t="s">
        <v>179</v>
      </c>
      <c r="Y394" t="s">
        <v>273</v>
      </c>
      <c r="Z394" t="s">
        <v>41</v>
      </c>
      <c r="AA394" t="s">
        <v>42</v>
      </c>
      <c r="AB394" t="s">
        <v>78</v>
      </c>
      <c r="AC394" t="s">
        <v>66</v>
      </c>
    </row>
    <row r="395" spans="1:29" x14ac:dyDescent="0.3">
      <c r="A395">
        <v>369</v>
      </c>
      <c r="B395" t="s">
        <v>283</v>
      </c>
      <c r="C395" t="s">
        <v>267</v>
      </c>
      <c r="D395" t="s">
        <v>31</v>
      </c>
      <c r="E395" t="s">
        <v>32</v>
      </c>
      <c r="F395" s="3">
        <v>45657</v>
      </c>
      <c r="G395">
        <v>2024</v>
      </c>
      <c r="H395" t="s">
        <v>44</v>
      </c>
      <c r="I395" t="s">
        <v>53</v>
      </c>
      <c r="K395">
        <v>188</v>
      </c>
      <c r="L395">
        <v>138</v>
      </c>
      <c r="M395">
        <v>0.73404255319148937</v>
      </c>
      <c r="N395">
        <v>0.73404255319148937</v>
      </c>
      <c r="O395" t="s">
        <v>35</v>
      </c>
      <c r="P395" t="s">
        <v>35</v>
      </c>
      <c r="Q395" t="s">
        <v>288</v>
      </c>
      <c r="R395">
        <v>0</v>
      </c>
      <c r="S395">
        <v>0</v>
      </c>
      <c r="T395" t="s">
        <v>443</v>
      </c>
      <c r="U395" t="s">
        <v>37</v>
      </c>
      <c r="V395" t="s">
        <v>267</v>
      </c>
      <c r="W395" t="s">
        <v>145</v>
      </c>
      <c r="X395" t="s">
        <v>179</v>
      </c>
      <c r="Y395" t="s">
        <v>273</v>
      </c>
      <c r="Z395" t="s">
        <v>41</v>
      </c>
      <c r="AA395" t="s">
        <v>42</v>
      </c>
      <c r="AB395" t="s">
        <v>78</v>
      </c>
      <c r="AC395" t="s">
        <v>66</v>
      </c>
    </row>
    <row r="396" spans="1:29" x14ac:dyDescent="0.3">
      <c r="A396">
        <v>369</v>
      </c>
      <c r="B396" t="s">
        <v>283</v>
      </c>
      <c r="C396" t="s">
        <v>267</v>
      </c>
      <c r="D396" t="s">
        <v>31</v>
      </c>
      <c r="E396" t="s">
        <v>32</v>
      </c>
      <c r="F396" s="3">
        <v>45838</v>
      </c>
      <c r="G396">
        <v>2025</v>
      </c>
      <c r="H396" t="s">
        <v>33</v>
      </c>
      <c r="I396" t="s">
        <v>404</v>
      </c>
      <c r="J396">
        <v>1</v>
      </c>
      <c r="K396">
        <v>81</v>
      </c>
      <c r="L396">
        <v>72</v>
      </c>
      <c r="M396">
        <v>0.88888888888888884</v>
      </c>
      <c r="N396">
        <v>0.88888888888888884</v>
      </c>
      <c r="O396" t="s">
        <v>35</v>
      </c>
      <c r="P396" t="s">
        <v>35</v>
      </c>
      <c r="Q396" t="s">
        <v>428</v>
      </c>
      <c r="R396">
        <v>0</v>
      </c>
      <c r="S396">
        <v>0</v>
      </c>
      <c r="T396" t="s">
        <v>31</v>
      </c>
      <c r="U396" t="s">
        <v>37</v>
      </c>
      <c r="V396" t="s">
        <v>267</v>
      </c>
      <c r="W396" t="s">
        <v>145</v>
      </c>
      <c r="X396" t="s">
        <v>179</v>
      </c>
      <c r="Y396" t="s">
        <v>273</v>
      </c>
      <c r="Z396" t="s">
        <v>41</v>
      </c>
      <c r="AA396" t="s">
        <v>42</v>
      </c>
      <c r="AB396" t="s">
        <v>78</v>
      </c>
      <c r="AC396" t="s">
        <v>66</v>
      </c>
    </row>
    <row r="397" spans="1:29" x14ac:dyDescent="0.3">
      <c r="A397">
        <v>369</v>
      </c>
      <c r="B397" t="s">
        <v>283</v>
      </c>
      <c r="C397" t="s">
        <v>267</v>
      </c>
      <c r="D397" t="s">
        <v>31</v>
      </c>
      <c r="E397" t="s">
        <v>32</v>
      </c>
      <c r="F397" s="3">
        <v>45838</v>
      </c>
      <c r="G397">
        <v>2025</v>
      </c>
      <c r="H397" t="s">
        <v>33</v>
      </c>
      <c r="I397" t="s">
        <v>404</v>
      </c>
      <c r="K397">
        <v>81</v>
      </c>
      <c r="L397">
        <v>72</v>
      </c>
      <c r="M397">
        <v>0.88888888888888884</v>
      </c>
      <c r="N397">
        <v>0.88888888888888884</v>
      </c>
      <c r="O397" t="s">
        <v>35</v>
      </c>
      <c r="P397" t="s">
        <v>35</v>
      </c>
      <c r="Q397" t="s">
        <v>428</v>
      </c>
      <c r="R397">
        <v>0</v>
      </c>
      <c r="S397">
        <v>0</v>
      </c>
      <c r="T397" t="s">
        <v>443</v>
      </c>
      <c r="U397" t="s">
        <v>37</v>
      </c>
      <c r="V397" t="s">
        <v>267</v>
      </c>
      <c r="W397" t="s">
        <v>145</v>
      </c>
      <c r="X397" t="s">
        <v>179</v>
      </c>
      <c r="Y397" t="s">
        <v>273</v>
      </c>
      <c r="Z397" t="s">
        <v>41</v>
      </c>
      <c r="AA397" t="s">
        <v>42</v>
      </c>
      <c r="AB397" t="s">
        <v>78</v>
      </c>
      <c r="AC397" t="s">
        <v>66</v>
      </c>
    </row>
    <row r="398" spans="1:29" x14ac:dyDescent="0.3">
      <c r="A398">
        <v>376</v>
      </c>
      <c r="B398" t="s">
        <v>289</v>
      </c>
      <c r="C398" t="s">
        <v>142</v>
      </c>
      <c r="D398" t="s">
        <v>31</v>
      </c>
      <c r="E398" t="s">
        <v>32</v>
      </c>
      <c r="F398" s="3">
        <v>44925</v>
      </c>
      <c r="G398">
        <v>2022</v>
      </c>
      <c r="H398" t="s">
        <v>44</v>
      </c>
      <c r="I398" t="s">
        <v>45</v>
      </c>
      <c r="J398">
        <v>2</v>
      </c>
      <c r="K398">
        <v>16064</v>
      </c>
      <c r="L398">
        <v>24140</v>
      </c>
      <c r="M398">
        <v>1.3</v>
      </c>
      <c r="N398">
        <f>L398/K398</f>
        <v>1.5027390438247012</v>
      </c>
      <c r="O398" t="s">
        <v>143</v>
      </c>
      <c r="P398" t="s">
        <v>143</v>
      </c>
      <c r="Q398" t="s">
        <v>291</v>
      </c>
      <c r="R398">
        <v>0</v>
      </c>
      <c r="S398">
        <v>0</v>
      </c>
      <c r="T398" t="s">
        <v>31</v>
      </c>
      <c r="U398" t="s">
        <v>37</v>
      </c>
      <c r="V398" t="s">
        <v>142</v>
      </c>
      <c r="W398" t="s">
        <v>145</v>
      </c>
      <c r="X398" t="s">
        <v>146</v>
      </c>
      <c r="Y398" t="s">
        <v>147</v>
      </c>
      <c r="Z398" t="s">
        <v>63</v>
      </c>
      <c r="AA398" t="s">
        <v>148</v>
      </c>
      <c r="AB398" t="s">
        <v>78</v>
      </c>
      <c r="AC398" t="s">
        <v>66</v>
      </c>
    </row>
    <row r="399" spans="1:29" x14ac:dyDescent="0.3">
      <c r="A399">
        <v>376</v>
      </c>
      <c r="B399" t="s">
        <v>289</v>
      </c>
      <c r="C399" t="s">
        <v>142</v>
      </c>
      <c r="D399" t="s">
        <v>31</v>
      </c>
      <c r="E399" t="s">
        <v>32</v>
      </c>
      <c r="F399" s="3">
        <v>44925</v>
      </c>
      <c r="G399">
        <v>2022</v>
      </c>
      <c r="H399" t="s">
        <v>44</v>
      </c>
      <c r="I399" t="s">
        <v>45</v>
      </c>
      <c r="K399">
        <v>16064</v>
      </c>
      <c r="L399">
        <v>24140</v>
      </c>
      <c r="M399">
        <v>1.3</v>
      </c>
      <c r="N399">
        <v>1.502739043824701</v>
      </c>
      <c r="O399" t="s">
        <v>143</v>
      </c>
      <c r="P399" t="s">
        <v>143</v>
      </c>
      <c r="Q399" t="s">
        <v>291</v>
      </c>
      <c r="R399">
        <v>0</v>
      </c>
      <c r="S399">
        <v>0</v>
      </c>
      <c r="T399" t="s">
        <v>443</v>
      </c>
      <c r="U399" t="s">
        <v>37</v>
      </c>
      <c r="V399" t="s">
        <v>142</v>
      </c>
      <c r="W399" t="s">
        <v>145</v>
      </c>
      <c r="X399" t="s">
        <v>146</v>
      </c>
      <c r="Y399" t="s">
        <v>147</v>
      </c>
      <c r="Z399" t="s">
        <v>63</v>
      </c>
      <c r="AA399" t="s">
        <v>148</v>
      </c>
      <c r="AB399" t="s">
        <v>78</v>
      </c>
      <c r="AC399" t="s">
        <v>66</v>
      </c>
    </row>
    <row r="400" spans="1:29" x14ac:dyDescent="0.3">
      <c r="A400">
        <v>376</v>
      </c>
      <c r="B400" t="s">
        <v>289</v>
      </c>
      <c r="C400" t="s">
        <v>142</v>
      </c>
      <c r="D400" t="s">
        <v>31</v>
      </c>
      <c r="E400" t="s">
        <v>32</v>
      </c>
      <c r="F400" s="3">
        <v>45291</v>
      </c>
      <c r="G400">
        <v>2023</v>
      </c>
      <c r="H400" t="s">
        <v>44</v>
      </c>
      <c r="I400" t="s">
        <v>49</v>
      </c>
      <c r="J400">
        <v>2</v>
      </c>
      <c r="K400">
        <v>26073.47270271854</v>
      </c>
      <c r="L400">
        <v>26403.087925999898</v>
      </c>
      <c r="M400">
        <v>1.012641784507939</v>
      </c>
      <c r="N400">
        <v>1.012641784507939</v>
      </c>
      <c r="O400" t="s">
        <v>143</v>
      </c>
      <c r="P400" t="s">
        <v>143</v>
      </c>
      <c r="Q400" t="s">
        <v>293</v>
      </c>
      <c r="R400">
        <v>0</v>
      </c>
      <c r="S400">
        <v>0</v>
      </c>
      <c r="T400" t="s">
        <v>31</v>
      </c>
      <c r="U400" t="s">
        <v>37</v>
      </c>
      <c r="V400" t="s">
        <v>142</v>
      </c>
      <c r="W400" t="s">
        <v>145</v>
      </c>
      <c r="X400" t="s">
        <v>146</v>
      </c>
      <c r="Y400" t="s">
        <v>147</v>
      </c>
      <c r="Z400" t="s">
        <v>63</v>
      </c>
      <c r="AA400" t="s">
        <v>148</v>
      </c>
      <c r="AB400" t="s">
        <v>78</v>
      </c>
      <c r="AC400" t="s">
        <v>66</v>
      </c>
    </row>
    <row r="401" spans="1:29" x14ac:dyDescent="0.3">
      <c r="A401">
        <v>376</v>
      </c>
      <c r="B401" t="s">
        <v>289</v>
      </c>
      <c r="C401" t="s">
        <v>142</v>
      </c>
      <c r="D401" t="s">
        <v>31</v>
      </c>
      <c r="E401" t="s">
        <v>32</v>
      </c>
      <c r="F401" s="3">
        <v>45291</v>
      </c>
      <c r="G401">
        <v>2023</v>
      </c>
      <c r="H401" t="s">
        <v>44</v>
      </c>
      <c r="I401" t="s">
        <v>49</v>
      </c>
      <c r="K401">
        <v>26073.47270271854</v>
      </c>
      <c r="L401">
        <v>26403.087925999949</v>
      </c>
      <c r="M401">
        <v>1.012641784507939</v>
      </c>
      <c r="N401">
        <v>1.012641784507939</v>
      </c>
      <c r="O401" t="s">
        <v>143</v>
      </c>
      <c r="P401" t="s">
        <v>143</v>
      </c>
      <c r="Q401" t="s">
        <v>293</v>
      </c>
      <c r="R401">
        <v>0</v>
      </c>
      <c r="S401">
        <v>0</v>
      </c>
      <c r="T401" t="s">
        <v>443</v>
      </c>
      <c r="U401" t="s">
        <v>37</v>
      </c>
      <c r="V401" t="s">
        <v>142</v>
      </c>
      <c r="W401" t="s">
        <v>145</v>
      </c>
      <c r="X401" t="s">
        <v>146</v>
      </c>
      <c r="Y401" t="s">
        <v>147</v>
      </c>
      <c r="Z401" t="s">
        <v>63</v>
      </c>
      <c r="AA401" t="s">
        <v>148</v>
      </c>
      <c r="AB401" t="s">
        <v>78</v>
      </c>
      <c r="AC401" t="s">
        <v>66</v>
      </c>
    </row>
    <row r="402" spans="1:29" x14ac:dyDescent="0.3">
      <c r="A402">
        <v>376</v>
      </c>
      <c r="B402" t="s">
        <v>289</v>
      </c>
      <c r="C402" t="s">
        <v>142</v>
      </c>
      <c r="D402" t="s">
        <v>31</v>
      </c>
      <c r="E402" t="s">
        <v>32</v>
      </c>
      <c r="F402" s="3">
        <v>45657</v>
      </c>
      <c r="G402">
        <v>2024</v>
      </c>
      <c r="H402" t="s">
        <v>44</v>
      </c>
      <c r="I402" t="s">
        <v>53</v>
      </c>
      <c r="J402">
        <v>2</v>
      </c>
      <c r="K402">
        <v>27010.108280834509</v>
      </c>
      <c r="L402">
        <v>29467.922112</v>
      </c>
      <c r="M402">
        <v>1.0909960747143497</v>
      </c>
      <c r="N402">
        <v>1.0909960747143497</v>
      </c>
      <c r="O402" t="s">
        <v>143</v>
      </c>
      <c r="P402" t="s">
        <v>143</v>
      </c>
      <c r="Q402" t="s">
        <v>295</v>
      </c>
      <c r="R402">
        <v>0</v>
      </c>
      <c r="S402">
        <v>0</v>
      </c>
      <c r="T402" t="s">
        <v>31</v>
      </c>
      <c r="U402" t="s">
        <v>37</v>
      </c>
      <c r="V402" t="s">
        <v>142</v>
      </c>
      <c r="W402" t="s">
        <v>145</v>
      </c>
      <c r="X402" t="s">
        <v>146</v>
      </c>
      <c r="Y402" t="s">
        <v>147</v>
      </c>
      <c r="Z402" t="s">
        <v>63</v>
      </c>
      <c r="AA402" t="s">
        <v>148</v>
      </c>
      <c r="AB402" t="s">
        <v>78</v>
      </c>
      <c r="AC402" t="s">
        <v>66</v>
      </c>
    </row>
    <row r="403" spans="1:29" x14ac:dyDescent="0.3">
      <c r="A403">
        <v>376</v>
      </c>
      <c r="B403" t="s">
        <v>289</v>
      </c>
      <c r="C403" t="s">
        <v>142</v>
      </c>
      <c r="D403" t="s">
        <v>31</v>
      </c>
      <c r="E403" t="s">
        <v>32</v>
      </c>
      <c r="F403" s="3">
        <v>45657</v>
      </c>
      <c r="G403">
        <v>2024</v>
      </c>
      <c r="H403" t="s">
        <v>44</v>
      </c>
      <c r="I403" t="s">
        <v>53</v>
      </c>
      <c r="K403">
        <v>27010.108280834509</v>
      </c>
      <c r="L403">
        <v>29467.922112</v>
      </c>
      <c r="M403">
        <v>1.0909960747143499</v>
      </c>
      <c r="N403">
        <v>1.0909960747143499</v>
      </c>
      <c r="O403" t="s">
        <v>143</v>
      </c>
      <c r="P403" t="s">
        <v>143</v>
      </c>
      <c r="Q403" t="s">
        <v>295</v>
      </c>
      <c r="R403">
        <v>0</v>
      </c>
      <c r="S403">
        <v>0</v>
      </c>
      <c r="T403" t="s">
        <v>443</v>
      </c>
      <c r="U403" t="s">
        <v>37</v>
      </c>
      <c r="V403" t="s">
        <v>142</v>
      </c>
      <c r="W403" t="s">
        <v>145</v>
      </c>
      <c r="X403" t="s">
        <v>146</v>
      </c>
      <c r="Y403" t="s">
        <v>147</v>
      </c>
      <c r="Z403" t="s">
        <v>63</v>
      </c>
      <c r="AA403" t="s">
        <v>148</v>
      </c>
      <c r="AB403" t="s">
        <v>78</v>
      </c>
      <c r="AC403" t="s">
        <v>66</v>
      </c>
    </row>
    <row r="404" spans="1:29" x14ac:dyDescent="0.3">
      <c r="A404">
        <v>376</v>
      </c>
      <c r="B404" t="s">
        <v>289</v>
      </c>
      <c r="C404" t="s">
        <v>142</v>
      </c>
      <c r="D404" t="s">
        <v>31</v>
      </c>
      <c r="E404" t="s">
        <v>32</v>
      </c>
      <c r="F404" s="3">
        <v>45838</v>
      </c>
      <c r="G404">
        <v>2025</v>
      </c>
      <c r="H404" t="s">
        <v>33</v>
      </c>
      <c r="I404" t="s">
        <v>404</v>
      </c>
      <c r="J404">
        <v>1</v>
      </c>
      <c r="K404">
        <v>18705.796225999999</v>
      </c>
      <c r="L404">
        <v>22048.226769000001</v>
      </c>
      <c r="M404">
        <v>1.178684216518632</v>
      </c>
      <c r="N404">
        <v>1.178684216518632</v>
      </c>
      <c r="O404" t="s">
        <v>143</v>
      </c>
      <c r="P404" t="s">
        <v>143</v>
      </c>
      <c r="Q404" t="s">
        <v>425</v>
      </c>
      <c r="R404">
        <v>0</v>
      </c>
      <c r="S404">
        <v>0</v>
      </c>
      <c r="T404" t="s">
        <v>31</v>
      </c>
      <c r="U404" t="s">
        <v>37</v>
      </c>
      <c r="V404" t="s">
        <v>142</v>
      </c>
      <c r="W404" t="s">
        <v>145</v>
      </c>
      <c r="X404" t="s">
        <v>146</v>
      </c>
      <c r="Y404" t="s">
        <v>147</v>
      </c>
      <c r="Z404" t="s">
        <v>63</v>
      </c>
      <c r="AA404" t="s">
        <v>148</v>
      </c>
      <c r="AB404" t="s">
        <v>78</v>
      </c>
      <c r="AC404" t="s">
        <v>66</v>
      </c>
    </row>
    <row r="405" spans="1:29" x14ac:dyDescent="0.3">
      <c r="A405">
        <v>376</v>
      </c>
      <c r="B405" t="s">
        <v>289</v>
      </c>
      <c r="C405" t="s">
        <v>142</v>
      </c>
      <c r="D405" t="s">
        <v>31</v>
      </c>
      <c r="E405" t="s">
        <v>32</v>
      </c>
      <c r="F405" s="3">
        <v>45838</v>
      </c>
      <c r="G405">
        <v>2025</v>
      </c>
      <c r="H405" t="s">
        <v>33</v>
      </c>
      <c r="I405" t="s">
        <v>404</v>
      </c>
      <c r="K405">
        <v>32126.483745582696</v>
      </c>
      <c r="L405">
        <v>32126.483745582696</v>
      </c>
      <c r="M405">
        <v>1</v>
      </c>
      <c r="N405">
        <v>1</v>
      </c>
      <c r="O405" t="s">
        <v>143</v>
      </c>
      <c r="P405" t="s">
        <v>143</v>
      </c>
      <c r="Q405" t="s">
        <v>425</v>
      </c>
      <c r="R405">
        <v>0</v>
      </c>
      <c r="S405">
        <v>0</v>
      </c>
      <c r="T405" t="s">
        <v>443</v>
      </c>
      <c r="U405" t="s">
        <v>37</v>
      </c>
      <c r="V405" t="s">
        <v>142</v>
      </c>
      <c r="W405" t="s">
        <v>145</v>
      </c>
      <c r="X405" t="s">
        <v>146</v>
      </c>
      <c r="Y405" t="s">
        <v>147</v>
      </c>
      <c r="Z405" t="s">
        <v>63</v>
      </c>
      <c r="AA405" t="s">
        <v>148</v>
      </c>
      <c r="AB405" t="s">
        <v>78</v>
      </c>
      <c r="AC405" t="s">
        <v>66</v>
      </c>
    </row>
    <row r="406" spans="1:29" x14ac:dyDescent="0.3">
      <c r="A406">
        <v>377</v>
      </c>
      <c r="B406" t="s">
        <v>296</v>
      </c>
      <c r="C406" t="s">
        <v>142</v>
      </c>
      <c r="D406" t="s">
        <v>31</v>
      </c>
      <c r="E406" t="s">
        <v>32</v>
      </c>
      <c r="F406" s="3">
        <v>45107</v>
      </c>
      <c r="G406">
        <v>2023</v>
      </c>
      <c r="H406" t="s">
        <v>33</v>
      </c>
      <c r="I406" t="s">
        <v>47</v>
      </c>
      <c r="J406">
        <v>1</v>
      </c>
      <c r="K406">
        <v>7200.908222</v>
      </c>
      <c r="L406">
        <v>1606.8681489999999</v>
      </c>
      <c r="M406">
        <v>1.3</v>
      </c>
      <c r="N406">
        <v>4.4813311076464686</v>
      </c>
      <c r="O406" t="s">
        <v>143</v>
      </c>
      <c r="P406" t="s">
        <v>143</v>
      </c>
      <c r="Q406" t="s">
        <v>297</v>
      </c>
      <c r="R406">
        <v>0</v>
      </c>
      <c r="S406">
        <v>0</v>
      </c>
      <c r="T406" t="s">
        <v>31</v>
      </c>
      <c r="U406" t="s">
        <v>37</v>
      </c>
      <c r="V406" t="s">
        <v>142</v>
      </c>
      <c r="W406" t="s">
        <v>145</v>
      </c>
      <c r="X406" t="s">
        <v>146</v>
      </c>
      <c r="Y406" t="s">
        <v>147</v>
      </c>
      <c r="Z406" t="s">
        <v>63</v>
      </c>
      <c r="AA406" t="s">
        <v>148</v>
      </c>
      <c r="AB406" t="s">
        <v>78</v>
      </c>
      <c r="AC406" t="s">
        <v>66</v>
      </c>
    </row>
    <row r="407" spans="1:29" x14ac:dyDescent="0.3">
      <c r="A407">
        <v>377</v>
      </c>
      <c r="B407" t="s">
        <v>296</v>
      </c>
      <c r="C407" t="s">
        <v>142</v>
      </c>
      <c r="D407" t="s">
        <v>31</v>
      </c>
      <c r="E407" t="s">
        <v>32</v>
      </c>
      <c r="F407" s="3">
        <v>45291</v>
      </c>
      <c r="G407">
        <v>2023</v>
      </c>
      <c r="H407" t="s">
        <v>44</v>
      </c>
      <c r="I407" t="s">
        <v>49</v>
      </c>
      <c r="J407">
        <v>2</v>
      </c>
      <c r="K407">
        <v>12518.005306706251</v>
      </c>
      <c r="L407">
        <v>7607.1384189999999</v>
      </c>
      <c r="M407">
        <v>1.3</v>
      </c>
      <c r="N407">
        <v>1.6455603430904591</v>
      </c>
      <c r="O407" t="s">
        <v>143</v>
      </c>
      <c r="P407" t="s">
        <v>143</v>
      </c>
      <c r="Q407" t="s">
        <v>298</v>
      </c>
      <c r="R407">
        <v>0</v>
      </c>
      <c r="S407">
        <v>0</v>
      </c>
      <c r="T407" t="s">
        <v>31</v>
      </c>
      <c r="U407" t="s">
        <v>37</v>
      </c>
      <c r="V407" t="s">
        <v>142</v>
      </c>
      <c r="W407" t="s">
        <v>145</v>
      </c>
      <c r="X407" t="s">
        <v>146</v>
      </c>
      <c r="Y407" t="s">
        <v>147</v>
      </c>
      <c r="Z407" t="s">
        <v>63</v>
      </c>
      <c r="AA407" t="s">
        <v>148</v>
      </c>
      <c r="AB407" t="s">
        <v>78</v>
      </c>
      <c r="AC407" t="s">
        <v>66</v>
      </c>
    </row>
    <row r="408" spans="1:29" x14ac:dyDescent="0.3">
      <c r="A408">
        <v>377</v>
      </c>
      <c r="B408" t="s">
        <v>296</v>
      </c>
      <c r="C408" t="s">
        <v>142</v>
      </c>
      <c r="D408" t="s">
        <v>31</v>
      </c>
      <c r="E408" t="s">
        <v>32</v>
      </c>
      <c r="F408" s="3">
        <v>45291</v>
      </c>
      <c r="G408">
        <v>2023</v>
      </c>
      <c r="H408" t="s">
        <v>44</v>
      </c>
      <c r="I408" t="s">
        <v>49</v>
      </c>
      <c r="K408">
        <v>12518.005306706251</v>
      </c>
      <c r="L408">
        <v>7607.138418999999</v>
      </c>
      <c r="M408">
        <v>1.3</v>
      </c>
      <c r="N408">
        <v>1.64556034309046</v>
      </c>
      <c r="O408" t="s">
        <v>143</v>
      </c>
      <c r="P408" t="s">
        <v>143</v>
      </c>
      <c r="Q408" t="s">
        <v>298</v>
      </c>
      <c r="R408">
        <v>0</v>
      </c>
      <c r="S408">
        <v>0</v>
      </c>
      <c r="T408" t="s">
        <v>443</v>
      </c>
      <c r="U408" t="s">
        <v>37</v>
      </c>
      <c r="V408" t="s">
        <v>142</v>
      </c>
      <c r="W408" t="s">
        <v>145</v>
      </c>
      <c r="X408" t="s">
        <v>146</v>
      </c>
      <c r="Y408" t="s">
        <v>147</v>
      </c>
      <c r="Z408" t="s">
        <v>63</v>
      </c>
      <c r="AA408" t="s">
        <v>148</v>
      </c>
      <c r="AB408" t="s">
        <v>78</v>
      </c>
      <c r="AC408" t="s">
        <v>66</v>
      </c>
    </row>
    <row r="409" spans="1:29" x14ac:dyDescent="0.3">
      <c r="A409">
        <v>377</v>
      </c>
      <c r="B409" t="s">
        <v>296</v>
      </c>
      <c r="C409" t="s">
        <v>142</v>
      </c>
      <c r="D409" t="s">
        <v>31</v>
      </c>
      <c r="E409" t="s">
        <v>32</v>
      </c>
      <c r="F409" s="3">
        <v>45473</v>
      </c>
      <c r="G409">
        <v>2024</v>
      </c>
      <c r="H409" t="s">
        <v>33</v>
      </c>
      <c r="I409" t="s">
        <v>51</v>
      </c>
      <c r="J409">
        <v>1</v>
      </c>
      <c r="K409">
        <v>4468.4024010000003</v>
      </c>
      <c r="L409">
        <v>2155.4775049999998</v>
      </c>
      <c r="M409">
        <v>1.3</v>
      </c>
      <c r="N409">
        <v>2.0730452489690911</v>
      </c>
      <c r="O409" t="s">
        <v>143</v>
      </c>
      <c r="P409" t="s">
        <v>143</v>
      </c>
      <c r="Q409" t="s">
        <v>299</v>
      </c>
      <c r="R409">
        <v>0</v>
      </c>
      <c r="S409">
        <v>0</v>
      </c>
      <c r="T409" t="s">
        <v>31</v>
      </c>
      <c r="U409" t="s">
        <v>37</v>
      </c>
      <c r="V409" t="s">
        <v>142</v>
      </c>
      <c r="W409" t="s">
        <v>145</v>
      </c>
      <c r="X409" t="s">
        <v>146</v>
      </c>
      <c r="Y409" t="s">
        <v>147</v>
      </c>
      <c r="Z409" t="s">
        <v>63</v>
      </c>
      <c r="AA409" t="s">
        <v>148</v>
      </c>
      <c r="AB409" t="s">
        <v>78</v>
      </c>
      <c r="AC409" t="s">
        <v>66</v>
      </c>
    </row>
    <row r="410" spans="1:29" x14ac:dyDescent="0.3">
      <c r="A410">
        <v>377</v>
      </c>
      <c r="B410" t="s">
        <v>296</v>
      </c>
      <c r="C410" t="s">
        <v>142</v>
      </c>
      <c r="D410" t="s">
        <v>31</v>
      </c>
      <c r="E410" t="s">
        <v>32</v>
      </c>
      <c r="F410" s="3">
        <v>45657</v>
      </c>
      <c r="G410">
        <v>2024</v>
      </c>
      <c r="H410" t="s">
        <v>44</v>
      </c>
      <c r="I410" t="s">
        <v>53</v>
      </c>
      <c r="J410">
        <v>2</v>
      </c>
      <c r="K410">
        <v>9557.1950106811255</v>
      </c>
      <c r="L410">
        <v>11947.626618</v>
      </c>
      <c r="M410">
        <v>1.2501185342192269</v>
      </c>
      <c r="N410">
        <v>1.2501185342192269</v>
      </c>
      <c r="O410" t="s">
        <v>143</v>
      </c>
      <c r="P410" t="s">
        <v>143</v>
      </c>
      <c r="Q410" t="s">
        <v>300</v>
      </c>
      <c r="R410">
        <v>0</v>
      </c>
      <c r="S410">
        <v>0</v>
      </c>
      <c r="T410" t="s">
        <v>31</v>
      </c>
      <c r="U410" t="s">
        <v>37</v>
      </c>
      <c r="V410" t="s">
        <v>142</v>
      </c>
      <c r="W410" t="s">
        <v>145</v>
      </c>
      <c r="X410" t="s">
        <v>146</v>
      </c>
      <c r="Y410" t="s">
        <v>147</v>
      </c>
      <c r="Z410" t="s">
        <v>63</v>
      </c>
      <c r="AA410" t="s">
        <v>148</v>
      </c>
      <c r="AB410" t="s">
        <v>78</v>
      </c>
      <c r="AC410" t="s">
        <v>66</v>
      </c>
    </row>
    <row r="411" spans="1:29" x14ac:dyDescent="0.3">
      <c r="A411">
        <v>377</v>
      </c>
      <c r="B411" t="s">
        <v>296</v>
      </c>
      <c r="C411" t="s">
        <v>142</v>
      </c>
      <c r="D411" t="s">
        <v>31</v>
      </c>
      <c r="E411" t="s">
        <v>32</v>
      </c>
      <c r="F411" s="3">
        <v>45657</v>
      </c>
      <c r="G411">
        <v>2024</v>
      </c>
      <c r="H411" t="s">
        <v>44</v>
      </c>
      <c r="I411" t="s">
        <v>53</v>
      </c>
      <c r="K411">
        <v>9557.1950106811255</v>
      </c>
      <c r="L411">
        <v>11947.626618</v>
      </c>
      <c r="M411">
        <v>1.2501185342192269</v>
      </c>
      <c r="N411">
        <v>1.2501185342192269</v>
      </c>
      <c r="O411" t="s">
        <v>143</v>
      </c>
      <c r="P411" t="s">
        <v>143</v>
      </c>
      <c r="Q411" t="s">
        <v>300</v>
      </c>
      <c r="R411">
        <v>0</v>
      </c>
      <c r="S411">
        <v>0</v>
      </c>
      <c r="T411" t="s">
        <v>443</v>
      </c>
      <c r="U411" t="s">
        <v>37</v>
      </c>
      <c r="V411" t="s">
        <v>142</v>
      </c>
      <c r="W411" t="s">
        <v>145</v>
      </c>
      <c r="X411" t="s">
        <v>146</v>
      </c>
      <c r="Y411" t="s">
        <v>147</v>
      </c>
      <c r="Z411" t="s">
        <v>63</v>
      </c>
      <c r="AA411" t="s">
        <v>148</v>
      </c>
      <c r="AB411" t="s">
        <v>78</v>
      </c>
      <c r="AC411" t="s">
        <v>66</v>
      </c>
    </row>
    <row r="412" spans="1:29" x14ac:dyDescent="0.3">
      <c r="A412">
        <v>377</v>
      </c>
      <c r="B412" t="s">
        <v>296</v>
      </c>
      <c r="C412" t="s">
        <v>142</v>
      </c>
      <c r="D412" t="s">
        <v>31</v>
      </c>
      <c r="E412" t="s">
        <v>32</v>
      </c>
      <c r="F412" s="3">
        <v>45838</v>
      </c>
      <c r="G412">
        <v>2025</v>
      </c>
      <c r="H412" t="s">
        <v>33</v>
      </c>
      <c r="I412" t="s">
        <v>404</v>
      </c>
      <c r="K412">
        <v>9557.1950106811255</v>
      </c>
      <c r="L412">
        <v>11947.626618</v>
      </c>
      <c r="M412">
        <v>1.2501185342192269</v>
      </c>
      <c r="N412">
        <v>1.2501185342192269</v>
      </c>
      <c r="O412" t="s">
        <v>143</v>
      </c>
      <c r="P412" t="s">
        <v>143</v>
      </c>
      <c r="Q412" t="s">
        <v>458</v>
      </c>
      <c r="R412">
        <v>0</v>
      </c>
      <c r="S412">
        <v>0</v>
      </c>
      <c r="T412" t="s">
        <v>443</v>
      </c>
      <c r="U412" t="s">
        <v>37</v>
      </c>
      <c r="V412" t="s">
        <v>142</v>
      </c>
      <c r="W412" t="s">
        <v>145</v>
      </c>
      <c r="X412" t="s">
        <v>146</v>
      </c>
      <c r="Y412" t="s">
        <v>147</v>
      </c>
      <c r="Z412" t="s">
        <v>63</v>
      </c>
      <c r="AA412" t="s">
        <v>148</v>
      </c>
      <c r="AB412" t="s">
        <v>78</v>
      </c>
      <c r="AC412" t="s">
        <v>66</v>
      </c>
    </row>
    <row r="413" spans="1:29" x14ac:dyDescent="0.3">
      <c r="A413">
        <v>379</v>
      </c>
      <c r="B413" t="s">
        <v>301</v>
      </c>
      <c r="C413" t="s">
        <v>302</v>
      </c>
      <c r="D413" t="s">
        <v>31</v>
      </c>
      <c r="E413" t="s">
        <v>32</v>
      </c>
      <c r="F413" s="3">
        <v>43281</v>
      </c>
      <c r="G413">
        <f t="shared" ref="G413:G424" si="28">YEAR(F413)</f>
        <v>2018</v>
      </c>
      <c r="H413" t="str">
        <f t="shared" ref="H413:H424" si="29">PROPER(TEXT(F413,"mmmm"))</f>
        <v>Junio</v>
      </c>
      <c r="I413" t="str">
        <f t="shared" ref="I413:I424" si="30">IF(H413="Junio",G413&amp;"-1",G413&amp;"-2")</f>
        <v>2018-1</v>
      </c>
      <c r="J413">
        <v>1</v>
      </c>
      <c r="L413" s="4">
        <v>11960</v>
      </c>
      <c r="O413" t="s">
        <v>35</v>
      </c>
      <c r="P413" t="s">
        <v>35</v>
      </c>
      <c r="Q413" t="str">
        <f t="shared" ref="Q413:Q424" si="31">A413&amp;"-"&amp;TEXT(F413,"yyyy-mm-dd")</f>
        <v>379-2018-06-30</v>
      </c>
      <c r="R413">
        <v>0</v>
      </c>
      <c r="S413">
        <v>0</v>
      </c>
      <c r="T413" t="s">
        <v>31</v>
      </c>
      <c r="U413" t="s">
        <v>37</v>
      </c>
      <c r="V413" t="s">
        <v>302</v>
      </c>
      <c r="W413" t="s">
        <v>38</v>
      </c>
      <c r="X413" t="s">
        <v>39</v>
      </c>
      <c r="Y413" t="s">
        <v>40</v>
      </c>
      <c r="Z413" t="s">
        <v>41</v>
      </c>
      <c r="AA413" t="s">
        <v>42</v>
      </c>
      <c r="AB413" t="s">
        <v>78</v>
      </c>
      <c r="AC413" t="s">
        <v>31</v>
      </c>
    </row>
    <row r="414" spans="1:29" x14ac:dyDescent="0.3">
      <c r="A414">
        <v>379</v>
      </c>
      <c r="B414" t="s">
        <v>301</v>
      </c>
      <c r="C414" t="s">
        <v>302</v>
      </c>
      <c r="D414" t="s">
        <v>31</v>
      </c>
      <c r="E414" t="s">
        <v>32</v>
      </c>
      <c r="F414" s="3">
        <v>43465</v>
      </c>
      <c r="G414">
        <f t="shared" si="28"/>
        <v>2018</v>
      </c>
      <c r="H414" t="str">
        <f t="shared" si="29"/>
        <v>Diciembre</v>
      </c>
      <c r="I414" t="str">
        <f t="shared" si="30"/>
        <v>2018-2</v>
      </c>
      <c r="L414">
        <v>22872</v>
      </c>
      <c r="O414" t="s">
        <v>35</v>
      </c>
      <c r="P414" t="s">
        <v>35</v>
      </c>
      <c r="Q414" t="str">
        <f t="shared" si="31"/>
        <v>379-2018-12-31</v>
      </c>
      <c r="R414">
        <v>0</v>
      </c>
      <c r="S414">
        <v>0</v>
      </c>
      <c r="T414" t="s">
        <v>443</v>
      </c>
      <c r="U414" t="s">
        <v>37</v>
      </c>
      <c r="V414" t="s">
        <v>302</v>
      </c>
      <c r="W414" t="s">
        <v>38</v>
      </c>
      <c r="X414" t="s">
        <v>39</v>
      </c>
      <c r="Y414" t="s">
        <v>40</v>
      </c>
      <c r="Z414" t="s">
        <v>41</v>
      </c>
      <c r="AA414" t="s">
        <v>42</v>
      </c>
      <c r="AB414" t="s">
        <v>78</v>
      </c>
      <c r="AC414" t="s">
        <v>31</v>
      </c>
    </row>
    <row r="415" spans="1:29" x14ac:dyDescent="0.3">
      <c r="A415">
        <v>379</v>
      </c>
      <c r="B415" t="s">
        <v>301</v>
      </c>
      <c r="C415" t="s">
        <v>302</v>
      </c>
      <c r="D415" t="s">
        <v>31</v>
      </c>
      <c r="E415" t="s">
        <v>32</v>
      </c>
      <c r="F415" s="3">
        <v>43465</v>
      </c>
      <c r="G415">
        <f t="shared" si="28"/>
        <v>2018</v>
      </c>
      <c r="H415" t="str">
        <f t="shared" si="29"/>
        <v>Diciembre</v>
      </c>
      <c r="I415" t="str">
        <f t="shared" si="30"/>
        <v>2018-2</v>
      </c>
      <c r="J415">
        <v>2</v>
      </c>
      <c r="L415" s="4">
        <v>10912</v>
      </c>
      <c r="O415" t="s">
        <v>35</v>
      </c>
      <c r="P415" t="s">
        <v>35</v>
      </c>
      <c r="Q415" t="str">
        <f t="shared" si="31"/>
        <v>379-2018-12-31</v>
      </c>
      <c r="R415">
        <v>0</v>
      </c>
      <c r="S415">
        <v>0</v>
      </c>
      <c r="T415" t="s">
        <v>31</v>
      </c>
      <c r="U415" t="s">
        <v>37</v>
      </c>
      <c r="V415" t="s">
        <v>302</v>
      </c>
      <c r="W415" t="s">
        <v>38</v>
      </c>
      <c r="X415" t="s">
        <v>39</v>
      </c>
      <c r="Y415" t="s">
        <v>40</v>
      </c>
      <c r="Z415" t="s">
        <v>41</v>
      </c>
      <c r="AA415" t="s">
        <v>42</v>
      </c>
      <c r="AB415" t="s">
        <v>78</v>
      </c>
      <c r="AC415" t="s">
        <v>31</v>
      </c>
    </row>
    <row r="416" spans="1:29" x14ac:dyDescent="0.3">
      <c r="A416">
        <v>379</v>
      </c>
      <c r="B416" t="s">
        <v>301</v>
      </c>
      <c r="C416" t="s">
        <v>302</v>
      </c>
      <c r="D416" t="s">
        <v>31</v>
      </c>
      <c r="E416" t="s">
        <v>32</v>
      </c>
      <c r="F416" s="3">
        <v>43646</v>
      </c>
      <c r="G416">
        <f t="shared" si="28"/>
        <v>2019</v>
      </c>
      <c r="H416" t="str">
        <f t="shared" si="29"/>
        <v>Junio</v>
      </c>
      <c r="I416" t="str">
        <f t="shared" si="30"/>
        <v>2019-1</v>
      </c>
      <c r="J416">
        <v>1</v>
      </c>
      <c r="L416" s="4">
        <v>12993</v>
      </c>
      <c r="O416" t="s">
        <v>35</v>
      </c>
      <c r="P416" t="s">
        <v>35</v>
      </c>
      <c r="Q416" t="str">
        <f t="shared" si="31"/>
        <v>379-2019-06-30</v>
      </c>
      <c r="R416">
        <v>0</v>
      </c>
      <c r="S416">
        <v>0</v>
      </c>
      <c r="T416" t="s">
        <v>31</v>
      </c>
      <c r="U416" t="s">
        <v>37</v>
      </c>
      <c r="V416" t="s">
        <v>302</v>
      </c>
      <c r="W416" t="s">
        <v>38</v>
      </c>
      <c r="X416" t="s">
        <v>39</v>
      </c>
      <c r="Y416" t="s">
        <v>40</v>
      </c>
      <c r="Z416" t="s">
        <v>41</v>
      </c>
      <c r="AA416" t="s">
        <v>42</v>
      </c>
      <c r="AB416" t="s">
        <v>78</v>
      </c>
      <c r="AC416" t="s">
        <v>31</v>
      </c>
    </row>
    <row r="417" spans="1:29" x14ac:dyDescent="0.3">
      <c r="A417">
        <v>379</v>
      </c>
      <c r="B417" t="s">
        <v>301</v>
      </c>
      <c r="C417" t="s">
        <v>302</v>
      </c>
      <c r="D417" t="s">
        <v>31</v>
      </c>
      <c r="E417" t="s">
        <v>32</v>
      </c>
      <c r="F417" s="3">
        <v>43830</v>
      </c>
      <c r="G417">
        <f t="shared" si="28"/>
        <v>2019</v>
      </c>
      <c r="H417" t="str">
        <f t="shared" si="29"/>
        <v>Diciembre</v>
      </c>
      <c r="I417" t="str">
        <f t="shared" si="30"/>
        <v>2019-2</v>
      </c>
      <c r="J417">
        <v>2</v>
      </c>
      <c r="L417" s="4">
        <v>9616</v>
      </c>
      <c r="O417" t="s">
        <v>35</v>
      </c>
      <c r="P417" t="s">
        <v>35</v>
      </c>
      <c r="Q417" t="str">
        <f t="shared" si="31"/>
        <v>379-2019-12-31</v>
      </c>
      <c r="R417">
        <v>0</v>
      </c>
      <c r="S417">
        <v>0</v>
      </c>
      <c r="T417" t="s">
        <v>31</v>
      </c>
      <c r="U417" t="s">
        <v>37</v>
      </c>
      <c r="V417" t="s">
        <v>302</v>
      </c>
      <c r="W417" t="s">
        <v>38</v>
      </c>
      <c r="X417" t="s">
        <v>39</v>
      </c>
      <c r="Y417" t="s">
        <v>40</v>
      </c>
      <c r="Z417" t="s">
        <v>41</v>
      </c>
      <c r="AA417" t="s">
        <v>42</v>
      </c>
      <c r="AB417" t="s">
        <v>78</v>
      </c>
      <c r="AC417" t="s">
        <v>31</v>
      </c>
    </row>
    <row r="418" spans="1:29" x14ac:dyDescent="0.3">
      <c r="A418">
        <v>379</v>
      </c>
      <c r="B418" t="s">
        <v>301</v>
      </c>
      <c r="C418" t="s">
        <v>302</v>
      </c>
      <c r="D418" t="s">
        <v>31</v>
      </c>
      <c r="E418" t="s">
        <v>32</v>
      </c>
      <c r="F418" s="3">
        <v>43830</v>
      </c>
      <c r="G418">
        <f t="shared" si="28"/>
        <v>2019</v>
      </c>
      <c r="H418" t="str">
        <f t="shared" si="29"/>
        <v>Diciembre</v>
      </c>
      <c r="I418" t="str">
        <f t="shared" si="30"/>
        <v>2019-2</v>
      </c>
      <c r="L418">
        <v>22609</v>
      </c>
      <c r="O418" t="s">
        <v>35</v>
      </c>
      <c r="P418" t="s">
        <v>35</v>
      </c>
      <c r="Q418" t="str">
        <f t="shared" si="31"/>
        <v>379-2019-12-31</v>
      </c>
      <c r="R418">
        <v>0</v>
      </c>
      <c r="S418">
        <v>0</v>
      </c>
      <c r="T418" t="s">
        <v>443</v>
      </c>
      <c r="U418" t="s">
        <v>37</v>
      </c>
      <c r="V418" t="s">
        <v>302</v>
      </c>
      <c r="W418" t="s">
        <v>38</v>
      </c>
      <c r="X418" t="s">
        <v>39</v>
      </c>
      <c r="Y418" t="s">
        <v>40</v>
      </c>
      <c r="Z418" t="s">
        <v>41</v>
      </c>
      <c r="AA418" t="s">
        <v>42</v>
      </c>
      <c r="AB418" t="s">
        <v>78</v>
      </c>
      <c r="AC418" t="s">
        <v>31</v>
      </c>
    </row>
    <row r="419" spans="1:29" x14ac:dyDescent="0.3">
      <c r="A419">
        <v>379</v>
      </c>
      <c r="B419" t="s">
        <v>301</v>
      </c>
      <c r="C419" t="s">
        <v>302</v>
      </c>
      <c r="D419" t="s">
        <v>31</v>
      </c>
      <c r="E419" t="s">
        <v>32</v>
      </c>
      <c r="F419" s="3">
        <v>44012</v>
      </c>
      <c r="G419">
        <f t="shared" si="28"/>
        <v>2020</v>
      </c>
      <c r="H419" t="str">
        <f t="shared" si="29"/>
        <v>Junio</v>
      </c>
      <c r="I419" t="str">
        <f t="shared" si="30"/>
        <v>2020-1</v>
      </c>
      <c r="J419">
        <v>1</v>
      </c>
      <c r="L419" s="4">
        <v>11830</v>
      </c>
      <c r="O419" t="s">
        <v>35</v>
      </c>
      <c r="P419" t="s">
        <v>35</v>
      </c>
      <c r="Q419" t="str">
        <f t="shared" si="31"/>
        <v>379-2020-06-30</v>
      </c>
      <c r="R419">
        <v>0</v>
      </c>
      <c r="S419">
        <v>0</v>
      </c>
      <c r="T419" t="s">
        <v>31</v>
      </c>
      <c r="U419" t="s">
        <v>37</v>
      </c>
      <c r="V419" t="s">
        <v>302</v>
      </c>
      <c r="W419" t="s">
        <v>38</v>
      </c>
      <c r="X419" t="s">
        <v>39</v>
      </c>
      <c r="Y419" t="s">
        <v>40</v>
      </c>
      <c r="Z419" t="s">
        <v>41</v>
      </c>
      <c r="AA419" t="s">
        <v>42</v>
      </c>
      <c r="AB419" t="s">
        <v>78</v>
      </c>
      <c r="AC419" t="s">
        <v>31</v>
      </c>
    </row>
    <row r="420" spans="1:29" x14ac:dyDescent="0.3">
      <c r="A420">
        <v>379</v>
      </c>
      <c r="B420" t="s">
        <v>301</v>
      </c>
      <c r="C420" t="s">
        <v>302</v>
      </c>
      <c r="D420" t="s">
        <v>31</v>
      </c>
      <c r="E420" t="s">
        <v>32</v>
      </c>
      <c r="F420" s="3">
        <v>44196</v>
      </c>
      <c r="G420">
        <f t="shared" si="28"/>
        <v>2020</v>
      </c>
      <c r="H420" t="str">
        <f t="shared" si="29"/>
        <v>Diciembre</v>
      </c>
      <c r="I420" t="str">
        <f t="shared" si="30"/>
        <v>2020-2</v>
      </c>
      <c r="J420">
        <v>2</v>
      </c>
      <c r="L420" s="4">
        <v>10182</v>
      </c>
      <c r="O420" t="s">
        <v>35</v>
      </c>
      <c r="P420" t="s">
        <v>35</v>
      </c>
      <c r="Q420" t="str">
        <f t="shared" si="31"/>
        <v>379-2020-12-31</v>
      </c>
      <c r="R420">
        <v>0</v>
      </c>
      <c r="S420">
        <v>0</v>
      </c>
      <c r="T420" t="s">
        <v>31</v>
      </c>
      <c r="U420" t="s">
        <v>37</v>
      </c>
      <c r="V420" t="s">
        <v>302</v>
      </c>
      <c r="W420" t="s">
        <v>38</v>
      </c>
      <c r="X420" t="s">
        <v>39</v>
      </c>
      <c r="Y420" t="s">
        <v>40</v>
      </c>
      <c r="Z420" t="s">
        <v>41</v>
      </c>
      <c r="AA420" t="s">
        <v>42</v>
      </c>
      <c r="AB420" t="s">
        <v>78</v>
      </c>
      <c r="AC420" t="s">
        <v>31</v>
      </c>
    </row>
    <row r="421" spans="1:29" x14ac:dyDescent="0.3">
      <c r="A421">
        <v>379</v>
      </c>
      <c r="B421" t="s">
        <v>301</v>
      </c>
      <c r="C421" t="s">
        <v>302</v>
      </c>
      <c r="D421" t="s">
        <v>31</v>
      </c>
      <c r="E421" t="s">
        <v>32</v>
      </c>
      <c r="F421" s="3">
        <v>44196</v>
      </c>
      <c r="G421">
        <f t="shared" si="28"/>
        <v>2020</v>
      </c>
      <c r="H421" t="str">
        <f t="shared" si="29"/>
        <v>Diciembre</v>
      </c>
      <c r="I421" t="str">
        <f t="shared" si="30"/>
        <v>2020-2</v>
      </c>
      <c r="L421">
        <v>22012</v>
      </c>
      <c r="O421" t="s">
        <v>35</v>
      </c>
      <c r="P421" t="s">
        <v>35</v>
      </c>
      <c r="Q421" t="str">
        <f t="shared" si="31"/>
        <v>379-2020-12-31</v>
      </c>
      <c r="R421">
        <v>0</v>
      </c>
      <c r="S421">
        <v>0</v>
      </c>
      <c r="T421" t="s">
        <v>443</v>
      </c>
      <c r="U421" t="s">
        <v>37</v>
      </c>
      <c r="V421" t="s">
        <v>302</v>
      </c>
      <c r="W421" t="s">
        <v>38</v>
      </c>
      <c r="X421" t="s">
        <v>39</v>
      </c>
      <c r="Y421" t="s">
        <v>40</v>
      </c>
      <c r="Z421" t="s">
        <v>41</v>
      </c>
      <c r="AA421" t="s">
        <v>42</v>
      </c>
      <c r="AB421" t="s">
        <v>78</v>
      </c>
      <c r="AC421" t="s">
        <v>31</v>
      </c>
    </row>
    <row r="422" spans="1:29" x14ac:dyDescent="0.3">
      <c r="A422">
        <v>379</v>
      </c>
      <c r="B422" t="s">
        <v>301</v>
      </c>
      <c r="C422" t="s">
        <v>302</v>
      </c>
      <c r="D422" t="s">
        <v>31</v>
      </c>
      <c r="E422" t="s">
        <v>32</v>
      </c>
      <c r="F422" s="3">
        <v>44377</v>
      </c>
      <c r="G422">
        <f t="shared" si="28"/>
        <v>2021</v>
      </c>
      <c r="H422" t="str">
        <f t="shared" si="29"/>
        <v>Junio</v>
      </c>
      <c r="I422" t="str">
        <f t="shared" si="30"/>
        <v>2021-1</v>
      </c>
      <c r="J422">
        <v>1</v>
      </c>
      <c r="L422" s="4">
        <v>10300</v>
      </c>
      <c r="O422" t="s">
        <v>35</v>
      </c>
      <c r="P422" t="s">
        <v>35</v>
      </c>
      <c r="Q422" t="str">
        <f t="shared" si="31"/>
        <v>379-2021-06-30</v>
      </c>
      <c r="R422">
        <v>0</v>
      </c>
      <c r="S422">
        <v>0</v>
      </c>
      <c r="T422" t="s">
        <v>31</v>
      </c>
      <c r="U422" t="s">
        <v>37</v>
      </c>
      <c r="V422" t="s">
        <v>302</v>
      </c>
      <c r="W422" t="s">
        <v>38</v>
      </c>
      <c r="X422" t="s">
        <v>39</v>
      </c>
      <c r="Y422" t="s">
        <v>40</v>
      </c>
      <c r="Z422" t="s">
        <v>41</v>
      </c>
      <c r="AA422" t="s">
        <v>42</v>
      </c>
      <c r="AB422" t="s">
        <v>78</v>
      </c>
      <c r="AC422" t="s">
        <v>31</v>
      </c>
    </row>
    <row r="423" spans="1:29" x14ac:dyDescent="0.3">
      <c r="A423">
        <v>379</v>
      </c>
      <c r="B423" t="s">
        <v>301</v>
      </c>
      <c r="C423" t="s">
        <v>302</v>
      </c>
      <c r="D423" t="s">
        <v>31</v>
      </c>
      <c r="E423" t="s">
        <v>32</v>
      </c>
      <c r="F423" s="3">
        <v>44561</v>
      </c>
      <c r="G423">
        <f t="shared" si="28"/>
        <v>2021</v>
      </c>
      <c r="H423" t="str">
        <f t="shared" si="29"/>
        <v>Diciembre</v>
      </c>
      <c r="I423" t="str">
        <f t="shared" si="30"/>
        <v>2021-2</v>
      </c>
      <c r="J423">
        <v>2</v>
      </c>
      <c r="L423" s="4">
        <v>8229</v>
      </c>
      <c r="O423" t="s">
        <v>35</v>
      </c>
      <c r="P423" t="s">
        <v>35</v>
      </c>
      <c r="Q423" t="str">
        <f t="shared" si="31"/>
        <v>379-2021-12-31</v>
      </c>
      <c r="R423">
        <v>0</v>
      </c>
      <c r="S423">
        <v>0</v>
      </c>
      <c r="T423" t="s">
        <v>31</v>
      </c>
      <c r="U423" t="s">
        <v>37</v>
      </c>
      <c r="V423" t="s">
        <v>302</v>
      </c>
      <c r="W423" t="s">
        <v>38</v>
      </c>
      <c r="X423" t="s">
        <v>39</v>
      </c>
      <c r="Y423" t="s">
        <v>40</v>
      </c>
      <c r="Z423" t="s">
        <v>41</v>
      </c>
      <c r="AA423" t="s">
        <v>42</v>
      </c>
      <c r="AB423" t="s">
        <v>78</v>
      </c>
      <c r="AC423" t="s">
        <v>31</v>
      </c>
    </row>
    <row r="424" spans="1:29" x14ac:dyDescent="0.3">
      <c r="A424">
        <v>379</v>
      </c>
      <c r="B424" t="s">
        <v>301</v>
      </c>
      <c r="C424" t="s">
        <v>302</v>
      </c>
      <c r="D424" t="s">
        <v>31</v>
      </c>
      <c r="E424" t="s">
        <v>32</v>
      </c>
      <c r="F424" s="3">
        <v>44561</v>
      </c>
      <c r="G424">
        <f t="shared" si="28"/>
        <v>2021</v>
      </c>
      <c r="H424" t="str">
        <f t="shared" si="29"/>
        <v>Diciembre</v>
      </c>
      <c r="I424" t="str">
        <f t="shared" si="30"/>
        <v>2021-2</v>
      </c>
      <c r="L424">
        <v>18529</v>
      </c>
      <c r="O424" t="s">
        <v>35</v>
      </c>
      <c r="P424" t="s">
        <v>35</v>
      </c>
      <c r="Q424" t="str">
        <f t="shared" si="31"/>
        <v>379-2021-12-31</v>
      </c>
      <c r="R424">
        <v>0</v>
      </c>
      <c r="S424">
        <v>0</v>
      </c>
      <c r="T424" t="s">
        <v>443</v>
      </c>
      <c r="U424" t="s">
        <v>37</v>
      </c>
      <c r="V424" t="s">
        <v>302</v>
      </c>
      <c r="W424" t="s">
        <v>38</v>
      </c>
      <c r="X424" t="s">
        <v>39</v>
      </c>
      <c r="Y424" t="s">
        <v>40</v>
      </c>
      <c r="Z424" t="s">
        <v>41</v>
      </c>
      <c r="AA424" t="s">
        <v>42</v>
      </c>
      <c r="AB424" t="s">
        <v>78</v>
      </c>
      <c r="AC424" t="s">
        <v>31</v>
      </c>
    </row>
    <row r="425" spans="1:29" x14ac:dyDescent="0.3">
      <c r="A425">
        <v>379</v>
      </c>
      <c r="B425" t="s">
        <v>301</v>
      </c>
      <c r="C425" t="s">
        <v>302</v>
      </c>
      <c r="D425" t="s">
        <v>31</v>
      </c>
      <c r="E425" t="s">
        <v>32</v>
      </c>
      <c r="F425" s="3">
        <v>44742</v>
      </c>
      <c r="G425">
        <v>2022</v>
      </c>
      <c r="H425" t="s">
        <v>33</v>
      </c>
      <c r="I425" t="s">
        <v>34</v>
      </c>
      <c r="J425">
        <v>1</v>
      </c>
      <c r="K425">
        <v>10808</v>
      </c>
      <c r="L425">
        <v>11012</v>
      </c>
      <c r="M425">
        <v>1.0189674315321979</v>
      </c>
      <c r="N425">
        <v>1.0189674315321979</v>
      </c>
      <c r="O425" t="s">
        <v>35</v>
      </c>
      <c r="P425" t="s">
        <v>35</v>
      </c>
      <c r="Q425" t="s">
        <v>303</v>
      </c>
      <c r="R425">
        <v>0</v>
      </c>
      <c r="S425">
        <v>0</v>
      </c>
      <c r="T425" t="s">
        <v>31</v>
      </c>
      <c r="U425" t="s">
        <v>37</v>
      </c>
      <c r="V425" t="s">
        <v>302</v>
      </c>
      <c r="W425" t="s">
        <v>38</v>
      </c>
      <c r="X425" t="s">
        <v>39</v>
      </c>
      <c r="Y425" t="s">
        <v>40</v>
      </c>
      <c r="Z425" t="s">
        <v>41</v>
      </c>
      <c r="AA425" t="s">
        <v>42</v>
      </c>
      <c r="AB425" t="s">
        <v>78</v>
      </c>
      <c r="AC425" t="s">
        <v>31</v>
      </c>
    </row>
    <row r="426" spans="1:29" x14ac:dyDescent="0.3">
      <c r="A426">
        <v>379</v>
      </c>
      <c r="B426" t="s">
        <v>301</v>
      </c>
      <c r="C426" t="s">
        <v>302</v>
      </c>
      <c r="D426" t="s">
        <v>31</v>
      </c>
      <c r="E426" t="s">
        <v>32</v>
      </c>
      <c r="F426" s="3">
        <v>44926</v>
      </c>
      <c r="G426">
        <v>2022</v>
      </c>
      <c r="H426" t="s">
        <v>44</v>
      </c>
      <c r="I426" t="s">
        <v>45</v>
      </c>
      <c r="J426">
        <v>2</v>
      </c>
      <c r="K426">
        <v>9192</v>
      </c>
      <c r="L426">
        <v>9578</v>
      </c>
      <c r="M426">
        <v>1.0528720626631849</v>
      </c>
      <c r="N426">
        <v>1.0528720626631849</v>
      </c>
      <c r="O426" t="s">
        <v>35</v>
      </c>
      <c r="P426" t="s">
        <v>35</v>
      </c>
      <c r="Q426" t="s">
        <v>304</v>
      </c>
      <c r="R426">
        <v>0</v>
      </c>
      <c r="S426">
        <v>0</v>
      </c>
      <c r="T426" t="s">
        <v>31</v>
      </c>
      <c r="U426" t="s">
        <v>37</v>
      </c>
      <c r="V426" t="s">
        <v>302</v>
      </c>
      <c r="W426" t="s">
        <v>38</v>
      </c>
      <c r="X426" t="s">
        <v>39</v>
      </c>
      <c r="Y426" t="s">
        <v>40</v>
      </c>
      <c r="Z426" t="s">
        <v>41</v>
      </c>
      <c r="AA426" t="s">
        <v>42</v>
      </c>
      <c r="AB426" t="s">
        <v>78</v>
      </c>
      <c r="AC426" t="s">
        <v>31</v>
      </c>
    </row>
    <row r="427" spans="1:29" x14ac:dyDescent="0.3">
      <c r="A427">
        <v>379</v>
      </c>
      <c r="B427" t="s">
        <v>301</v>
      </c>
      <c r="C427" t="s">
        <v>302</v>
      </c>
      <c r="D427" t="s">
        <v>31</v>
      </c>
      <c r="E427" t="s">
        <v>32</v>
      </c>
      <c r="F427" s="3">
        <v>44926</v>
      </c>
      <c r="G427">
        <v>2022</v>
      </c>
      <c r="H427" t="s">
        <v>44</v>
      </c>
      <c r="I427" t="s">
        <v>45</v>
      </c>
      <c r="K427">
        <v>20000</v>
      </c>
      <c r="L427">
        <v>20590</v>
      </c>
      <c r="M427">
        <v>1.02955</v>
      </c>
      <c r="N427">
        <v>1.02955</v>
      </c>
      <c r="O427" t="s">
        <v>35</v>
      </c>
      <c r="P427" t="s">
        <v>35</v>
      </c>
      <c r="Q427" t="s">
        <v>304</v>
      </c>
      <c r="R427">
        <v>0</v>
      </c>
      <c r="S427">
        <v>0</v>
      </c>
      <c r="T427" t="s">
        <v>443</v>
      </c>
      <c r="U427" t="s">
        <v>37</v>
      </c>
      <c r="V427" t="s">
        <v>302</v>
      </c>
      <c r="W427" t="s">
        <v>38</v>
      </c>
      <c r="X427" t="s">
        <v>39</v>
      </c>
      <c r="Y427" t="s">
        <v>40</v>
      </c>
      <c r="Z427" t="s">
        <v>41</v>
      </c>
      <c r="AA427" t="s">
        <v>42</v>
      </c>
      <c r="AB427" t="s">
        <v>78</v>
      </c>
      <c r="AC427" t="s">
        <v>31</v>
      </c>
    </row>
    <row r="428" spans="1:29" x14ac:dyDescent="0.3">
      <c r="A428">
        <v>379</v>
      </c>
      <c r="B428" t="s">
        <v>301</v>
      </c>
      <c r="C428" t="s">
        <v>302</v>
      </c>
      <c r="D428" t="s">
        <v>31</v>
      </c>
      <c r="E428" t="s">
        <v>32</v>
      </c>
      <c r="F428" s="3">
        <v>45107</v>
      </c>
      <c r="G428">
        <v>2023</v>
      </c>
      <c r="H428" t="s">
        <v>33</v>
      </c>
      <c r="I428" t="s">
        <v>47</v>
      </c>
      <c r="J428">
        <v>1</v>
      </c>
      <c r="K428">
        <v>12130</v>
      </c>
      <c r="L428">
        <v>12382</v>
      </c>
      <c r="M428">
        <v>1.020774938169827</v>
      </c>
      <c r="N428">
        <v>1.020774938169827</v>
      </c>
      <c r="O428" t="s">
        <v>35</v>
      </c>
      <c r="P428" t="s">
        <v>35</v>
      </c>
      <c r="Q428" t="s">
        <v>305</v>
      </c>
      <c r="R428">
        <v>0</v>
      </c>
      <c r="S428">
        <v>0</v>
      </c>
      <c r="T428" t="s">
        <v>31</v>
      </c>
      <c r="U428" t="s">
        <v>37</v>
      </c>
      <c r="V428" t="s">
        <v>302</v>
      </c>
      <c r="W428" t="s">
        <v>38</v>
      </c>
      <c r="X428" t="s">
        <v>39</v>
      </c>
      <c r="Y428" t="s">
        <v>40</v>
      </c>
      <c r="Z428" t="s">
        <v>41</v>
      </c>
      <c r="AA428" t="s">
        <v>42</v>
      </c>
      <c r="AB428" t="s">
        <v>78</v>
      </c>
      <c r="AC428" t="s">
        <v>31</v>
      </c>
    </row>
    <row r="429" spans="1:29" x14ac:dyDescent="0.3">
      <c r="A429">
        <v>379</v>
      </c>
      <c r="B429" t="s">
        <v>301</v>
      </c>
      <c r="C429" t="s">
        <v>302</v>
      </c>
      <c r="D429" t="s">
        <v>31</v>
      </c>
      <c r="E429" t="s">
        <v>32</v>
      </c>
      <c r="F429" s="3">
        <v>45291</v>
      </c>
      <c r="G429">
        <v>2023</v>
      </c>
      <c r="H429" t="s">
        <v>44</v>
      </c>
      <c r="I429" t="s">
        <v>49</v>
      </c>
      <c r="J429">
        <v>2</v>
      </c>
      <c r="K429">
        <v>9876</v>
      </c>
      <c r="L429">
        <v>10605</v>
      </c>
      <c r="M429">
        <v>1.0737140542729851</v>
      </c>
      <c r="N429">
        <v>1.0737140542729851</v>
      </c>
      <c r="O429" t="s">
        <v>35</v>
      </c>
      <c r="P429" t="s">
        <v>35</v>
      </c>
      <c r="Q429" t="s">
        <v>306</v>
      </c>
      <c r="R429">
        <v>0</v>
      </c>
      <c r="S429">
        <v>0</v>
      </c>
      <c r="T429" t="s">
        <v>31</v>
      </c>
      <c r="U429" t="s">
        <v>37</v>
      </c>
      <c r="V429" t="s">
        <v>302</v>
      </c>
      <c r="W429" t="s">
        <v>38</v>
      </c>
      <c r="X429" t="s">
        <v>39</v>
      </c>
      <c r="Y429" t="s">
        <v>40</v>
      </c>
      <c r="Z429" t="s">
        <v>41</v>
      </c>
      <c r="AA429" t="s">
        <v>42</v>
      </c>
      <c r="AB429" t="s">
        <v>78</v>
      </c>
      <c r="AC429" t="s">
        <v>31</v>
      </c>
    </row>
    <row r="430" spans="1:29" x14ac:dyDescent="0.3">
      <c r="A430">
        <v>379</v>
      </c>
      <c r="B430" t="s">
        <v>301</v>
      </c>
      <c r="C430" t="s">
        <v>302</v>
      </c>
      <c r="D430" t="s">
        <v>31</v>
      </c>
      <c r="E430" t="s">
        <v>32</v>
      </c>
      <c r="F430" s="3">
        <v>45291</v>
      </c>
      <c r="G430">
        <v>2023</v>
      </c>
      <c r="H430" t="s">
        <v>44</v>
      </c>
      <c r="I430" t="s">
        <v>49</v>
      </c>
      <c r="K430">
        <v>22006</v>
      </c>
      <c r="L430">
        <v>22987</v>
      </c>
      <c r="M430">
        <v>1.0445333090975191</v>
      </c>
      <c r="N430">
        <v>1.0445333090975191</v>
      </c>
      <c r="O430" t="s">
        <v>35</v>
      </c>
      <c r="P430" t="s">
        <v>35</v>
      </c>
      <c r="Q430" t="s">
        <v>306</v>
      </c>
      <c r="R430">
        <v>0</v>
      </c>
      <c r="S430">
        <v>0</v>
      </c>
      <c r="T430" t="s">
        <v>443</v>
      </c>
      <c r="U430" t="s">
        <v>37</v>
      </c>
      <c r="V430" t="s">
        <v>302</v>
      </c>
      <c r="W430" t="s">
        <v>38</v>
      </c>
      <c r="X430" t="s">
        <v>39</v>
      </c>
      <c r="Y430" t="s">
        <v>40</v>
      </c>
      <c r="Z430" t="s">
        <v>41</v>
      </c>
      <c r="AA430" t="s">
        <v>42</v>
      </c>
      <c r="AB430" t="s">
        <v>78</v>
      </c>
      <c r="AC430" t="s">
        <v>31</v>
      </c>
    </row>
    <row r="431" spans="1:29" x14ac:dyDescent="0.3">
      <c r="A431">
        <v>379</v>
      </c>
      <c r="B431" t="s">
        <v>301</v>
      </c>
      <c r="C431" t="s">
        <v>302</v>
      </c>
      <c r="D431" t="s">
        <v>31</v>
      </c>
      <c r="E431" t="s">
        <v>32</v>
      </c>
      <c r="F431" s="3">
        <v>45473</v>
      </c>
      <c r="G431">
        <v>2024</v>
      </c>
      <c r="H431" t="s">
        <v>33</v>
      </c>
      <c r="I431" t="s">
        <v>51</v>
      </c>
      <c r="J431">
        <v>1</v>
      </c>
      <c r="K431">
        <v>13590</v>
      </c>
      <c r="L431">
        <v>12987</v>
      </c>
      <c r="M431">
        <v>0.95562913907284763</v>
      </c>
      <c r="N431">
        <v>0.95562913907284763</v>
      </c>
      <c r="O431" t="s">
        <v>35</v>
      </c>
      <c r="P431" t="s">
        <v>35</v>
      </c>
      <c r="Q431" t="s">
        <v>307</v>
      </c>
      <c r="R431">
        <v>0</v>
      </c>
      <c r="S431">
        <v>0</v>
      </c>
      <c r="T431" t="s">
        <v>31</v>
      </c>
      <c r="U431" t="s">
        <v>37</v>
      </c>
      <c r="V431" t="s">
        <v>302</v>
      </c>
      <c r="W431" t="s">
        <v>38</v>
      </c>
      <c r="X431" t="s">
        <v>39</v>
      </c>
      <c r="Y431" t="s">
        <v>40</v>
      </c>
      <c r="Z431" t="s">
        <v>41</v>
      </c>
      <c r="AA431" t="s">
        <v>42</v>
      </c>
      <c r="AB431" t="s">
        <v>78</v>
      </c>
      <c r="AC431" t="s">
        <v>31</v>
      </c>
    </row>
    <row r="432" spans="1:29" x14ac:dyDescent="0.3">
      <c r="A432">
        <v>379</v>
      </c>
      <c r="B432" t="s">
        <v>301</v>
      </c>
      <c r="C432" t="s">
        <v>302</v>
      </c>
      <c r="D432" t="s">
        <v>31</v>
      </c>
      <c r="E432" t="s">
        <v>32</v>
      </c>
      <c r="F432" s="3">
        <v>45657</v>
      </c>
      <c r="G432">
        <v>2024</v>
      </c>
      <c r="H432" t="s">
        <v>44</v>
      </c>
      <c r="I432" t="s">
        <v>53</v>
      </c>
      <c r="J432">
        <v>2</v>
      </c>
      <c r="K432">
        <v>10675</v>
      </c>
      <c r="L432">
        <v>10569</v>
      </c>
      <c r="M432">
        <v>0.99007025761124123</v>
      </c>
      <c r="N432">
        <v>0.99007025761124123</v>
      </c>
      <c r="O432" t="s">
        <v>35</v>
      </c>
      <c r="P432" t="s">
        <v>35</v>
      </c>
      <c r="Q432" t="s">
        <v>308</v>
      </c>
      <c r="R432">
        <v>0</v>
      </c>
      <c r="S432">
        <v>0</v>
      </c>
      <c r="T432" t="s">
        <v>31</v>
      </c>
      <c r="U432" t="s">
        <v>37</v>
      </c>
      <c r="V432" t="s">
        <v>302</v>
      </c>
      <c r="W432" t="s">
        <v>38</v>
      </c>
      <c r="X432" t="s">
        <v>39</v>
      </c>
      <c r="Y432" t="s">
        <v>40</v>
      </c>
      <c r="Z432" t="s">
        <v>41</v>
      </c>
      <c r="AA432" t="s">
        <v>42</v>
      </c>
      <c r="AB432" t="s">
        <v>78</v>
      </c>
      <c r="AC432" t="s">
        <v>31</v>
      </c>
    </row>
    <row r="433" spans="1:29" x14ac:dyDescent="0.3">
      <c r="A433">
        <v>379</v>
      </c>
      <c r="B433" t="s">
        <v>301</v>
      </c>
      <c r="C433" t="s">
        <v>302</v>
      </c>
      <c r="D433" t="s">
        <v>31</v>
      </c>
      <c r="E433" t="s">
        <v>32</v>
      </c>
      <c r="F433" s="3">
        <v>45657</v>
      </c>
      <c r="G433">
        <v>2024</v>
      </c>
      <c r="H433" t="s">
        <v>44</v>
      </c>
      <c r="I433" t="s">
        <v>53</v>
      </c>
      <c r="K433">
        <v>24265</v>
      </c>
      <c r="L433">
        <v>23556</v>
      </c>
      <c r="M433">
        <v>0.97078096023078508</v>
      </c>
      <c r="N433">
        <v>0.97078096023078508</v>
      </c>
      <c r="O433" t="s">
        <v>35</v>
      </c>
      <c r="P433" t="s">
        <v>35</v>
      </c>
      <c r="Q433" t="s">
        <v>308</v>
      </c>
      <c r="R433">
        <v>0</v>
      </c>
      <c r="S433">
        <v>0</v>
      </c>
      <c r="T433" t="s">
        <v>443</v>
      </c>
      <c r="U433" t="s">
        <v>37</v>
      </c>
      <c r="V433" t="s">
        <v>302</v>
      </c>
      <c r="W433" t="s">
        <v>38</v>
      </c>
      <c r="X433" t="s">
        <v>39</v>
      </c>
      <c r="Y433" t="s">
        <v>40</v>
      </c>
      <c r="Z433" t="s">
        <v>41</v>
      </c>
      <c r="AA433" t="s">
        <v>42</v>
      </c>
      <c r="AB433" t="s">
        <v>78</v>
      </c>
      <c r="AC433" t="s">
        <v>31</v>
      </c>
    </row>
    <row r="434" spans="1:29" x14ac:dyDescent="0.3">
      <c r="A434">
        <v>379</v>
      </c>
      <c r="B434" t="s">
        <v>301</v>
      </c>
      <c r="C434" t="s">
        <v>302</v>
      </c>
      <c r="D434" t="s">
        <v>31</v>
      </c>
      <c r="E434" t="s">
        <v>32</v>
      </c>
      <c r="F434" s="3">
        <v>45838</v>
      </c>
      <c r="G434">
        <v>2025</v>
      </c>
      <c r="H434" t="s">
        <v>33</v>
      </c>
      <c r="I434" t="s">
        <v>404</v>
      </c>
      <c r="J434">
        <v>1</v>
      </c>
      <c r="K434">
        <v>13609</v>
      </c>
      <c r="L434">
        <v>14141</v>
      </c>
      <c r="M434">
        <v>1.039091777500184</v>
      </c>
      <c r="N434">
        <v>1.039091777500184</v>
      </c>
      <c r="O434" t="s">
        <v>35</v>
      </c>
      <c r="P434" t="s">
        <v>35</v>
      </c>
      <c r="Q434" t="s">
        <v>412</v>
      </c>
      <c r="R434">
        <v>0</v>
      </c>
      <c r="S434">
        <v>0</v>
      </c>
      <c r="T434" t="s">
        <v>31</v>
      </c>
      <c r="U434" t="s">
        <v>37</v>
      </c>
      <c r="V434" t="s">
        <v>302</v>
      </c>
      <c r="W434" t="s">
        <v>38</v>
      </c>
      <c r="X434" t="s">
        <v>39</v>
      </c>
      <c r="Y434" t="s">
        <v>40</v>
      </c>
      <c r="Z434" t="s">
        <v>41</v>
      </c>
      <c r="AA434" t="s">
        <v>42</v>
      </c>
      <c r="AB434" t="s">
        <v>78</v>
      </c>
      <c r="AC434" t="s">
        <v>31</v>
      </c>
    </row>
    <row r="435" spans="1:29" x14ac:dyDescent="0.3">
      <c r="A435">
        <v>379</v>
      </c>
      <c r="B435" t="s">
        <v>301</v>
      </c>
      <c r="C435" t="s">
        <v>302</v>
      </c>
      <c r="D435" t="s">
        <v>31</v>
      </c>
      <c r="E435" t="s">
        <v>32</v>
      </c>
      <c r="F435" s="3">
        <v>46022</v>
      </c>
      <c r="G435">
        <v>2025</v>
      </c>
      <c r="H435" t="s">
        <v>44</v>
      </c>
      <c r="I435" t="s">
        <v>465</v>
      </c>
      <c r="L435">
        <v>25435</v>
      </c>
      <c r="O435" t="s">
        <v>35</v>
      </c>
      <c r="P435" t="s">
        <v>35</v>
      </c>
      <c r="Q435" t="str">
        <f>A435&amp;"-"&amp;TEXT(F435,"yyyy-mm-dd")</f>
        <v>379-2025-12-31</v>
      </c>
      <c r="R435">
        <v>0</v>
      </c>
      <c r="S435">
        <v>0</v>
      </c>
      <c r="T435" t="s">
        <v>443</v>
      </c>
      <c r="U435" t="s">
        <v>37</v>
      </c>
      <c r="V435" t="s">
        <v>302</v>
      </c>
      <c r="W435" t="s">
        <v>38</v>
      </c>
      <c r="X435" t="s">
        <v>39</v>
      </c>
      <c r="Y435" t="s">
        <v>40</v>
      </c>
      <c r="Z435" t="s">
        <v>41</v>
      </c>
      <c r="AA435" t="s">
        <v>42</v>
      </c>
      <c r="AB435" t="s">
        <v>78</v>
      </c>
      <c r="AC435" t="s">
        <v>31</v>
      </c>
    </row>
    <row r="436" spans="1:29" x14ac:dyDescent="0.3">
      <c r="A436">
        <v>379</v>
      </c>
      <c r="B436" t="s">
        <v>301</v>
      </c>
      <c r="C436" t="s">
        <v>302</v>
      </c>
      <c r="D436" t="s">
        <v>31</v>
      </c>
      <c r="E436" t="s">
        <v>32</v>
      </c>
      <c r="F436" s="3">
        <v>46022</v>
      </c>
      <c r="G436">
        <f>YEAR(F436)</f>
        <v>2025</v>
      </c>
      <c r="H436" t="str">
        <f>PROPER(TEXT(F436,"mmmm"))</f>
        <v>Diciembre</v>
      </c>
      <c r="I436" t="str">
        <f>IF(H436="Junio",G436&amp;"-1",G436&amp;"-2")</f>
        <v>2025-2</v>
      </c>
      <c r="J436">
        <v>2</v>
      </c>
      <c r="L436">
        <v>11294</v>
      </c>
      <c r="O436" t="s">
        <v>35</v>
      </c>
      <c r="P436" t="s">
        <v>35</v>
      </c>
      <c r="Q436" t="str">
        <f>A436&amp;"-"&amp;TEXT(F436,"yyyy-mm-dd")</f>
        <v>379-2025-12-31</v>
      </c>
      <c r="R436">
        <v>0</v>
      </c>
      <c r="S436">
        <v>0</v>
      </c>
      <c r="T436" t="s">
        <v>31</v>
      </c>
      <c r="U436" t="s">
        <v>37</v>
      </c>
      <c r="V436" t="s">
        <v>302</v>
      </c>
      <c r="W436" t="s">
        <v>38</v>
      </c>
      <c r="X436" t="s">
        <v>39</v>
      </c>
      <c r="Y436" t="s">
        <v>40</v>
      </c>
      <c r="Z436" t="s">
        <v>41</v>
      </c>
      <c r="AA436" t="s">
        <v>42</v>
      </c>
      <c r="AB436" t="s">
        <v>78</v>
      </c>
      <c r="AC436" t="s">
        <v>31</v>
      </c>
    </row>
    <row r="437" spans="1:29" x14ac:dyDescent="0.3">
      <c r="A437">
        <v>385</v>
      </c>
      <c r="B437" t="s">
        <v>309</v>
      </c>
      <c r="C437" t="s">
        <v>310</v>
      </c>
      <c r="D437" t="s">
        <v>31</v>
      </c>
      <c r="E437" t="s">
        <v>32</v>
      </c>
      <c r="F437" s="3">
        <v>44926</v>
      </c>
      <c r="G437">
        <v>2022</v>
      </c>
      <c r="H437" t="s">
        <v>44</v>
      </c>
      <c r="I437" t="s">
        <v>45</v>
      </c>
      <c r="J437">
        <v>2</v>
      </c>
      <c r="K437">
        <v>13361</v>
      </c>
      <c r="L437">
        <v>10035.311890999999</v>
      </c>
      <c r="O437" t="s">
        <v>143</v>
      </c>
      <c r="P437" t="s">
        <v>143</v>
      </c>
      <c r="Q437" t="s">
        <v>315</v>
      </c>
      <c r="R437">
        <v>0</v>
      </c>
      <c r="S437">
        <v>0</v>
      </c>
      <c r="T437" t="s">
        <v>31</v>
      </c>
      <c r="U437" t="s">
        <v>37</v>
      </c>
      <c r="V437" t="s">
        <v>310</v>
      </c>
      <c r="W437" t="s">
        <v>312</v>
      </c>
      <c r="X437" t="s">
        <v>313</v>
      </c>
      <c r="Y437" t="s">
        <v>314</v>
      </c>
      <c r="Z437" t="s">
        <v>63</v>
      </c>
      <c r="AA437" t="s">
        <v>148</v>
      </c>
      <c r="AB437" t="s">
        <v>43</v>
      </c>
      <c r="AC437" t="s">
        <v>66</v>
      </c>
    </row>
    <row r="438" spans="1:29" x14ac:dyDescent="0.3">
      <c r="A438">
        <v>385</v>
      </c>
      <c r="B438" t="s">
        <v>309</v>
      </c>
      <c r="C438" t="s">
        <v>310</v>
      </c>
      <c r="D438" t="s">
        <v>31</v>
      </c>
      <c r="E438" t="s">
        <v>32</v>
      </c>
      <c r="F438" s="3">
        <v>44926</v>
      </c>
      <c r="G438">
        <v>2022</v>
      </c>
      <c r="H438" t="s">
        <v>44</v>
      </c>
      <c r="I438" t="s">
        <v>45</v>
      </c>
      <c r="K438">
        <v>13361</v>
      </c>
      <c r="L438">
        <v>10035.311890999999</v>
      </c>
      <c r="O438" t="s">
        <v>143</v>
      </c>
      <c r="P438" t="s">
        <v>143</v>
      </c>
      <c r="Q438" t="s">
        <v>315</v>
      </c>
      <c r="R438">
        <v>0</v>
      </c>
      <c r="S438">
        <v>0</v>
      </c>
      <c r="T438" t="s">
        <v>443</v>
      </c>
      <c r="U438" t="s">
        <v>37</v>
      </c>
      <c r="V438" t="s">
        <v>310</v>
      </c>
      <c r="W438" t="s">
        <v>312</v>
      </c>
      <c r="X438" t="s">
        <v>313</v>
      </c>
      <c r="Y438" t="s">
        <v>314</v>
      </c>
      <c r="Z438" t="s">
        <v>63</v>
      </c>
      <c r="AA438" t="s">
        <v>148</v>
      </c>
      <c r="AB438" t="s">
        <v>43</v>
      </c>
      <c r="AC438" t="s">
        <v>66</v>
      </c>
    </row>
    <row r="439" spans="1:29" x14ac:dyDescent="0.3">
      <c r="A439">
        <v>385</v>
      </c>
      <c r="B439" t="s">
        <v>309</v>
      </c>
      <c r="C439" t="s">
        <v>310</v>
      </c>
      <c r="D439" t="s">
        <v>31</v>
      </c>
      <c r="E439" t="s">
        <v>32</v>
      </c>
      <c r="F439" s="3">
        <v>45291</v>
      </c>
      <c r="G439">
        <v>2023</v>
      </c>
      <c r="H439" t="s">
        <v>44</v>
      </c>
      <c r="I439" t="s">
        <v>49</v>
      </c>
      <c r="J439">
        <v>2</v>
      </c>
      <c r="K439">
        <v>14097.721</v>
      </c>
      <c r="L439">
        <v>17697.080526999998</v>
      </c>
      <c r="O439" t="s">
        <v>143</v>
      </c>
      <c r="P439" t="s">
        <v>143</v>
      </c>
      <c r="Q439" t="s">
        <v>317</v>
      </c>
      <c r="R439">
        <v>0</v>
      </c>
      <c r="S439">
        <v>0</v>
      </c>
      <c r="T439" t="s">
        <v>31</v>
      </c>
      <c r="U439" t="s">
        <v>37</v>
      </c>
      <c r="V439" t="s">
        <v>310</v>
      </c>
      <c r="W439" t="s">
        <v>312</v>
      </c>
      <c r="X439" t="s">
        <v>313</v>
      </c>
      <c r="Y439" t="s">
        <v>314</v>
      </c>
      <c r="Z439" t="s">
        <v>63</v>
      </c>
      <c r="AA439" t="s">
        <v>148</v>
      </c>
      <c r="AB439" t="s">
        <v>43</v>
      </c>
      <c r="AC439" t="s">
        <v>66</v>
      </c>
    </row>
    <row r="440" spans="1:29" x14ac:dyDescent="0.3">
      <c r="A440">
        <v>385</v>
      </c>
      <c r="B440" t="s">
        <v>309</v>
      </c>
      <c r="C440" t="s">
        <v>310</v>
      </c>
      <c r="D440" t="s">
        <v>31</v>
      </c>
      <c r="E440" t="s">
        <v>32</v>
      </c>
      <c r="F440" s="3">
        <v>45291</v>
      </c>
      <c r="G440">
        <v>2023</v>
      </c>
      <c r="H440" t="s">
        <v>44</v>
      </c>
      <c r="I440" t="s">
        <v>49</v>
      </c>
      <c r="K440">
        <v>14097.721</v>
      </c>
      <c r="L440">
        <v>17697.080526999998</v>
      </c>
      <c r="O440" t="s">
        <v>143</v>
      </c>
      <c r="P440" t="s">
        <v>143</v>
      </c>
      <c r="Q440" t="s">
        <v>317</v>
      </c>
      <c r="R440">
        <v>0</v>
      </c>
      <c r="S440">
        <v>0</v>
      </c>
      <c r="T440" t="s">
        <v>443</v>
      </c>
      <c r="U440" t="s">
        <v>37</v>
      </c>
      <c r="V440" t="s">
        <v>310</v>
      </c>
      <c r="W440" t="s">
        <v>312</v>
      </c>
      <c r="X440" t="s">
        <v>313</v>
      </c>
      <c r="Y440" t="s">
        <v>314</v>
      </c>
      <c r="Z440" t="s">
        <v>63</v>
      </c>
      <c r="AA440" t="s">
        <v>148</v>
      </c>
      <c r="AB440" t="s">
        <v>43</v>
      </c>
      <c r="AC440" t="s">
        <v>66</v>
      </c>
    </row>
    <row r="441" spans="1:29" x14ac:dyDescent="0.3">
      <c r="A441">
        <v>385</v>
      </c>
      <c r="B441" t="s">
        <v>309</v>
      </c>
      <c r="C441" t="s">
        <v>310</v>
      </c>
      <c r="D441" t="s">
        <v>31</v>
      </c>
      <c r="E441" t="s">
        <v>32</v>
      </c>
      <c r="F441" s="3">
        <v>45657</v>
      </c>
      <c r="G441">
        <v>2024</v>
      </c>
      <c r="H441" t="s">
        <v>44</v>
      </c>
      <c r="I441" t="s">
        <v>53</v>
      </c>
      <c r="J441">
        <v>2</v>
      </c>
      <c r="K441">
        <v>15507.493100000003</v>
      </c>
      <c r="L441">
        <v>13243.138849000001</v>
      </c>
      <c r="O441" t="s">
        <v>143</v>
      </c>
      <c r="P441" t="s">
        <v>143</v>
      </c>
      <c r="Q441" t="s">
        <v>319</v>
      </c>
      <c r="R441">
        <v>0</v>
      </c>
      <c r="S441">
        <v>0</v>
      </c>
      <c r="T441" t="s">
        <v>31</v>
      </c>
      <c r="U441" t="s">
        <v>37</v>
      </c>
      <c r="V441" t="s">
        <v>310</v>
      </c>
      <c r="W441" t="s">
        <v>312</v>
      </c>
      <c r="X441" t="s">
        <v>313</v>
      </c>
      <c r="Y441" t="s">
        <v>314</v>
      </c>
      <c r="Z441" t="s">
        <v>63</v>
      </c>
      <c r="AA441" t="s">
        <v>148</v>
      </c>
      <c r="AB441" t="s">
        <v>43</v>
      </c>
      <c r="AC441" t="s">
        <v>66</v>
      </c>
    </row>
    <row r="442" spans="1:29" x14ac:dyDescent="0.3">
      <c r="A442">
        <v>385</v>
      </c>
      <c r="B442" t="s">
        <v>309</v>
      </c>
      <c r="C442" t="s">
        <v>310</v>
      </c>
      <c r="D442" t="s">
        <v>31</v>
      </c>
      <c r="E442" t="s">
        <v>32</v>
      </c>
      <c r="F442" s="3">
        <v>45657</v>
      </c>
      <c r="G442">
        <v>2024</v>
      </c>
      <c r="H442" t="s">
        <v>44</v>
      </c>
      <c r="I442" t="s">
        <v>53</v>
      </c>
      <c r="K442">
        <v>15507.493100000003</v>
      </c>
      <c r="L442">
        <v>13243.138849000001</v>
      </c>
      <c r="O442" t="s">
        <v>143</v>
      </c>
      <c r="P442" t="s">
        <v>143</v>
      </c>
      <c r="Q442" t="s">
        <v>319</v>
      </c>
      <c r="R442">
        <v>0</v>
      </c>
      <c r="S442">
        <v>0</v>
      </c>
      <c r="T442" t="s">
        <v>443</v>
      </c>
      <c r="U442" t="s">
        <v>37</v>
      </c>
      <c r="V442" t="s">
        <v>310</v>
      </c>
      <c r="W442" t="s">
        <v>312</v>
      </c>
      <c r="X442" t="s">
        <v>313</v>
      </c>
      <c r="Y442" t="s">
        <v>314</v>
      </c>
      <c r="Z442" t="s">
        <v>63</v>
      </c>
      <c r="AA442" t="s">
        <v>148</v>
      </c>
      <c r="AB442" t="s">
        <v>43</v>
      </c>
      <c r="AC442" t="s">
        <v>66</v>
      </c>
    </row>
    <row r="443" spans="1:29" x14ac:dyDescent="0.3">
      <c r="A443">
        <v>385</v>
      </c>
      <c r="B443" t="s">
        <v>309</v>
      </c>
      <c r="C443" t="s">
        <v>310</v>
      </c>
      <c r="D443" t="s">
        <v>31</v>
      </c>
      <c r="E443" t="s">
        <v>32</v>
      </c>
      <c r="F443" s="3">
        <v>46022</v>
      </c>
      <c r="G443">
        <v>2025</v>
      </c>
      <c r="H443" t="s">
        <v>44</v>
      </c>
      <c r="I443" t="s">
        <v>465</v>
      </c>
      <c r="J443">
        <v>2</v>
      </c>
      <c r="L443">
        <f>17058242411/1000000</f>
        <v>17058.242410999999</v>
      </c>
      <c r="O443" t="s">
        <v>143</v>
      </c>
      <c r="P443" t="s">
        <v>143</v>
      </c>
      <c r="Q443" t="s">
        <v>486</v>
      </c>
      <c r="R443">
        <v>0</v>
      </c>
      <c r="S443">
        <v>0</v>
      </c>
      <c r="T443" t="s">
        <v>31</v>
      </c>
      <c r="U443" t="s">
        <v>37</v>
      </c>
      <c r="V443" t="s">
        <v>310</v>
      </c>
      <c r="W443" t="s">
        <v>312</v>
      </c>
      <c r="X443" t="s">
        <v>313</v>
      </c>
      <c r="Y443" t="s">
        <v>314</v>
      </c>
      <c r="AB443" t="s">
        <v>43</v>
      </c>
      <c r="AC443" t="s">
        <v>66</v>
      </c>
    </row>
    <row r="444" spans="1:29" x14ac:dyDescent="0.3">
      <c r="A444">
        <v>386.1</v>
      </c>
      <c r="B444" t="s">
        <v>377</v>
      </c>
      <c r="C444" t="s">
        <v>310</v>
      </c>
      <c r="D444" t="s">
        <v>31</v>
      </c>
      <c r="E444" t="s">
        <v>32</v>
      </c>
      <c r="F444" s="3">
        <v>44926</v>
      </c>
      <c r="G444">
        <v>2022</v>
      </c>
      <c r="H444" t="s">
        <v>44</v>
      </c>
      <c r="I444" t="s">
        <v>45</v>
      </c>
      <c r="J444">
        <v>2</v>
      </c>
      <c r="L444">
        <f>894406923/1000000</f>
        <v>894.40692300000001</v>
      </c>
      <c r="O444" t="s">
        <v>143</v>
      </c>
      <c r="P444" t="s">
        <v>143</v>
      </c>
      <c r="Q444" t="s">
        <v>491</v>
      </c>
      <c r="R444">
        <v>0</v>
      </c>
      <c r="S444">
        <v>0</v>
      </c>
      <c r="T444" t="s">
        <v>31</v>
      </c>
      <c r="U444" t="s">
        <v>37</v>
      </c>
      <c r="V444" t="s">
        <v>310</v>
      </c>
      <c r="W444" t="s">
        <v>312</v>
      </c>
      <c r="X444" t="s">
        <v>313</v>
      </c>
      <c r="Y444" t="s">
        <v>314</v>
      </c>
      <c r="Z444" t="s">
        <v>63</v>
      </c>
      <c r="AA444" t="s">
        <v>148</v>
      </c>
      <c r="AB444" t="s">
        <v>78</v>
      </c>
      <c r="AC444" t="s">
        <v>66</v>
      </c>
    </row>
    <row r="445" spans="1:29" x14ac:dyDescent="0.3">
      <c r="A445">
        <v>386.1</v>
      </c>
      <c r="B445" t="s">
        <v>377</v>
      </c>
      <c r="C445" t="s">
        <v>310</v>
      </c>
      <c r="D445" t="s">
        <v>31</v>
      </c>
      <c r="E445" t="s">
        <v>32</v>
      </c>
      <c r="F445" s="3">
        <v>44926</v>
      </c>
      <c r="G445">
        <v>2022</v>
      </c>
      <c r="H445" t="s">
        <v>44</v>
      </c>
      <c r="I445" t="s">
        <v>45</v>
      </c>
      <c r="L445">
        <f>894406923/1000000</f>
        <v>894.40692300000001</v>
      </c>
      <c r="O445" t="s">
        <v>143</v>
      </c>
      <c r="P445" t="s">
        <v>143</v>
      </c>
      <c r="Q445" t="s">
        <v>491</v>
      </c>
      <c r="R445">
        <v>0</v>
      </c>
      <c r="S445">
        <v>0</v>
      </c>
      <c r="T445" t="s">
        <v>443</v>
      </c>
      <c r="U445" t="s">
        <v>37</v>
      </c>
      <c r="V445" t="s">
        <v>310</v>
      </c>
      <c r="W445" t="s">
        <v>312</v>
      </c>
      <c r="X445" t="s">
        <v>313</v>
      </c>
      <c r="Y445" t="s">
        <v>314</v>
      </c>
      <c r="Z445" t="s">
        <v>63</v>
      </c>
      <c r="AA445" t="s">
        <v>148</v>
      </c>
      <c r="AB445" t="s">
        <v>78</v>
      </c>
      <c r="AC445" t="s">
        <v>66</v>
      </c>
    </row>
    <row r="446" spans="1:29" x14ac:dyDescent="0.3">
      <c r="A446">
        <v>386.1</v>
      </c>
      <c r="B446" t="s">
        <v>377</v>
      </c>
      <c r="C446" t="s">
        <v>310</v>
      </c>
      <c r="D446" t="s">
        <v>31</v>
      </c>
      <c r="E446" t="s">
        <v>32</v>
      </c>
      <c r="F446" s="3">
        <v>45291</v>
      </c>
      <c r="G446">
        <v>2023</v>
      </c>
      <c r="H446" t="s">
        <v>44</v>
      </c>
      <c r="I446" t="s">
        <v>49</v>
      </c>
      <c r="J446">
        <v>2</v>
      </c>
      <c r="L446">
        <v>3779.9283479999999</v>
      </c>
      <c r="O446" t="s">
        <v>143</v>
      </c>
      <c r="P446" t="s">
        <v>143</v>
      </c>
      <c r="Q446" t="s">
        <v>379</v>
      </c>
      <c r="R446">
        <v>0</v>
      </c>
      <c r="S446">
        <v>0</v>
      </c>
      <c r="T446" t="s">
        <v>31</v>
      </c>
      <c r="U446" t="s">
        <v>37</v>
      </c>
      <c r="V446" t="s">
        <v>310</v>
      </c>
      <c r="W446" t="s">
        <v>312</v>
      </c>
      <c r="X446" t="s">
        <v>313</v>
      </c>
      <c r="Y446" t="s">
        <v>314</v>
      </c>
      <c r="Z446" t="s">
        <v>63</v>
      </c>
      <c r="AA446" t="s">
        <v>148</v>
      </c>
      <c r="AB446" t="s">
        <v>78</v>
      </c>
      <c r="AC446" t="s">
        <v>66</v>
      </c>
    </row>
    <row r="447" spans="1:29" x14ac:dyDescent="0.3">
      <c r="A447">
        <v>386.1</v>
      </c>
      <c r="B447" t="s">
        <v>377</v>
      </c>
      <c r="C447" t="s">
        <v>310</v>
      </c>
      <c r="D447" t="s">
        <v>31</v>
      </c>
      <c r="E447" t="s">
        <v>32</v>
      </c>
      <c r="F447" s="3">
        <v>45291</v>
      </c>
      <c r="G447">
        <v>2023</v>
      </c>
      <c r="H447" t="s">
        <v>44</v>
      </c>
      <c r="I447" t="s">
        <v>49</v>
      </c>
      <c r="L447">
        <v>3779.9283479999999</v>
      </c>
      <c r="O447" t="s">
        <v>143</v>
      </c>
      <c r="P447" t="s">
        <v>143</v>
      </c>
      <c r="Q447" t="s">
        <v>379</v>
      </c>
      <c r="R447">
        <v>0</v>
      </c>
      <c r="S447">
        <v>0</v>
      </c>
      <c r="T447" t="s">
        <v>443</v>
      </c>
      <c r="U447" t="s">
        <v>37</v>
      </c>
      <c r="V447" t="s">
        <v>310</v>
      </c>
      <c r="W447" t="s">
        <v>312</v>
      </c>
      <c r="X447" t="s">
        <v>313</v>
      </c>
      <c r="Y447" t="s">
        <v>314</v>
      </c>
      <c r="Z447" t="s">
        <v>63</v>
      </c>
      <c r="AA447" t="s">
        <v>148</v>
      </c>
      <c r="AB447" t="s">
        <v>78</v>
      </c>
      <c r="AC447" t="s">
        <v>66</v>
      </c>
    </row>
    <row r="448" spans="1:29" x14ac:dyDescent="0.3">
      <c r="A448">
        <v>386.1</v>
      </c>
      <c r="B448" t="s">
        <v>377</v>
      </c>
      <c r="C448" t="s">
        <v>310</v>
      </c>
      <c r="D448" t="s">
        <v>31</v>
      </c>
      <c r="E448" t="s">
        <v>32</v>
      </c>
      <c r="F448" s="3">
        <v>45657</v>
      </c>
      <c r="G448">
        <v>2024</v>
      </c>
      <c r="H448" t="s">
        <v>44</v>
      </c>
      <c r="I448" t="s">
        <v>53</v>
      </c>
      <c r="J448">
        <v>2</v>
      </c>
      <c r="L448">
        <v>4694.2130900000002</v>
      </c>
      <c r="O448" t="s">
        <v>143</v>
      </c>
      <c r="P448" t="s">
        <v>143</v>
      </c>
      <c r="Q448" t="s">
        <v>381</v>
      </c>
      <c r="R448">
        <v>0</v>
      </c>
      <c r="S448">
        <v>0</v>
      </c>
      <c r="T448" t="s">
        <v>31</v>
      </c>
      <c r="U448" t="s">
        <v>37</v>
      </c>
      <c r="V448" t="s">
        <v>310</v>
      </c>
      <c r="W448" t="s">
        <v>312</v>
      </c>
      <c r="X448" t="s">
        <v>313</v>
      </c>
      <c r="Y448" t="s">
        <v>314</v>
      </c>
      <c r="Z448" t="s">
        <v>63</v>
      </c>
      <c r="AA448" t="s">
        <v>148</v>
      </c>
      <c r="AB448" t="s">
        <v>78</v>
      </c>
      <c r="AC448" t="s">
        <v>66</v>
      </c>
    </row>
    <row r="449" spans="1:29" x14ac:dyDescent="0.3">
      <c r="A449">
        <v>386.1</v>
      </c>
      <c r="B449" t="s">
        <v>377</v>
      </c>
      <c r="C449" t="s">
        <v>310</v>
      </c>
      <c r="D449" t="s">
        <v>31</v>
      </c>
      <c r="E449" t="s">
        <v>32</v>
      </c>
      <c r="F449" s="3">
        <v>45657</v>
      </c>
      <c r="G449">
        <v>2024</v>
      </c>
      <c r="H449" t="s">
        <v>44</v>
      </c>
      <c r="I449" t="s">
        <v>53</v>
      </c>
      <c r="L449">
        <v>4694.2130900000002</v>
      </c>
      <c r="O449" t="s">
        <v>143</v>
      </c>
      <c r="P449" t="s">
        <v>143</v>
      </c>
      <c r="Q449" t="s">
        <v>381</v>
      </c>
      <c r="R449">
        <v>0</v>
      </c>
      <c r="S449">
        <v>0</v>
      </c>
      <c r="T449" t="s">
        <v>443</v>
      </c>
      <c r="U449" t="s">
        <v>37</v>
      </c>
      <c r="V449" t="s">
        <v>310</v>
      </c>
      <c r="W449" t="s">
        <v>312</v>
      </c>
      <c r="X449" t="s">
        <v>313</v>
      </c>
      <c r="Y449" t="s">
        <v>314</v>
      </c>
      <c r="Z449" t="s">
        <v>63</v>
      </c>
      <c r="AA449" t="s">
        <v>148</v>
      </c>
      <c r="AB449" t="s">
        <v>78</v>
      </c>
      <c r="AC449" t="s">
        <v>66</v>
      </c>
    </row>
    <row r="450" spans="1:29" x14ac:dyDescent="0.3">
      <c r="A450">
        <v>386.1</v>
      </c>
      <c r="B450" t="s">
        <v>377</v>
      </c>
      <c r="C450" t="s">
        <v>310</v>
      </c>
      <c r="D450" t="s">
        <v>31</v>
      </c>
      <c r="E450" t="s">
        <v>32</v>
      </c>
      <c r="F450" s="3">
        <v>46022</v>
      </c>
      <c r="G450">
        <v>2025</v>
      </c>
      <c r="H450" t="s">
        <v>44</v>
      </c>
      <c r="I450" t="s">
        <v>465</v>
      </c>
      <c r="J450">
        <v>2</v>
      </c>
      <c r="L450">
        <f>4042632396/1000000</f>
        <v>4042.632396</v>
      </c>
      <c r="O450" t="s">
        <v>143</v>
      </c>
      <c r="P450" t="s">
        <v>143</v>
      </c>
      <c r="Q450" t="s">
        <v>490</v>
      </c>
      <c r="R450">
        <v>0</v>
      </c>
      <c r="S450">
        <v>0</v>
      </c>
      <c r="T450" t="s">
        <v>31</v>
      </c>
      <c r="U450" t="s">
        <v>37</v>
      </c>
      <c r="V450" t="s">
        <v>310</v>
      </c>
      <c r="W450" t="s">
        <v>312</v>
      </c>
      <c r="X450" t="s">
        <v>313</v>
      </c>
      <c r="Y450" t="s">
        <v>314</v>
      </c>
      <c r="AB450" t="s">
        <v>78</v>
      </c>
      <c r="AC450" t="s">
        <v>66</v>
      </c>
    </row>
    <row r="451" spans="1:29" x14ac:dyDescent="0.3">
      <c r="A451">
        <v>386.2</v>
      </c>
      <c r="B451" t="s">
        <v>382</v>
      </c>
      <c r="C451" t="s">
        <v>310</v>
      </c>
      <c r="D451" t="s">
        <v>31</v>
      </c>
      <c r="E451" t="s">
        <v>32</v>
      </c>
      <c r="F451" s="3">
        <v>44926</v>
      </c>
      <c r="G451">
        <f>YEAR(F451)</f>
        <v>2022</v>
      </c>
      <c r="H451" t="s">
        <v>44</v>
      </c>
      <c r="I451" t="s">
        <v>45</v>
      </c>
      <c r="J451">
        <v>2</v>
      </c>
      <c r="L451">
        <f>5335242827/1000000</f>
        <v>5335.242827</v>
      </c>
      <c r="O451" t="s">
        <v>143</v>
      </c>
      <c r="P451" t="s">
        <v>143</v>
      </c>
      <c r="Q451" t="s">
        <v>384</v>
      </c>
      <c r="R451">
        <v>0</v>
      </c>
      <c r="S451">
        <v>0</v>
      </c>
      <c r="T451" t="s">
        <v>31</v>
      </c>
      <c r="U451" t="s">
        <v>37</v>
      </c>
      <c r="V451" t="s">
        <v>310</v>
      </c>
      <c r="W451" t="s">
        <v>312</v>
      </c>
      <c r="X451" t="s">
        <v>313</v>
      </c>
      <c r="Y451" t="s">
        <v>314</v>
      </c>
      <c r="Z451" t="s">
        <v>63</v>
      </c>
      <c r="AA451" t="s">
        <v>148</v>
      </c>
      <c r="AB451" t="s">
        <v>78</v>
      </c>
      <c r="AC451" t="s">
        <v>66</v>
      </c>
    </row>
    <row r="452" spans="1:29" x14ac:dyDescent="0.3">
      <c r="A452">
        <v>386.2</v>
      </c>
      <c r="B452" t="s">
        <v>382</v>
      </c>
      <c r="C452" t="s">
        <v>310</v>
      </c>
      <c r="D452" t="s">
        <v>31</v>
      </c>
      <c r="E452" t="s">
        <v>32</v>
      </c>
      <c r="F452" s="3">
        <v>44926</v>
      </c>
      <c r="G452">
        <f>YEAR(F452)</f>
        <v>2022</v>
      </c>
      <c r="H452" t="s">
        <v>44</v>
      </c>
      <c r="I452" t="s">
        <v>45</v>
      </c>
      <c r="L452">
        <f>5335242827/1000000</f>
        <v>5335.242827</v>
      </c>
      <c r="O452" t="s">
        <v>143</v>
      </c>
      <c r="P452" t="s">
        <v>143</v>
      </c>
      <c r="Q452" t="s">
        <v>384</v>
      </c>
      <c r="R452">
        <v>0</v>
      </c>
      <c r="S452">
        <v>0</v>
      </c>
      <c r="T452" t="s">
        <v>443</v>
      </c>
      <c r="U452" t="s">
        <v>37</v>
      </c>
      <c r="V452" t="s">
        <v>310</v>
      </c>
      <c r="W452" t="s">
        <v>312</v>
      </c>
      <c r="X452" t="s">
        <v>313</v>
      </c>
      <c r="Y452" t="s">
        <v>314</v>
      </c>
      <c r="Z452" t="s">
        <v>63</v>
      </c>
      <c r="AA452" t="s">
        <v>148</v>
      </c>
      <c r="AB452" t="s">
        <v>78</v>
      </c>
      <c r="AC452" t="s">
        <v>66</v>
      </c>
    </row>
    <row r="453" spans="1:29" x14ac:dyDescent="0.3">
      <c r="A453">
        <v>386.2</v>
      </c>
      <c r="B453" t="s">
        <v>382</v>
      </c>
      <c r="C453" t="s">
        <v>310</v>
      </c>
      <c r="D453" t="s">
        <v>31</v>
      </c>
      <c r="E453" t="s">
        <v>32</v>
      </c>
      <c r="F453" s="3">
        <v>45291</v>
      </c>
      <c r="G453">
        <v>2023</v>
      </c>
      <c r="H453" t="s">
        <v>44</v>
      </c>
      <c r="I453" t="s">
        <v>49</v>
      </c>
      <c r="J453">
        <v>2</v>
      </c>
      <c r="L453">
        <v>9868.4183169999997</v>
      </c>
      <c r="O453" t="s">
        <v>143</v>
      </c>
      <c r="P453" t="s">
        <v>143</v>
      </c>
      <c r="Q453" t="s">
        <v>384</v>
      </c>
      <c r="R453">
        <v>0</v>
      </c>
      <c r="S453">
        <v>0</v>
      </c>
      <c r="T453" t="s">
        <v>31</v>
      </c>
      <c r="U453" t="s">
        <v>37</v>
      </c>
      <c r="V453" t="s">
        <v>310</v>
      </c>
      <c r="W453" t="s">
        <v>312</v>
      </c>
      <c r="X453" t="s">
        <v>313</v>
      </c>
      <c r="Y453" t="s">
        <v>314</v>
      </c>
      <c r="Z453" t="s">
        <v>63</v>
      </c>
      <c r="AA453" t="s">
        <v>148</v>
      </c>
      <c r="AB453" t="s">
        <v>78</v>
      </c>
      <c r="AC453" t="s">
        <v>66</v>
      </c>
    </row>
    <row r="454" spans="1:29" x14ac:dyDescent="0.3">
      <c r="A454">
        <v>386.2</v>
      </c>
      <c r="B454" t="s">
        <v>382</v>
      </c>
      <c r="C454" t="s">
        <v>310</v>
      </c>
      <c r="D454" t="s">
        <v>31</v>
      </c>
      <c r="E454" t="s">
        <v>32</v>
      </c>
      <c r="F454" s="3">
        <v>45291</v>
      </c>
      <c r="G454">
        <v>2023</v>
      </c>
      <c r="H454" t="s">
        <v>44</v>
      </c>
      <c r="I454" t="s">
        <v>49</v>
      </c>
      <c r="L454">
        <v>9868.4183169999997</v>
      </c>
      <c r="O454" t="s">
        <v>143</v>
      </c>
      <c r="P454" t="s">
        <v>143</v>
      </c>
      <c r="Q454" t="s">
        <v>384</v>
      </c>
      <c r="R454">
        <v>0</v>
      </c>
      <c r="S454">
        <v>0</v>
      </c>
      <c r="T454" t="s">
        <v>443</v>
      </c>
      <c r="U454" t="s">
        <v>37</v>
      </c>
      <c r="V454" t="s">
        <v>310</v>
      </c>
      <c r="W454" t="s">
        <v>312</v>
      </c>
      <c r="X454" t="s">
        <v>313</v>
      </c>
      <c r="Y454" t="s">
        <v>314</v>
      </c>
      <c r="Z454" t="s">
        <v>63</v>
      </c>
      <c r="AA454" t="s">
        <v>148</v>
      </c>
      <c r="AB454" t="s">
        <v>78</v>
      </c>
      <c r="AC454" t="s">
        <v>66</v>
      </c>
    </row>
    <row r="455" spans="1:29" x14ac:dyDescent="0.3">
      <c r="A455">
        <v>386.2</v>
      </c>
      <c r="B455" t="s">
        <v>382</v>
      </c>
      <c r="C455" t="s">
        <v>310</v>
      </c>
      <c r="D455" t="s">
        <v>31</v>
      </c>
      <c r="E455" t="s">
        <v>32</v>
      </c>
      <c r="F455" s="3">
        <v>45657</v>
      </c>
      <c r="G455">
        <v>2024</v>
      </c>
      <c r="H455" t="s">
        <v>44</v>
      </c>
      <c r="I455" t="s">
        <v>53</v>
      </c>
      <c r="J455">
        <v>2</v>
      </c>
      <c r="L455">
        <v>4170.686009</v>
      </c>
      <c r="O455" t="s">
        <v>143</v>
      </c>
      <c r="P455" t="s">
        <v>143</v>
      </c>
      <c r="Q455" t="s">
        <v>386</v>
      </c>
      <c r="R455">
        <v>0</v>
      </c>
      <c r="S455">
        <v>0</v>
      </c>
      <c r="T455" t="s">
        <v>31</v>
      </c>
      <c r="U455" t="s">
        <v>37</v>
      </c>
      <c r="V455" t="s">
        <v>310</v>
      </c>
      <c r="W455" t="s">
        <v>312</v>
      </c>
      <c r="X455" t="s">
        <v>313</v>
      </c>
      <c r="Y455" t="s">
        <v>314</v>
      </c>
      <c r="Z455" t="s">
        <v>63</v>
      </c>
      <c r="AA455" t="s">
        <v>148</v>
      </c>
      <c r="AB455" t="s">
        <v>78</v>
      </c>
      <c r="AC455" t="s">
        <v>66</v>
      </c>
    </row>
    <row r="456" spans="1:29" x14ac:dyDescent="0.3">
      <c r="A456">
        <v>386.2</v>
      </c>
      <c r="B456" t="s">
        <v>382</v>
      </c>
      <c r="C456" t="s">
        <v>310</v>
      </c>
      <c r="D456" t="s">
        <v>31</v>
      </c>
      <c r="E456" t="s">
        <v>32</v>
      </c>
      <c r="F456" s="3">
        <v>45657</v>
      </c>
      <c r="G456">
        <v>2024</v>
      </c>
      <c r="H456" t="s">
        <v>44</v>
      </c>
      <c r="I456" t="s">
        <v>53</v>
      </c>
      <c r="L456">
        <v>4170.686009</v>
      </c>
      <c r="O456" t="s">
        <v>143</v>
      </c>
      <c r="P456" t="s">
        <v>143</v>
      </c>
      <c r="Q456" t="s">
        <v>386</v>
      </c>
      <c r="R456">
        <v>0</v>
      </c>
      <c r="S456">
        <v>0</v>
      </c>
      <c r="T456" t="s">
        <v>443</v>
      </c>
      <c r="U456" t="s">
        <v>37</v>
      </c>
      <c r="V456" t="s">
        <v>310</v>
      </c>
      <c r="W456" t="s">
        <v>312</v>
      </c>
      <c r="X456" t="s">
        <v>313</v>
      </c>
      <c r="Y456" t="s">
        <v>314</v>
      </c>
      <c r="Z456" t="s">
        <v>63</v>
      </c>
      <c r="AA456" t="s">
        <v>148</v>
      </c>
      <c r="AB456" t="s">
        <v>78</v>
      </c>
      <c r="AC456" t="s">
        <v>66</v>
      </c>
    </row>
    <row r="457" spans="1:29" x14ac:dyDescent="0.3">
      <c r="A457">
        <v>386.2</v>
      </c>
      <c r="B457" t="s">
        <v>382</v>
      </c>
      <c r="C457" t="s">
        <v>310</v>
      </c>
      <c r="D457" t="s">
        <v>31</v>
      </c>
      <c r="E457" t="s">
        <v>32</v>
      </c>
      <c r="F457" s="3">
        <v>46022</v>
      </c>
      <c r="G457">
        <v>2025</v>
      </c>
      <c r="H457" t="s">
        <v>44</v>
      </c>
      <c r="I457" t="s">
        <v>465</v>
      </c>
      <c r="J457">
        <v>2</v>
      </c>
      <c r="L457">
        <f>7446830696/1000000</f>
        <v>7446.830696</v>
      </c>
      <c r="O457" t="s">
        <v>143</v>
      </c>
      <c r="P457" t="s">
        <v>143</v>
      </c>
      <c r="Q457" t="s">
        <v>489</v>
      </c>
      <c r="R457">
        <v>0</v>
      </c>
      <c r="S457">
        <v>0</v>
      </c>
      <c r="T457" t="s">
        <v>31</v>
      </c>
      <c r="U457" t="s">
        <v>37</v>
      </c>
      <c r="V457" t="s">
        <v>310</v>
      </c>
      <c r="W457" t="s">
        <v>312</v>
      </c>
      <c r="X457" t="s">
        <v>313</v>
      </c>
      <c r="Y457" t="s">
        <v>314</v>
      </c>
      <c r="AB457" t="s">
        <v>78</v>
      </c>
      <c r="AC457" t="s">
        <v>66</v>
      </c>
    </row>
    <row r="458" spans="1:29" x14ac:dyDescent="0.3">
      <c r="A458">
        <v>386.2</v>
      </c>
      <c r="B458" t="s">
        <v>382</v>
      </c>
      <c r="C458" t="s">
        <v>310</v>
      </c>
      <c r="D458" t="s">
        <v>31</v>
      </c>
      <c r="E458" t="s">
        <v>32</v>
      </c>
      <c r="F458" s="3">
        <v>46022</v>
      </c>
      <c r="G458">
        <v>2025</v>
      </c>
      <c r="H458" t="s">
        <v>44</v>
      </c>
      <c r="I458" t="s">
        <v>465</v>
      </c>
      <c r="L458">
        <f>7446830696/1000000</f>
        <v>7446.830696</v>
      </c>
      <c r="O458" t="s">
        <v>143</v>
      </c>
      <c r="P458" t="s">
        <v>143</v>
      </c>
      <c r="Q458" t="s">
        <v>489</v>
      </c>
      <c r="R458">
        <v>0</v>
      </c>
      <c r="S458">
        <v>0</v>
      </c>
      <c r="T458" t="s">
        <v>443</v>
      </c>
      <c r="U458" t="s">
        <v>37</v>
      </c>
      <c r="V458" t="s">
        <v>310</v>
      </c>
      <c r="W458" t="s">
        <v>312</v>
      </c>
      <c r="X458" t="s">
        <v>313</v>
      </c>
      <c r="Y458" t="s">
        <v>314</v>
      </c>
      <c r="AB458" t="s">
        <v>78</v>
      </c>
      <c r="AC458" t="s">
        <v>66</v>
      </c>
    </row>
    <row r="459" spans="1:29" x14ac:dyDescent="0.3">
      <c r="A459">
        <v>386.3</v>
      </c>
      <c r="B459" t="s">
        <v>387</v>
      </c>
      <c r="C459" t="s">
        <v>310</v>
      </c>
      <c r="D459" t="s">
        <v>31</v>
      </c>
      <c r="E459" t="s">
        <v>32</v>
      </c>
      <c r="F459" s="3">
        <v>44926</v>
      </c>
      <c r="G459">
        <v>2022</v>
      </c>
      <c r="H459" t="s">
        <v>44</v>
      </c>
      <c r="I459" t="s">
        <v>45</v>
      </c>
      <c r="J459">
        <v>2</v>
      </c>
      <c r="L459">
        <f>3805662141/1000000</f>
        <v>3805.6621409999998</v>
      </c>
      <c r="O459" t="s">
        <v>143</v>
      </c>
      <c r="P459" t="s">
        <v>143</v>
      </c>
      <c r="Q459" t="s">
        <v>493</v>
      </c>
      <c r="R459">
        <v>0</v>
      </c>
      <c r="S459">
        <v>0</v>
      </c>
      <c r="T459" t="s">
        <v>31</v>
      </c>
      <c r="U459" t="s">
        <v>37</v>
      </c>
      <c r="V459" t="s">
        <v>310</v>
      </c>
      <c r="W459" t="s">
        <v>312</v>
      </c>
      <c r="X459" t="s">
        <v>313</v>
      </c>
      <c r="Y459" t="s">
        <v>314</v>
      </c>
      <c r="Z459" t="s">
        <v>63</v>
      </c>
      <c r="AA459" t="s">
        <v>148</v>
      </c>
      <c r="AB459" t="s">
        <v>78</v>
      </c>
      <c r="AC459" t="s">
        <v>66</v>
      </c>
    </row>
    <row r="460" spans="1:29" x14ac:dyDescent="0.3">
      <c r="A460">
        <v>386.3</v>
      </c>
      <c r="B460" t="s">
        <v>387</v>
      </c>
      <c r="C460" t="s">
        <v>310</v>
      </c>
      <c r="D460" t="s">
        <v>31</v>
      </c>
      <c r="E460" t="s">
        <v>32</v>
      </c>
      <c r="F460" s="3">
        <v>44926</v>
      </c>
      <c r="G460">
        <v>2022</v>
      </c>
      <c r="H460" t="s">
        <v>44</v>
      </c>
      <c r="I460" t="s">
        <v>45</v>
      </c>
      <c r="L460">
        <f>3805662141/1000000</f>
        <v>3805.6621409999998</v>
      </c>
      <c r="O460" t="s">
        <v>143</v>
      </c>
      <c r="P460" t="s">
        <v>143</v>
      </c>
      <c r="Q460" t="s">
        <v>493</v>
      </c>
      <c r="R460">
        <v>0</v>
      </c>
      <c r="S460">
        <v>0</v>
      </c>
      <c r="T460" t="s">
        <v>443</v>
      </c>
      <c r="U460" t="s">
        <v>37</v>
      </c>
      <c r="V460" t="s">
        <v>310</v>
      </c>
      <c r="W460" t="s">
        <v>312</v>
      </c>
      <c r="X460" t="s">
        <v>313</v>
      </c>
      <c r="Y460" t="s">
        <v>314</v>
      </c>
      <c r="Z460" t="s">
        <v>63</v>
      </c>
      <c r="AA460" t="s">
        <v>148</v>
      </c>
      <c r="AB460" t="s">
        <v>78</v>
      </c>
      <c r="AC460" t="s">
        <v>66</v>
      </c>
    </row>
    <row r="461" spans="1:29" x14ac:dyDescent="0.3">
      <c r="A461">
        <v>386.3</v>
      </c>
      <c r="B461" t="s">
        <v>387</v>
      </c>
      <c r="C461" t="s">
        <v>310</v>
      </c>
      <c r="D461" t="s">
        <v>31</v>
      </c>
      <c r="E461" t="s">
        <v>32</v>
      </c>
      <c r="F461" s="3">
        <v>45291</v>
      </c>
      <c r="G461">
        <v>2023</v>
      </c>
      <c r="H461" t="s">
        <v>44</v>
      </c>
      <c r="I461" t="s">
        <v>49</v>
      </c>
      <c r="J461">
        <v>2</v>
      </c>
      <c r="L461">
        <f>4048733862/1000000</f>
        <v>4048.733862</v>
      </c>
      <c r="O461" t="s">
        <v>143</v>
      </c>
      <c r="P461" t="s">
        <v>143</v>
      </c>
      <c r="Q461" t="s">
        <v>389</v>
      </c>
      <c r="R461">
        <v>0</v>
      </c>
      <c r="S461">
        <v>0</v>
      </c>
      <c r="T461" t="s">
        <v>31</v>
      </c>
      <c r="U461" t="s">
        <v>37</v>
      </c>
      <c r="V461" t="s">
        <v>310</v>
      </c>
      <c r="W461" t="s">
        <v>312</v>
      </c>
      <c r="X461" t="s">
        <v>313</v>
      </c>
      <c r="Y461" t="s">
        <v>314</v>
      </c>
      <c r="Z461" t="s">
        <v>63</v>
      </c>
      <c r="AA461" t="s">
        <v>148</v>
      </c>
      <c r="AB461" t="s">
        <v>78</v>
      </c>
      <c r="AC461" t="s">
        <v>66</v>
      </c>
    </row>
    <row r="462" spans="1:29" x14ac:dyDescent="0.3">
      <c r="A462">
        <v>386.3</v>
      </c>
      <c r="B462" t="s">
        <v>387</v>
      </c>
      <c r="C462" t="s">
        <v>310</v>
      </c>
      <c r="D462" t="s">
        <v>31</v>
      </c>
      <c r="E462" t="s">
        <v>32</v>
      </c>
      <c r="F462" s="3">
        <v>45291</v>
      </c>
      <c r="G462">
        <v>2023</v>
      </c>
      <c r="H462" t="s">
        <v>44</v>
      </c>
      <c r="I462" t="s">
        <v>49</v>
      </c>
      <c r="L462">
        <f>4048733862/1000000</f>
        <v>4048.733862</v>
      </c>
      <c r="O462" t="s">
        <v>143</v>
      </c>
      <c r="P462" t="s">
        <v>143</v>
      </c>
      <c r="Q462" t="s">
        <v>389</v>
      </c>
      <c r="R462">
        <v>0</v>
      </c>
      <c r="S462">
        <v>0</v>
      </c>
      <c r="T462" t="s">
        <v>443</v>
      </c>
      <c r="U462" t="s">
        <v>37</v>
      </c>
      <c r="V462" t="s">
        <v>310</v>
      </c>
      <c r="W462" t="s">
        <v>312</v>
      </c>
      <c r="X462" t="s">
        <v>313</v>
      </c>
      <c r="Y462" t="s">
        <v>314</v>
      </c>
      <c r="Z462" t="s">
        <v>63</v>
      </c>
      <c r="AA462" t="s">
        <v>148</v>
      </c>
      <c r="AB462" t="s">
        <v>78</v>
      </c>
      <c r="AC462" t="s">
        <v>66</v>
      </c>
    </row>
    <row r="463" spans="1:29" x14ac:dyDescent="0.3">
      <c r="A463">
        <v>386.3</v>
      </c>
      <c r="B463" t="s">
        <v>387</v>
      </c>
      <c r="C463" t="s">
        <v>310</v>
      </c>
      <c r="D463" t="s">
        <v>31</v>
      </c>
      <c r="E463" t="s">
        <v>32</v>
      </c>
      <c r="F463" s="3">
        <v>45657</v>
      </c>
      <c r="G463">
        <v>2024</v>
      </c>
      <c r="H463" t="s">
        <v>44</v>
      </c>
      <c r="I463" t="s">
        <v>53</v>
      </c>
      <c r="J463">
        <v>2</v>
      </c>
      <c r="L463">
        <v>4378.2397499999997</v>
      </c>
      <c r="O463" t="s">
        <v>143</v>
      </c>
      <c r="P463" t="s">
        <v>143</v>
      </c>
      <c r="Q463" t="s">
        <v>391</v>
      </c>
      <c r="R463">
        <v>0</v>
      </c>
      <c r="S463">
        <v>0</v>
      </c>
      <c r="T463" t="s">
        <v>31</v>
      </c>
      <c r="U463" t="s">
        <v>37</v>
      </c>
      <c r="V463" t="s">
        <v>310</v>
      </c>
      <c r="W463" t="s">
        <v>312</v>
      </c>
      <c r="X463" t="s">
        <v>313</v>
      </c>
      <c r="Y463" t="s">
        <v>314</v>
      </c>
      <c r="Z463" t="s">
        <v>63</v>
      </c>
      <c r="AA463" t="s">
        <v>148</v>
      </c>
      <c r="AB463" t="s">
        <v>78</v>
      </c>
      <c r="AC463" t="s">
        <v>66</v>
      </c>
    </row>
    <row r="464" spans="1:29" x14ac:dyDescent="0.3">
      <c r="A464">
        <v>386.3</v>
      </c>
      <c r="B464" t="s">
        <v>387</v>
      </c>
      <c r="C464" t="s">
        <v>310</v>
      </c>
      <c r="D464" t="s">
        <v>31</v>
      </c>
      <c r="E464" t="s">
        <v>32</v>
      </c>
      <c r="F464" s="3">
        <v>45657</v>
      </c>
      <c r="G464">
        <v>2024</v>
      </c>
      <c r="H464" t="s">
        <v>44</v>
      </c>
      <c r="I464" t="s">
        <v>53</v>
      </c>
      <c r="L464">
        <v>4378.2397499999997</v>
      </c>
      <c r="O464" t="s">
        <v>143</v>
      </c>
      <c r="P464" t="s">
        <v>143</v>
      </c>
      <c r="Q464" t="s">
        <v>391</v>
      </c>
      <c r="R464">
        <v>0</v>
      </c>
      <c r="S464">
        <v>0</v>
      </c>
      <c r="T464" t="s">
        <v>443</v>
      </c>
      <c r="U464" t="s">
        <v>37</v>
      </c>
      <c r="V464" t="s">
        <v>310</v>
      </c>
      <c r="W464" t="s">
        <v>312</v>
      </c>
      <c r="X464" t="s">
        <v>313</v>
      </c>
      <c r="Y464" t="s">
        <v>314</v>
      </c>
      <c r="Z464" t="s">
        <v>63</v>
      </c>
      <c r="AA464" t="s">
        <v>148</v>
      </c>
      <c r="AB464" t="s">
        <v>78</v>
      </c>
      <c r="AC464" t="s">
        <v>66</v>
      </c>
    </row>
    <row r="465" spans="1:29" x14ac:dyDescent="0.3">
      <c r="A465">
        <v>386.3</v>
      </c>
      <c r="B465" t="s">
        <v>387</v>
      </c>
      <c r="C465" t="s">
        <v>310</v>
      </c>
      <c r="D465" t="s">
        <v>31</v>
      </c>
      <c r="E465" t="s">
        <v>32</v>
      </c>
      <c r="F465" s="3">
        <v>46022</v>
      </c>
      <c r="G465">
        <v>2025</v>
      </c>
      <c r="H465" t="s">
        <v>44</v>
      </c>
      <c r="I465" t="s">
        <v>465</v>
      </c>
      <c r="J465">
        <v>2</v>
      </c>
      <c r="L465">
        <f>(5278611105+290168214)/1000000</f>
        <v>5568.7793190000002</v>
      </c>
      <c r="O465" t="s">
        <v>143</v>
      </c>
      <c r="P465" t="s">
        <v>143</v>
      </c>
      <c r="Q465" t="s">
        <v>492</v>
      </c>
      <c r="R465">
        <v>0</v>
      </c>
      <c r="S465">
        <v>0</v>
      </c>
      <c r="T465" t="s">
        <v>31</v>
      </c>
      <c r="U465" t="s">
        <v>37</v>
      </c>
      <c r="V465" t="s">
        <v>310</v>
      </c>
      <c r="W465" t="s">
        <v>312</v>
      </c>
      <c r="X465" t="s">
        <v>313</v>
      </c>
      <c r="Y465" t="s">
        <v>314</v>
      </c>
      <c r="AB465" t="s">
        <v>78</v>
      </c>
      <c r="AC465" t="s">
        <v>66</v>
      </c>
    </row>
    <row r="466" spans="1:29" x14ac:dyDescent="0.3">
      <c r="A466">
        <v>386.3</v>
      </c>
      <c r="B466" t="s">
        <v>387</v>
      </c>
      <c r="C466" t="s">
        <v>310</v>
      </c>
      <c r="D466" t="s">
        <v>31</v>
      </c>
      <c r="E466" t="s">
        <v>32</v>
      </c>
      <c r="F466" s="3">
        <v>46022</v>
      </c>
      <c r="G466">
        <v>2025</v>
      </c>
      <c r="H466" t="s">
        <v>44</v>
      </c>
      <c r="I466" t="s">
        <v>465</v>
      </c>
      <c r="L466">
        <f>(5278611105+290168214)/1000000</f>
        <v>5568.7793190000002</v>
      </c>
      <c r="O466" t="s">
        <v>143</v>
      </c>
      <c r="P466" t="s">
        <v>143</v>
      </c>
      <c r="Q466" t="s">
        <v>492</v>
      </c>
      <c r="R466">
        <v>0</v>
      </c>
      <c r="S466">
        <v>0</v>
      </c>
      <c r="T466" t="s">
        <v>443</v>
      </c>
      <c r="U466" t="s">
        <v>37</v>
      </c>
      <c r="V466" t="s">
        <v>310</v>
      </c>
      <c r="W466" t="s">
        <v>312</v>
      </c>
      <c r="X466" t="s">
        <v>313</v>
      </c>
      <c r="Y466" t="s">
        <v>314</v>
      </c>
      <c r="AB466" t="s">
        <v>78</v>
      </c>
      <c r="AC466" t="s">
        <v>66</v>
      </c>
    </row>
    <row r="467" spans="1:29" x14ac:dyDescent="0.3">
      <c r="A467">
        <v>423</v>
      </c>
      <c r="B467" t="s">
        <v>320</v>
      </c>
      <c r="C467" t="s">
        <v>83</v>
      </c>
      <c r="D467" t="s">
        <v>66</v>
      </c>
      <c r="E467" t="s">
        <v>32</v>
      </c>
      <c r="F467" s="3">
        <v>44926</v>
      </c>
      <c r="G467">
        <v>2022</v>
      </c>
      <c r="H467" t="s">
        <v>44</v>
      </c>
      <c r="I467" t="s">
        <v>45</v>
      </c>
      <c r="J467">
        <v>2</v>
      </c>
      <c r="K467">
        <v>8.8000000000000007</v>
      </c>
      <c r="L467">
        <v>7.8</v>
      </c>
      <c r="M467">
        <v>0.88636363636363624</v>
      </c>
      <c r="N467">
        <v>0.88636363636363624</v>
      </c>
      <c r="Q467" t="s">
        <v>321</v>
      </c>
      <c r="R467">
        <v>1</v>
      </c>
      <c r="S467">
        <v>1</v>
      </c>
      <c r="T467" t="s">
        <v>31</v>
      </c>
      <c r="U467" t="s">
        <v>37</v>
      </c>
      <c r="V467" t="s">
        <v>83</v>
      </c>
      <c r="W467" t="s">
        <v>38</v>
      </c>
      <c r="X467" t="s">
        <v>39</v>
      </c>
      <c r="Y467" t="s">
        <v>322</v>
      </c>
      <c r="Z467" t="s">
        <v>274</v>
      </c>
      <c r="AA467" t="s">
        <v>275</v>
      </c>
      <c r="AB467" t="s">
        <v>43</v>
      </c>
      <c r="AC467" t="s">
        <v>66</v>
      </c>
    </row>
    <row r="468" spans="1:29" x14ac:dyDescent="0.3">
      <c r="A468">
        <v>423</v>
      </c>
      <c r="B468" t="s">
        <v>320</v>
      </c>
      <c r="C468" t="s">
        <v>83</v>
      </c>
      <c r="D468" t="s">
        <v>66</v>
      </c>
      <c r="E468" t="s">
        <v>32</v>
      </c>
      <c r="F468" s="3">
        <v>44926</v>
      </c>
      <c r="G468">
        <v>2022</v>
      </c>
      <c r="H468" t="s">
        <v>44</v>
      </c>
      <c r="I468" t="s">
        <v>45</v>
      </c>
      <c r="K468">
        <v>8.8000000000000007</v>
      </c>
      <c r="L468">
        <v>7.8</v>
      </c>
      <c r="M468">
        <v>0.88636363636363624</v>
      </c>
      <c r="N468">
        <v>0.88636363636363624</v>
      </c>
      <c r="O468" t="s">
        <v>245</v>
      </c>
      <c r="P468" t="s">
        <v>245</v>
      </c>
      <c r="Q468" t="s">
        <v>321</v>
      </c>
      <c r="R468">
        <v>1</v>
      </c>
      <c r="S468">
        <v>1</v>
      </c>
      <c r="T468" t="s">
        <v>443</v>
      </c>
      <c r="U468" t="s">
        <v>37</v>
      </c>
      <c r="V468" t="s">
        <v>83</v>
      </c>
      <c r="W468" t="s">
        <v>38</v>
      </c>
      <c r="X468" t="s">
        <v>39</v>
      </c>
      <c r="Y468" t="s">
        <v>322</v>
      </c>
      <c r="Z468" t="s">
        <v>274</v>
      </c>
      <c r="AA468" t="s">
        <v>275</v>
      </c>
      <c r="AB468" t="s">
        <v>43</v>
      </c>
      <c r="AC468" t="s">
        <v>66</v>
      </c>
    </row>
    <row r="469" spans="1:29" x14ac:dyDescent="0.3">
      <c r="A469">
        <v>423</v>
      </c>
      <c r="B469" t="s">
        <v>320</v>
      </c>
      <c r="C469" t="s">
        <v>83</v>
      </c>
      <c r="D469" t="s">
        <v>66</v>
      </c>
      <c r="E469" t="s">
        <v>32</v>
      </c>
      <c r="F469" s="3">
        <v>45291</v>
      </c>
      <c r="G469">
        <v>2023</v>
      </c>
      <c r="H469" t="s">
        <v>44</v>
      </c>
      <c r="I469" t="s">
        <v>49</v>
      </c>
      <c r="J469">
        <v>2</v>
      </c>
      <c r="K469">
        <v>8.4</v>
      </c>
      <c r="L469">
        <v>7.9</v>
      </c>
      <c r="M469">
        <v>0.94047619047619047</v>
      </c>
      <c r="N469">
        <v>0.94047619047619047</v>
      </c>
      <c r="Q469" t="s">
        <v>323</v>
      </c>
      <c r="R469">
        <v>1</v>
      </c>
      <c r="S469">
        <v>1</v>
      </c>
      <c r="T469" t="s">
        <v>31</v>
      </c>
      <c r="U469" t="s">
        <v>37</v>
      </c>
      <c r="V469" t="s">
        <v>83</v>
      </c>
      <c r="W469" t="s">
        <v>38</v>
      </c>
      <c r="X469" t="s">
        <v>39</v>
      </c>
      <c r="Y469" t="s">
        <v>322</v>
      </c>
      <c r="Z469" t="s">
        <v>274</v>
      </c>
      <c r="AA469" t="s">
        <v>275</v>
      </c>
      <c r="AB469" t="s">
        <v>43</v>
      </c>
      <c r="AC469" t="s">
        <v>66</v>
      </c>
    </row>
    <row r="470" spans="1:29" x14ac:dyDescent="0.3">
      <c r="A470">
        <v>423</v>
      </c>
      <c r="B470" t="s">
        <v>320</v>
      </c>
      <c r="C470" t="s">
        <v>83</v>
      </c>
      <c r="D470" t="s">
        <v>66</v>
      </c>
      <c r="E470" t="s">
        <v>32</v>
      </c>
      <c r="F470" s="3">
        <v>45291</v>
      </c>
      <c r="G470">
        <v>2023</v>
      </c>
      <c r="H470" t="s">
        <v>44</v>
      </c>
      <c r="I470" t="s">
        <v>49</v>
      </c>
      <c r="K470">
        <v>8.4</v>
      </c>
      <c r="L470">
        <v>7.9</v>
      </c>
      <c r="M470">
        <v>0.94047619047619047</v>
      </c>
      <c r="N470">
        <v>0.94047619047619047</v>
      </c>
      <c r="O470" t="s">
        <v>245</v>
      </c>
      <c r="P470" t="s">
        <v>245</v>
      </c>
      <c r="Q470" t="s">
        <v>323</v>
      </c>
      <c r="R470">
        <v>1</v>
      </c>
      <c r="S470">
        <v>1</v>
      </c>
      <c r="T470" t="s">
        <v>443</v>
      </c>
      <c r="U470" t="s">
        <v>37</v>
      </c>
      <c r="V470" t="s">
        <v>83</v>
      </c>
      <c r="W470" t="s">
        <v>38</v>
      </c>
      <c r="X470" t="s">
        <v>39</v>
      </c>
      <c r="Y470" t="s">
        <v>322</v>
      </c>
      <c r="Z470" t="s">
        <v>274</v>
      </c>
      <c r="AA470" t="s">
        <v>275</v>
      </c>
      <c r="AB470" t="s">
        <v>43</v>
      </c>
      <c r="AC470" t="s">
        <v>66</v>
      </c>
    </row>
    <row r="471" spans="1:29" x14ac:dyDescent="0.3">
      <c r="A471">
        <v>423</v>
      </c>
      <c r="B471" t="s">
        <v>320</v>
      </c>
      <c r="C471" t="s">
        <v>83</v>
      </c>
      <c r="D471" t="s">
        <v>66</v>
      </c>
      <c r="E471" t="s">
        <v>32</v>
      </c>
      <c r="F471" s="3">
        <v>45657</v>
      </c>
      <c r="G471">
        <v>2024</v>
      </c>
      <c r="H471" t="s">
        <v>44</v>
      </c>
      <c r="I471" t="s">
        <v>53</v>
      </c>
      <c r="J471">
        <v>2</v>
      </c>
      <c r="K471">
        <v>8.3000000000000007</v>
      </c>
      <c r="L471">
        <v>12.4</v>
      </c>
      <c r="M471">
        <v>1.3</v>
      </c>
      <c r="N471">
        <v>1.481927710843373</v>
      </c>
      <c r="Q471" t="s">
        <v>324</v>
      </c>
      <c r="R471">
        <v>1</v>
      </c>
      <c r="S471">
        <v>1</v>
      </c>
      <c r="T471" t="s">
        <v>31</v>
      </c>
      <c r="U471" t="s">
        <v>37</v>
      </c>
      <c r="V471" t="s">
        <v>83</v>
      </c>
      <c r="W471" t="s">
        <v>38</v>
      </c>
      <c r="X471" t="s">
        <v>39</v>
      </c>
      <c r="Y471" t="s">
        <v>322</v>
      </c>
      <c r="Z471" t="s">
        <v>274</v>
      </c>
      <c r="AA471" t="s">
        <v>275</v>
      </c>
      <c r="AB471" t="s">
        <v>43</v>
      </c>
      <c r="AC471" t="s">
        <v>66</v>
      </c>
    </row>
    <row r="472" spans="1:29" x14ac:dyDescent="0.3">
      <c r="A472">
        <v>423</v>
      </c>
      <c r="B472" t="s">
        <v>320</v>
      </c>
      <c r="C472" t="s">
        <v>83</v>
      </c>
      <c r="D472" t="s">
        <v>66</v>
      </c>
      <c r="E472" t="s">
        <v>32</v>
      </c>
      <c r="F472" s="3">
        <v>45657</v>
      </c>
      <c r="G472">
        <v>2024</v>
      </c>
      <c r="H472" t="s">
        <v>44</v>
      </c>
      <c r="I472" t="s">
        <v>53</v>
      </c>
      <c r="K472">
        <v>8.3000000000000007</v>
      </c>
      <c r="L472">
        <v>12.4</v>
      </c>
      <c r="M472">
        <v>1.3</v>
      </c>
      <c r="N472">
        <v>1.481927710843373</v>
      </c>
      <c r="O472" t="s">
        <v>245</v>
      </c>
      <c r="P472" t="s">
        <v>245</v>
      </c>
      <c r="Q472" t="s">
        <v>324</v>
      </c>
      <c r="R472">
        <v>1</v>
      </c>
      <c r="S472">
        <v>1</v>
      </c>
      <c r="T472" t="s">
        <v>443</v>
      </c>
      <c r="U472" t="s">
        <v>37</v>
      </c>
      <c r="V472" t="s">
        <v>83</v>
      </c>
      <c r="W472" t="s">
        <v>38</v>
      </c>
      <c r="X472" t="s">
        <v>39</v>
      </c>
      <c r="Y472" t="s">
        <v>322</v>
      </c>
      <c r="Z472" t="s">
        <v>274</v>
      </c>
      <c r="AA472" t="s">
        <v>275</v>
      </c>
      <c r="AB472" t="s">
        <v>43</v>
      </c>
      <c r="AC472" t="s">
        <v>66</v>
      </c>
    </row>
    <row r="473" spans="1:29" x14ac:dyDescent="0.3">
      <c r="A473">
        <v>423</v>
      </c>
      <c r="B473" t="s">
        <v>320</v>
      </c>
      <c r="C473" t="s">
        <v>83</v>
      </c>
      <c r="D473" t="s">
        <v>66</v>
      </c>
      <c r="E473" t="s">
        <v>32</v>
      </c>
      <c r="F473" s="3">
        <v>46022</v>
      </c>
      <c r="G473">
        <v>2025</v>
      </c>
      <c r="H473" t="s">
        <v>44</v>
      </c>
      <c r="I473" t="s">
        <v>465</v>
      </c>
      <c r="J473">
        <v>2</v>
      </c>
      <c r="K473">
        <v>12</v>
      </c>
      <c r="L473">
        <v>15.1</v>
      </c>
      <c r="O473" t="s">
        <v>245</v>
      </c>
      <c r="P473" t="s">
        <v>245</v>
      </c>
      <c r="Q473" t="s">
        <v>455</v>
      </c>
      <c r="R473">
        <v>1</v>
      </c>
      <c r="S473">
        <v>1</v>
      </c>
      <c r="T473" t="s">
        <v>31</v>
      </c>
      <c r="U473" t="s">
        <v>37</v>
      </c>
      <c r="V473" t="s">
        <v>83</v>
      </c>
      <c r="W473" t="s">
        <v>38</v>
      </c>
      <c r="X473" t="s">
        <v>39</v>
      </c>
      <c r="Y473" t="s">
        <v>322</v>
      </c>
      <c r="Z473" t="s">
        <v>274</v>
      </c>
      <c r="AA473" t="s">
        <v>275</v>
      </c>
      <c r="AB473" t="s">
        <v>43</v>
      </c>
      <c r="AC473" t="s">
        <v>66</v>
      </c>
    </row>
    <row r="474" spans="1:29" x14ac:dyDescent="0.3">
      <c r="A474">
        <v>424</v>
      </c>
      <c r="B474" t="s">
        <v>325</v>
      </c>
      <c r="C474" t="s">
        <v>83</v>
      </c>
      <c r="D474" t="s">
        <v>66</v>
      </c>
      <c r="E474" t="s">
        <v>32</v>
      </c>
      <c r="F474" s="3">
        <v>44926</v>
      </c>
      <c r="G474">
        <v>2022</v>
      </c>
      <c r="H474" t="s">
        <v>44</v>
      </c>
      <c r="I474" t="s">
        <v>45</v>
      </c>
      <c r="J474">
        <v>2</v>
      </c>
      <c r="K474">
        <v>6.5</v>
      </c>
      <c r="L474">
        <v>5</v>
      </c>
      <c r="M474">
        <v>0.76923076923076927</v>
      </c>
      <c r="N474">
        <v>0.76923076923076927</v>
      </c>
      <c r="Q474" t="s">
        <v>326</v>
      </c>
      <c r="R474">
        <v>0</v>
      </c>
      <c r="S474">
        <v>0</v>
      </c>
      <c r="T474" t="s">
        <v>31</v>
      </c>
      <c r="U474" t="s">
        <v>37</v>
      </c>
      <c r="V474" t="s">
        <v>83</v>
      </c>
      <c r="W474" t="s">
        <v>38</v>
      </c>
      <c r="X474" t="s">
        <v>39</v>
      </c>
      <c r="Y474" t="s">
        <v>322</v>
      </c>
      <c r="Z474" t="s">
        <v>274</v>
      </c>
      <c r="AA474" t="s">
        <v>275</v>
      </c>
      <c r="AB474" t="s">
        <v>43</v>
      </c>
      <c r="AC474" t="s">
        <v>66</v>
      </c>
    </row>
    <row r="475" spans="1:29" x14ac:dyDescent="0.3">
      <c r="A475">
        <v>424</v>
      </c>
      <c r="B475" t="s">
        <v>325</v>
      </c>
      <c r="C475" t="s">
        <v>83</v>
      </c>
      <c r="D475" t="s">
        <v>66</v>
      </c>
      <c r="E475" t="s">
        <v>32</v>
      </c>
      <c r="F475" s="3">
        <v>44926</v>
      </c>
      <c r="G475">
        <v>2022</v>
      </c>
      <c r="H475" t="s">
        <v>44</v>
      </c>
      <c r="I475" t="s">
        <v>45</v>
      </c>
      <c r="K475">
        <v>6.5</v>
      </c>
      <c r="L475">
        <v>5</v>
      </c>
      <c r="M475">
        <v>0.76923076923076927</v>
      </c>
      <c r="N475">
        <v>0.76923076923076927</v>
      </c>
      <c r="O475" t="s">
        <v>245</v>
      </c>
      <c r="P475" t="s">
        <v>35</v>
      </c>
      <c r="Q475" t="s">
        <v>326</v>
      </c>
      <c r="R475">
        <v>1</v>
      </c>
      <c r="S475">
        <v>0</v>
      </c>
      <c r="T475" t="s">
        <v>443</v>
      </c>
      <c r="U475" t="s">
        <v>37</v>
      </c>
      <c r="V475" t="s">
        <v>83</v>
      </c>
      <c r="W475" t="s">
        <v>38</v>
      </c>
      <c r="X475" t="s">
        <v>39</v>
      </c>
      <c r="Y475" t="s">
        <v>322</v>
      </c>
      <c r="Z475" t="s">
        <v>274</v>
      </c>
      <c r="AA475" t="s">
        <v>275</v>
      </c>
      <c r="AB475" t="s">
        <v>43</v>
      </c>
      <c r="AC475" t="s">
        <v>66</v>
      </c>
    </row>
    <row r="476" spans="1:29" x14ac:dyDescent="0.3">
      <c r="A476">
        <v>424</v>
      </c>
      <c r="B476" t="s">
        <v>325</v>
      </c>
      <c r="C476" t="s">
        <v>83</v>
      </c>
      <c r="D476" t="s">
        <v>66</v>
      </c>
      <c r="E476" t="s">
        <v>32</v>
      </c>
      <c r="F476" s="3">
        <v>45291</v>
      </c>
      <c r="G476">
        <v>2023</v>
      </c>
      <c r="H476" t="s">
        <v>44</v>
      </c>
      <c r="I476" t="s">
        <v>49</v>
      </c>
      <c r="J476">
        <v>2</v>
      </c>
      <c r="K476">
        <v>6</v>
      </c>
      <c r="L476">
        <v>6</v>
      </c>
      <c r="M476">
        <v>1</v>
      </c>
      <c r="N476">
        <v>1</v>
      </c>
      <c r="Q476" t="s">
        <v>327</v>
      </c>
      <c r="R476">
        <v>0</v>
      </c>
      <c r="S476">
        <v>0</v>
      </c>
      <c r="T476" t="s">
        <v>31</v>
      </c>
      <c r="U476" t="s">
        <v>37</v>
      </c>
      <c r="V476" t="s">
        <v>83</v>
      </c>
      <c r="W476" t="s">
        <v>38</v>
      </c>
      <c r="X476" t="s">
        <v>39</v>
      </c>
      <c r="Y476" t="s">
        <v>322</v>
      </c>
      <c r="Z476" t="s">
        <v>274</v>
      </c>
      <c r="AA476" t="s">
        <v>275</v>
      </c>
      <c r="AB476" t="s">
        <v>43</v>
      </c>
      <c r="AC476" t="s">
        <v>66</v>
      </c>
    </row>
    <row r="477" spans="1:29" x14ac:dyDescent="0.3">
      <c r="A477">
        <v>424</v>
      </c>
      <c r="B477" t="s">
        <v>325</v>
      </c>
      <c r="C477" t="s">
        <v>83</v>
      </c>
      <c r="D477" t="s">
        <v>66</v>
      </c>
      <c r="E477" t="s">
        <v>32</v>
      </c>
      <c r="F477" s="3">
        <v>45291</v>
      </c>
      <c r="G477">
        <v>2023</v>
      </c>
      <c r="H477" t="s">
        <v>44</v>
      </c>
      <c r="I477" t="s">
        <v>49</v>
      </c>
      <c r="K477">
        <v>6</v>
      </c>
      <c r="L477">
        <v>6</v>
      </c>
      <c r="M477">
        <v>1</v>
      </c>
      <c r="N477">
        <v>1</v>
      </c>
      <c r="O477" t="s">
        <v>35</v>
      </c>
      <c r="P477" t="s">
        <v>35</v>
      </c>
      <c r="Q477" t="s">
        <v>327</v>
      </c>
      <c r="R477">
        <v>0</v>
      </c>
      <c r="S477">
        <v>0</v>
      </c>
      <c r="T477" t="s">
        <v>443</v>
      </c>
      <c r="U477" t="s">
        <v>37</v>
      </c>
      <c r="V477" t="s">
        <v>83</v>
      </c>
      <c r="W477" t="s">
        <v>38</v>
      </c>
      <c r="X477" t="s">
        <v>39</v>
      </c>
      <c r="Y477" t="s">
        <v>322</v>
      </c>
      <c r="Z477" t="s">
        <v>274</v>
      </c>
      <c r="AA477" t="s">
        <v>275</v>
      </c>
      <c r="AB477" t="s">
        <v>43</v>
      </c>
      <c r="AC477" t="s">
        <v>66</v>
      </c>
    </row>
    <row r="478" spans="1:29" x14ac:dyDescent="0.3">
      <c r="A478">
        <v>424</v>
      </c>
      <c r="B478" t="s">
        <v>325</v>
      </c>
      <c r="C478" t="s">
        <v>83</v>
      </c>
      <c r="D478" t="s">
        <v>66</v>
      </c>
      <c r="E478" t="s">
        <v>32</v>
      </c>
      <c r="F478" s="3">
        <v>45657</v>
      </c>
      <c r="G478">
        <v>2024</v>
      </c>
      <c r="H478" t="s">
        <v>44</v>
      </c>
      <c r="I478" t="s">
        <v>53</v>
      </c>
      <c r="J478">
        <v>2</v>
      </c>
      <c r="K478">
        <v>7</v>
      </c>
      <c r="L478">
        <v>9</v>
      </c>
      <c r="M478">
        <v>1.285714285714286</v>
      </c>
      <c r="N478">
        <v>1.285714285714286</v>
      </c>
      <c r="Q478" t="s">
        <v>328</v>
      </c>
      <c r="R478">
        <v>0</v>
      </c>
      <c r="S478">
        <v>0</v>
      </c>
      <c r="T478" t="s">
        <v>31</v>
      </c>
      <c r="U478" t="s">
        <v>37</v>
      </c>
      <c r="V478" t="s">
        <v>83</v>
      </c>
      <c r="W478" t="s">
        <v>38</v>
      </c>
      <c r="X478" t="s">
        <v>39</v>
      </c>
      <c r="Y478" t="s">
        <v>322</v>
      </c>
      <c r="Z478" t="s">
        <v>274</v>
      </c>
      <c r="AA478" t="s">
        <v>275</v>
      </c>
      <c r="AB478" t="s">
        <v>43</v>
      </c>
      <c r="AC478" t="s">
        <v>66</v>
      </c>
    </row>
    <row r="479" spans="1:29" x14ac:dyDescent="0.3">
      <c r="A479">
        <v>424</v>
      </c>
      <c r="B479" t="s">
        <v>325</v>
      </c>
      <c r="C479" t="s">
        <v>83</v>
      </c>
      <c r="D479" t="s">
        <v>66</v>
      </c>
      <c r="E479" t="s">
        <v>32</v>
      </c>
      <c r="F479" s="3">
        <v>45657</v>
      </c>
      <c r="G479">
        <v>2024</v>
      </c>
      <c r="H479" t="s">
        <v>44</v>
      </c>
      <c r="I479" t="s">
        <v>53</v>
      </c>
      <c r="K479">
        <v>7</v>
      </c>
      <c r="L479">
        <v>9</v>
      </c>
      <c r="M479">
        <v>1.285714285714286</v>
      </c>
      <c r="N479">
        <v>1.285714285714286</v>
      </c>
      <c r="O479" t="s">
        <v>35</v>
      </c>
      <c r="P479" t="s">
        <v>35</v>
      </c>
      <c r="Q479" t="s">
        <v>328</v>
      </c>
      <c r="R479">
        <v>0</v>
      </c>
      <c r="S479">
        <v>0</v>
      </c>
      <c r="T479" t="s">
        <v>443</v>
      </c>
      <c r="U479" t="s">
        <v>37</v>
      </c>
      <c r="V479" t="s">
        <v>83</v>
      </c>
      <c r="W479" t="s">
        <v>38</v>
      </c>
      <c r="X479" t="s">
        <v>39</v>
      </c>
      <c r="Y479" t="s">
        <v>322</v>
      </c>
      <c r="Z479" t="s">
        <v>274</v>
      </c>
      <c r="AA479" t="s">
        <v>275</v>
      </c>
      <c r="AB479" t="s">
        <v>43</v>
      </c>
      <c r="AC479" t="s">
        <v>66</v>
      </c>
    </row>
    <row r="480" spans="1:29" x14ac:dyDescent="0.3">
      <c r="A480">
        <v>424</v>
      </c>
      <c r="B480" t="s">
        <v>325</v>
      </c>
      <c r="C480" t="s">
        <v>83</v>
      </c>
      <c r="D480" t="s">
        <v>66</v>
      </c>
      <c r="E480" t="s">
        <v>32</v>
      </c>
      <c r="F480" s="3">
        <v>46022</v>
      </c>
      <c r="G480">
        <v>2025</v>
      </c>
      <c r="H480" t="s">
        <v>44</v>
      </c>
      <c r="I480" t="s">
        <v>465</v>
      </c>
      <c r="J480">
        <v>2</v>
      </c>
      <c r="K480">
        <v>9</v>
      </c>
      <c r="L480">
        <v>11</v>
      </c>
      <c r="O480" t="s">
        <v>35</v>
      </c>
      <c r="P480" t="s">
        <v>35</v>
      </c>
      <c r="Q480" t="s">
        <v>495</v>
      </c>
      <c r="R480">
        <v>0</v>
      </c>
      <c r="S480">
        <v>0</v>
      </c>
      <c r="T480" t="s">
        <v>31</v>
      </c>
      <c r="U480" t="s">
        <v>37</v>
      </c>
      <c r="V480" t="s">
        <v>83</v>
      </c>
      <c r="W480" t="s">
        <v>38</v>
      </c>
      <c r="X480" t="s">
        <v>39</v>
      </c>
      <c r="Y480" t="s">
        <v>322</v>
      </c>
      <c r="Z480" t="s">
        <v>274</v>
      </c>
      <c r="AA480" t="s">
        <v>275</v>
      </c>
      <c r="AB480" t="s">
        <v>43</v>
      </c>
      <c r="AC480" t="s">
        <v>66</v>
      </c>
    </row>
    <row r="481" spans="1:29" x14ac:dyDescent="0.3">
      <c r="A481">
        <v>460</v>
      </c>
      <c r="B481" t="s">
        <v>329</v>
      </c>
      <c r="C481" t="s">
        <v>130</v>
      </c>
      <c r="D481" t="s">
        <v>66</v>
      </c>
      <c r="E481" t="s">
        <v>32</v>
      </c>
      <c r="F481" s="3">
        <v>45291</v>
      </c>
      <c r="G481">
        <v>2023</v>
      </c>
      <c r="H481" t="s">
        <v>44</v>
      </c>
      <c r="I481" t="s">
        <v>49</v>
      </c>
      <c r="L481">
        <v>94.85</v>
      </c>
      <c r="O481" t="s">
        <v>284</v>
      </c>
      <c r="P481" t="s">
        <v>58</v>
      </c>
      <c r="Q481" t="s">
        <v>449</v>
      </c>
      <c r="R481">
        <v>0</v>
      </c>
      <c r="S481">
        <v>0</v>
      </c>
      <c r="T481" t="s">
        <v>443</v>
      </c>
      <c r="U481" t="s">
        <v>37</v>
      </c>
      <c r="V481" t="s">
        <v>130</v>
      </c>
      <c r="W481" t="s">
        <v>73</v>
      </c>
      <c r="X481" t="s">
        <v>218</v>
      </c>
      <c r="Y481" t="s">
        <v>331</v>
      </c>
      <c r="Z481" t="s">
        <v>134</v>
      </c>
      <c r="AA481" t="s">
        <v>135</v>
      </c>
      <c r="AB481" t="s">
        <v>43</v>
      </c>
      <c r="AC481" t="s">
        <v>66</v>
      </c>
    </row>
    <row r="482" spans="1:29" x14ac:dyDescent="0.3">
      <c r="A482">
        <v>460</v>
      </c>
      <c r="B482" t="s">
        <v>329</v>
      </c>
      <c r="C482" t="s">
        <v>130</v>
      </c>
      <c r="D482" t="s">
        <v>66</v>
      </c>
      <c r="E482" t="s">
        <v>32</v>
      </c>
      <c r="F482" s="3">
        <v>45657</v>
      </c>
      <c r="G482">
        <v>2024</v>
      </c>
      <c r="H482" t="s">
        <v>44</v>
      </c>
      <c r="I482" t="s">
        <v>53</v>
      </c>
      <c r="J482">
        <v>2</v>
      </c>
      <c r="K482">
        <v>80</v>
      </c>
      <c r="L482">
        <v>91.44</v>
      </c>
      <c r="M482">
        <v>1.143</v>
      </c>
      <c r="N482">
        <v>1.143</v>
      </c>
      <c r="O482" t="s">
        <v>58</v>
      </c>
      <c r="P482" t="s">
        <v>58</v>
      </c>
      <c r="Q482" t="s">
        <v>330</v>
      </c>
      <c r="R482">
        <v>0</v>
      </c>
      <c r="S482">
        <v>0</v>
      </c>
      <c r="T482" t="s">
        <v>31</v>
      </c>
      <c r="U482" t="s">
        <v>37</v>
      </c>
      <c r="V482" t="s">
        <v>130</v>
      </c>
      <c r="W482" t="s">
        <v>73</v>
      </c>
      <c r="X482" t="s">
        <v>218</v>
      </c>
      <c r="Y482" t="s">
        <v>331</v>
      </c>
      <c r="Z482" t="s">
        <v>134</v>
      </c>
      <c r="AA482" t="s">
        <v>135</v>
      </c>
      <c r="AB482" t="s">
        <v>43</v>
      </c>
      <c r="AC482" t="s">
        <v>66</v>
      </c>
    </row>
    <row r="483" spans="1:29" x14ac:dyDescent="0.3">
      <c r="A483">
        <v>460</v>
      </c>
      <c r="B483" t="s">
        <v>329</v>
      </c>
      <c r="C483" t="s">
        <v>130</v>
      </c>
      <c r="D483" t="s">
        <v>66</v>
      </c>
      <c r="E483" t="s">
        <v>32</v>
      </c>
      <c r="F483" s="3">
        <v>45657</v>
      </c>
      <c r="G483">
        <v>2024</v>
      </c>
      <c r="H483" t="s">
        <v>44</v>
      </c>
      <c r="I483" t="s">
        <v>53</v>
      </c>
      <c r="J483">
        <v>2</v>
      </c>
      <c r="L483">
        <v>94.85</v>
      </c>
      <c r="O483" t="s">
        <v>284</v>
      </c>
      <c r="P483" t="s">
        <v>58</v>
      </c>
      <c r="Q483" t="s">
        <v>330</v>
      </c>
      <c r="R483">
        <v>0</v>
      </c>
      <c r="S483">
        <v>0</v>
      </c>
      <c r="T483" t="s">
        <v>31</v>
      </c>
      <c r="U483" t="s">
        <v>37</v>
      </c>
      <c r="V483" t="s">
        <v>130</v>
      </c>
      <c r="W483" t="s">
        <v>73</v>
      </c>
      <c r="X483" t="s">
        <v>218</v>
      </c>
      <c r="Y483" t="s">
        <v>331</v>
      </c>
      <c r="Z483" t="s">
        <v>134</v>
      </c>
      <c r="AA483" t="s">
        <v>135</v>
      </c>
      <c r="AB483" t="s">
        <v>43</v>
      </c>
      <c r="AC483" t="s">
        <v>66</v>
      </c>
    </row>
    <row r="484" spans="1:29" x14ac:dyDescent="0.3">
      <c r="A484">
        <v>460</v>
      </c>
      <c r="B484" t="s">
        <v>329</v>
      </c>
      <c r="C484" t="s">
        <v>130</v>
      </c>
      <c r="D484" t="s">
        <v>66</v>
      </c>
      <c r="E484" t="s">
        <v>32</v>
      </c>
      <c r="F484" s="3">
        <v>45657</v>
      </c>
      <c r="G484">
        <v>2024</v>
      </c>
      <c r="H484" t="s">
        <v>44</v>
      </c>
      <c r="I484" t="s">
        <v>53</v>
      </c>
      <c r="K484">
        <v>80</v>
      </c>
      <c r="L484">
        <v>91.44</v>
      </c>
      <c r="M484">
        <v>1.143</v>
      </c>
      <c r="N484">
        <v>1.143</v>
      </c>
      <c r="O484" t="s">
        <v>58</v>
      </c>
      <c r="P484" t="s">
        <v>58</v>
      </c>
      <c r="Q484" t="s">
        <v>330</v>
      </c>
      <c r="R484">
        <v>0</v>
      </c>
      <c r="S484">
        <v>1</v>
      </c>
      <c r="T484" t="s">
        <v>443</v>
      </c>
      <c r="U484" t="s">
        <v>37</v>
      </c>
      <c r="V484" t="s">
        <v>130</v>
      </c>
      <c r="W484" t="s">
        <v>73</v>
      </c>
      <c r="X484" t="s">
        <v>218</v>
      </c>
      <c r="Y484" t="s">
        <v>331</v>
      </c>
      <c r="Z484" t="s">
        <v>134</v>
      </c>
      <c r="AA484" t="s">
        <v>135</v>
      </c>
      <c r="AB484" t="s">
        <v>43</v>
      </c>
      <c r="AC484" t="s">
        <v>66</v>
      </c>
    </row>
    <row r="485" spans="1:29" x14ac:dyDescent="0.3">
      <c r="A485">
        <v>460</v>
      </c>
      <c r="B485" t="s">
        <v>329</v>
      </c>
      <c r="C485" t="s">
        <v>130</v>
      </c>
      <c r="D485" t="s">
        <v>66</v>
      </c>
      <c r="E485" t="s">
        <v>32</v>
      </c>
      <c r="F485" s="3">
        <v>45838</v>
      </c>
      <c r="G485">
        <v>2025</v>
      </c>
      <c r="H485" t="s">
        <v>33</v>
      </c>
      <c r="I485" t="s">
        <v>404</v>
      </c>
      <c r="K485">
        <v>80</v>
      </c>
      <c r="L485">
        <v>91.44</v>
      </c>
      <c r="M485">
        <v>1.143</v>
      </c>
      <c r="N485">
        <v>1.143</v>
      </c>
      <c r="O485" t="s">
        <v>58</v>
      </c>
      <c r="P485" t="s">
        <v>58</v>
      </c>
      <c r="Q485" t="s">
        <v>454</v>
      </c>
      <c r="R485">
        <v>0</v>
      </c>
      <c r="S485">
        <v>1</v>
      </c>
      <c r="T485" t="s">
        <v>443</v>
      </c>
      <c r="U485" t="s">
        <v>37</v>
      </c>
      <c r="V485" t="s">
        <v>130</v>
      </c>
      <c r="W485" t="s">
        <v>73</v>
      </c>
      <c r="X485" t="s">
        <v>218</v>
      </c>
      <c r="Y485" t="s">
        <v>331</v>
      </c>
      <c r="Z485" t="s">
        <v>134</v>
      </c>
      <c r="AA485" t="s">
        <v>135</v>
      </c>
      <c r="AB485" t="s">
        <v>43</v>
      </c>
      <c r="AC485" t="s">
        <v>66</v>
      </c>
    </row>
    <row r="486" spans="1:29" x14ac:dyDescent="0.3">
      <c r="A486">
        <v>466</v>
      </c>
      <c r="B486" t="s">
        <v>341</v>
      </c>
      <c r="C486" t="s">
        <v>30</v>
      </c>
      <c r="D486" t="s">
        <v>31</v>
      </c>
      <c r="E486" t="s">
        <v>32</v>
      </c>
      <c r="F486" s="3">
        <v>44926</v>
      </c>
      <c r="G486">
        <v>2022</v>
      </c>
      <c r="H486" t="s">
        <v>44</v>
      </c>
      <c r="I486" t="s">
        <v>45</v>
      </c>
      <c r="J486">
        <v>2</v>
      </c>
      <c r="K486">
        <v>25</v>
      </c>
      <c r="L486">
        <v>43.56</v>
      </c>
      <c r="M486">
        <v>1.3</v>
      </c>
      <c r="N486">
        <v>1.7423999999999999</v>
      </c>
      <c r="O486" t="s">
        <v>35</v>
      </c>
      <c r="P486" t="s">
        <v>245</v>
      </c>
      <c r="Q486" t="s">
        <v>451</v>
      </c>
      <c r="R486">
        <v>1</v>
      </c>
      <c r="S486">
        <v>1</v>
      </c>
      <c r="T486" t="s">
        <v>31</v>
      </c>
      <c r="U486" t="s">
        <v>37</v>
      </c>
      <c r="V486" t="s">
        <v>342</v>
      </c>
      <c r="W486" t="s">
        <v>112</v>
      </c>
      <c r="X486" t="s">
        <v>113</v>
      </c>
      <c r="Y486" t="s">
        <v>114</v>
      </c>
      <c r="Z486" t="s">
        <v>41</v>
      </c>
      <c r="AA486" t="s">
        <v>102</v>
      </c>
      <c r="AB486" t="s">
        <v>43</v>
      </c>
      <c r="AC486" t="s">
        <v>66</v>
      </c>
    </row>
    <row r="487" spans="1:29" x14ac:dyDescent="0.3">
      <c r="A487">
        <v>466</v>
      </c>
      <c r="B487" t="s">
        <v>341</v>
      </c>
      <c r="C487" t="s">
        <v>30</v>
      </c>
      <c r="D487" t="s">
        <v>31</v>
      </c>
      <c r="E487" t="s">
        <v>32</v>
      </c>
      <c r="F487" s="3">
        <v>45291</v>
      </c>
      <c r="G487">
        <v>2023</v>
      </c>
      <c r="H487" t="s">
        <v>44</v>
      </c>
      <c r="I487" t="s">
        <v>49</v>
      </c>
      <c r="J487">
        <v>2</v>
      </c>
      <c r="K487">
        <v>42</v>
      </c>
      <c r="L487">
        <v>53.34</v>
      </c>
      <c r="M487">
        <v>1.27</v>
      </c>
      <c r="N487">
        <v>1.27</v>
      </c>
      <c r="O487" t="s">
        <v>35</v>
      </c>
      <c r="P487" t="s">
        <v>245</v>
      </c>
      <c r="Q487" t="s">
        <v>452</v>
      </c>
      <c r="R487">
        <v>1</v>
      </c>
      <c r="S487">
        <v>1</v>
      </c>
      <c r="T487" t="s">
        <v>31</v>
      </c>
      <c r="U487" t="s">
        <v>37</v>
      </c>
      <c r="V487" t="s">
        <v>342</v>
      </c>
      <c r="W487" t="s">
        <v>112</v>
      </c>
      <c r="X487" t="s">
        <v>113</v>
      </c>
      <c r="Y487" t="s">
        <v>114</v>
      </c>
      <c r="Z487" t="s">
        <v>41</v>
      </c>
      <c r="AA487" t="s">
        <v>102</v>
      </c>
      <c r="AB487" t="s">
        <v>43</v>
      </c>
      <c r="AC487" t="s">
        <v>66</v>
      </c>
    </row>
    <row r="488" spans="1:29" x14ac:dyDescent="0.3">
      <c r="A488">
        <v>466</v>
      </c>
      <c r="B488" t="s">
        <v>341</v>
      </c>
      <c r="C488" t="s">
        <v>30</v>
      </c>
      <c r="D488" t="s">
        <v>31</v>
      </c>
      <c r="E488" t="s">
        <v>32</v>
      </c>
      <c r="F488" s="3">
        <v>44926</v>
      </c>
      <c r="G488">
        <v>2022</v>
      </c>
      <c r="H488" t="s">
        <v>44</v>
      </c>
      <c r="I488" t="s">
        <v>45</v>
      </c>
      <c r="K488">
        <v>25</v>
      </c>
      <c r="L488">
        <v>43.56</v>
      </c>
      <c r="M488">
        <v>1.3</v>
      </c>
      <c r="N488">
        <v>1.7423999999999999</v>
      </c>
      <c r="O488" t="s">
        <v>35</v>
      </c>
      <c r="P488" t="s">
        <v>245</v>
      </c>
      <c r="Q488" t="s">
        <v>451</v>
      </c>
      <c r="R488">
        <v>1</v>
      </c>
      <c r="S488">
        <v>1</v>
      </c>
      <c r="T488" t="s">
        <v>443</v>
      </c>
      <c r="U488" t="s">
        <v>37</v>
      </c>
      <c r="V488" t="s">
        <v>342</v>
      </c>
      <c r="W488" t="s">
        <v>112</v>
      </c>
      <c r="X488" t="s">
        <v>113</v>
      </c>
      <c r="Y488" t="s">
        <v>114</v>
      </c>
      <c r="Z488" t="s">
        <v>41</v>
      </c>
      <c r="AA488" t="s">
        <v>102</v>
      </c>
      <c r="AB488" t="s">
        <v>43</v>
      </c>
      <c r="AC488" t="s">
        <v>66</v>
      </c>
    </row>
    <row r="489" spans="1:29" x14ac:dyDescent="0.3">
      <c r="A489">
        <v>466</v>
      </c>
      <c r="B489" t="s">
        <v>341</v>
      </c>
      <c r="C489" t="s">
        <v>30</v>
      </c>
      <c r="D489" t="s">
        <v>31</v>
      </c>
      <c r="E489" t="s">
        <v>32</v>
      </c>
      <c r="F489" s="3">
        <v>45291</v>
      </c>
      <c r="G489">
        <v>2023</v>
      </c>
      <c r="H489" t="s">
        <v>44</v>
      </c>
      <c r="I489" t="s">
        <v>49</v>
      </c>
      <c r="K489">
        <v>42</v>
      </c>
      <c r="L489">
        <v>53.34</v>
      </c>
      <c r="M489">
        <v>1.27</v>
      </c>
      <c r="N489">
        <v>1.27</v>
      </c>
      <c r="O489" t="s">
        <v>35</v>
      </c>
      <c r="P489" t="s">
        <v>245</v>
      </c>
      <c r="Q489" t="s">
        <v>452</v>
      </c>
      <c r="R489">
        <v>1</v>
      </c>
      <c r="S489">
        <v>1</v>
      </c>
      <c r="T489" t="s">
        <v>443</v>
      </c>
      <c r="U489" t="s">
        <v>37</v>
      </c>
      <c r="V489" t="s">
        <v>342</v>
      </c>
      <c r="W489" t="s">
        <v>112</v>
      </c>
      <c r="X489" t="s">
        <v>113</v>
      </c>
      <c r="Y489" t="s">
        <v>114</v>
      </c>
      <c r="Z489" t="s">
        <v>41</v>
      </c>
      <c r="AA489" t="s">
        <v>102</v>
      </c>
      <c r="AB489" t="s">
        <v>43</v>
      </c>
      <c r="AC489" t="s">
        <v>66</v>
      </c>
    </row>
    <row r="490" spans="1:29" x14ac:dyDescent="0.3">
      <c r="A490">
        <v>466</v>
      </c>
      <c r="B490" t="s">
        <v>341</v>
      </c>
      <c r="C490" t="s">
        <v>342</v>
      </c>
      <c r="D490" t="s">
        <v>31</v>
      </c>
      <c r="E490" t="s">
        <v>32</v>
      </c>
      <c r="F490" s="3">
        <v>45473</v>
      </c>
      <c r="G490">
        <v>2024</v>
      </c>
      <c r="H490" t="s">
        <v>33</v>
      </c>
      <c r="I490" t="s">
        <v>51</v>
      </c>
      <c r="J490">
        <v>1</v>
      </c>
      <c r="K490">
        <v>50</v>
      </c>
      <c r="L490">
        <v>59.6</v>
      </c>
      <c r="M490">
        <v>1.1919999999999999</v>
      </c>
      <c r="N490">
        <v>1.1919999999999999</v>
      </c>
      <c r="O490" t="s">
        <v>35</v>
      </c>
      <c r="P490" t="s">
        <v>245</v>
      </c>
      <c r="Q490" t="s">
        <v>343</v>
      </c>
      <c r="R490">
        <v>0</v>
      </c>
      <c r="S490">
        <v>0</v>
      </c>
      <c r="T490" t="s">
        <v>31</v>
      </c>
      <c r="U490" t="s">
        <v>37</v>
      </c>
      <c r="V490" t="s">
        <v>342</v>
      </c>
      <c r="W490" t="s">
        <v>112</v>
      </c>
      <c r="X490" t="s">
        <v>113</v>
      </c>
      <c r="Y490" t="s">
        <v>114</v>
      </c>
      <c r="Z490" t="s">
        <v>41</v>
      </c>
      <c r="AA490" t="s">
        <v>102</v>
      </c>
      <c r="AB490" t="s">
        <v>43</v>
      </c>
      <c r="AC490" t="s">
        <v>66</v>
      </c>
    </row>
    <row r="491" spans="1:29" x14ac:dyDescent="0.3">
      <c r="A491">
        <v>466</v>
      </c>
      <c r="B491" t="s">
        <v>341</v>
      </c>
      <c r="C491" t="s">
        <v>342</v>
      </c>
      <c r="D491" t="s">
        <v>31</v>
      </c>
      <c r="E491" t="s">
        <v>32</v>
      </c>
      <c r="F491" s="3">
        <v>45657</v>
      </c>
      <c r="G491">
        <v>2024</v>
      </c>
      <c r="H491" t="s">
        <v>44</v>
      </c>
      <c r="I491" t="s">
        <v>53</v>
      </c>
      <c r="K491">
        <v>50</v>
      </c>
      <c r="L491">
        <v>53.8</v>
      </c>
      <c r="M491">
        <v>1.0760000000000001</v>
      </c>
      <c r="N491">
        <v>1.0760000000000001</v>
      </c>
      <c r="O491" t="s">
        <v>35</v>
      </c>
      <c r="P491" t="s">
        <v>245</v>
      </c>
      <c r="Q491" t="s">
        <v>344</v>
      </c>
      <c r="R491">
        <v>0</v>
      </c>
      <c r="S491">
        <v>0</v>
      </c>
      <c r="T491" t="s">
        <v>443</v>
      </c>
      <c r="U491" t="s">
        <v>37</v>
      </c>
      <c r="V491" t="s">
        <v>342</v>
      </c>
      <c r="W491" t="s">
        <v>112</v>
      </c>
      <c r="X491" t="s">
        <v>113</v>
      </c>
      <c r="Y491" t="s">
        <v>114</v>
      </c>
      <c r="Z491" t="s">
        <v>41</v>
      </c>
      <c r="AA491" t="s">
        <v>102</v>
      </c>
      <c r="AB491" t="s">
        <v>43</v>
      </c>
      <c r="AC491" t="s">
        <v>66</v>
      </c>
    </row>
    <row r="492" spans="1:29" x14ac:dyDescent="0.3">
      <c r="A492">
        <v>466</v>
      </c>
      <c r="B492" t="s">
        <v>341</v>
      </c>
      <c r="C492" t="s">
        <v>30</v>
      </c>
      <c r="D492" t="s">
        <v>31</v>
      </c>
      <c r="E492" t="s">
        <v>32</v>
      </c>
      <c r="F492" s="3">
        <v>45657</v>
      </c>
      <c r="G492">
        <v>2024</v>
      </c>
      <c r="H492" t="s">
        <v>44</v>
      </c>
      <c r="I492" t="s">
        <v>53</v>
      </c>
      <c r="J492">
        <v>2</v>
      </c>
      <c r="K492">
        <v>50</v>
      </c>
      <c r="L492">
        <v>53.8</v>
      </c>
      <c r="M492">
        <v>1.0760000000000001</v>
      </c>
      <c r="N492">
        <v>1.0760000000000001</v>
      </c>
      <c r="O492" t="s">
        <v>35</v>
      </c>
      <c r="P492" t="s">
        <v>245</v>
      </c>
      <c r="Q492" t="s">
        <v>344</v>
      </c>
      <c r="R492">
        <v>1</v>
      </c>
      <c r="S492">
        <v>1</v>
      </c>
      <c r="T492" t="s">
        <v>31</v>
      </c>
      <c r="U492" t="s">
        <v>37</v>
      </c>
      <c r="V492" t="s">
        <v>342</v>
      </c>
      <c r="W492" t="s">
        <v>112</v>
      </c>
      <c r="X492" t="s">
        <v>113</v>
      </c>
      <c r="Y492" t="s">
        <v>114</v>
      </c>
      <c r="Z492" t="s">
        <v>41</v>
      </c>
      <c r="AA492" t="s">
        <v>102</v>
      </c>
      <c r="AB492" t="s">
        <v>43</v>
      </c>
      <c r="AC492" t="s">
        <v>66</v>
      </c>
    </row>
    <row r="493" spans="1:29" x14ac:dyDescent="0.3">
      <c r="A493">
        <v>466</v>
      </c>
      <c r="B493" t="s">
        <v>341</v>
      </c>
      <c r="C493" t="s">
        <v>30</v>
      </c>
      <c r="D493" t="s">
        <v>31</v>
      </c>
      <c r="E493" t="s">
        <v>32</v>
      </c>
      <c r="F493" s="3">
        <v>46022</v>
      </c>
      <c r="G493">
        <v>2025</v>
      </c>
      <c r="H493" t="s">
        <v>44</v>
      </c>
      <c r="I493" t="s">
        <v>465</v>
      </c>
      <c r="J493">
        <v>2</v>
      </c>
      <c r="K493">
        <v>50</v>
      </c>
      <c r="L493">
        <v>58.6</v>
      </c>
      <c r="M493">
        <f>+L493/K493</f>
        <v>1.1719999999999999</v>
      </c>
      <c r="N493">
        <v>1.0760000000000001</v>
      </c>
      <c r="O493" t="s">
        <v>35</v>
      </c>
      <c r="P493" t="s">
        <v>245</v>
      </c>
      <c r="Q493" t="s">
        <v>457</v>
      </c>
      <c r="R493">
        <v>1</v>
      </c>
      <c r="S493">
        <v>1</v>
      </c>
      <c r="T493" t="s">
        <v>31</v>
      </c>
      <c r="U493" t="s">
        <v>37</v>
      </c>
      <c r="V493" t="s">
        <v>342</v>
      </c>
      <c r="W493" t="s">
        <v>112</v>
      </c>
      <c r="X493" t="s">
        <v>113</v>
      </c>
      <c r="Y493" t="s">
        <v>114</v>
      </c>
      <c r="Z493" t="s">
        <v>41</v>
      </c>
      <c r="AA493" t="s">
        <v>102</v>
      </c>
      <c r="AB493" t="s">
        <v>43</v>
      </c>
      <c r="AC493" t="s">
        <v>66</v>
      </c>
    </row>
    <row r="494" spans="1:29" x14ac:dyDescent="0.3">
      <c r="A494">
        <v>203</v>
      </c>
      <c r="B494" t="s">
        <v>141</v>
      </c>
      <c r="C494" t="s">
        <v>142</v>
      </c>
      <c r="D494" t="s">
        <v>31</v>
      </c>
      <c r="E494" t="s">
        <v>32</v>
      </c>
      <c r="F494" s="3">
        <v>46022</v>
      </c>
      <c r="G494">
        <f>YEAR(F494)</f>
        <v>2025</v>
      </c>
      <c r="H494" t="str">
        <f>PROPER(TEXT(F494,"mmmm"))</f>
        <v>Diciembre</v>
      </c>
      <c r="I494" t="str">
        <f>IF(H494="Junio",G494&amp;"-1",G494&amp;"-2")</f>
        <v>2025-2</v>
      </c>
      <c r="J494">
        <v>2</v>
      </c>
      <c r="L494">
        <v>159354.82822823568</v>
      </c>
      <c r="O494" t="s">
        <v>143</v>
      </c>
      <c r="P494" t="s">
        <v>143</v>
      </c>
      <c r="Q494" t="str">
        <f>A494&amp;"-"&amp;TEXT(F494,"yyyy-mm-dd")</f>
        <v>203-2025-12-31</v>
      </c>
      <c r="R494">
        <v>0</v>
      </c>
      <c r="S494">
        <v>0</v>
      </c>
      <c r="T494" t="s">
        <v>31</v>
      </c>
      <c r="U494" t="s">
        <v>37</v>
      </c>
      <c r="V494" t="s">
        <v>142</v>
      </c>
      <c r="W494" t="s">
        <v>145</v>
      </c>
      <c r="X494" t="s">
        <v>146</v>
      </c>
      <c r="Y494" t="s">
        <v>147</v>
      </c>
      <c r="Z494" t="s">
        <v>63</v>
      </c>
      <c r="AA494" t="s">
        <v>148</v>
      </c>
      <c r="AB494" t="s">
        <v>78</v>
      </c>
      <c r="AC494" t="s">
        <v>66</v>
      </c>
    </row>
    <row r="495" spans="1:29" x14ac:dyDescent="0.3">
      <c r="A495">
        <v>203</v>
      </c>
      <c r="B495" t="s">
        <v>141</v>
      </c>
      <c r="C495" t="s">
        <v>142</v>
      </c>
      <c r="D495" t="s">
        <v>31</v>
      </c>
      <c r="E495" t="s">
        <v>32</v>
      </c>
      <c r="F495" s="3">
        <v>46022</v>
      </c>
      <c r="G495">
        <f>YEAR(F495)</f>
        <v>2025</v>
      </c>
      <c r="H495" t="str">
        <f>PROPER(TEXT(F495,"mmmm"))</f>
        <v>Diciembre</v>
      </c>
      <c r="I495" t="str">
        <f>IF(H495="Junio",G495&amp;"-1",G495&amp;"-2")</f>
        <v>2025-2</v>
      </c>
      <c r="L495">
        <v>309304.69728996162</v>
      </c>
      <c r="O495" t="s">
        <v>143</v>
      </c>
      <c r="P495" t="s">
        <v>143</v>
      </c>
      <c r="Q495" t="str">
        <f>A495&amp;"-"&amp;TEXT(F495,"yyyy-mm-dd")</f>
        <v>203-2025-12-31</v>
      </c>
      <c r="R495">
        <v>0</v>
      </c>
      <c r="S495">
        <v>0</v>
      </c>
      <c r="T495" t="s">
        <v>443</v>
      </c>
      <c r="U495" t="s">
        <v>37</v>
      </c>
      <c r="V495" t="s">
        <v>142</v>
      </c>
      <c r="W495" t="s">
        <v>145</v>
      </c>
      <c r="X495" t="s">
        <v>146</v>
      </c>
      <c r="Y495" t="s">
        <v>147</v>
      </c>
      <c r="Z495" t="s">
        <v>63</v>
      </c>
      <c r="AA495" t="s">
        <v>148</v>
      </c>
      <c r="AB495" t="s">
        <v>78</v>
      </c>
      <c r="AC495" t="s">
        <v>66</v>
      </c>
    </row>
    <row r="496" spans="1:29" x14ac:dyDescent="0.3">
      <c r="A496">
        <v>148</v>
      </c>
      <c r="B496" t="s">
        <v>104</v>
      </c>
      <c r="C496" t="s">
        <v>105</v>
      </c>
      <c r="D496" t="s">
        <v>31</v>
      </c>
      <c r="E496" t="s">
        <v>32</v>
      </c>
      <c r="F496" s="3">
        <v>46022</v>
      </c>
      <c r="G496">
        <v>2025</v>
      </c>
      <c r="H496" t="s">
        <v>44</v>
      </c>
      <c r="I496" t="s">
        <v>465</v>
      </c>
      <c r="J496">
        <v>2</v>
      </c>
      <c r="K496">
        <v>5.2</v>
      </c>
      <c r="L496">
        <v>5.2</v>
      </c>
      <c r="M496">
        <v>1.02</v>
      </c>
      <c r="N496">
        <v>1.02</v>
      </c>
      <c r="O496" t="s">
        <v>58</v>
      </c>
      <c r="P496" t="s">
        <v>58</v>
      </c>
      <c r="Q496" t="s">
        <v>406</v>
      </c>
      <c r="R496">
        <v>0</v>
      </c>
      <c r="S496">
        <v>1</v>
      </c>
      <c r="T496" t="s">
        <v>31</v>
      </c>
      <c r="U496" t="s">
        <v>37</v>
      </c>
      <c r="V496" t="s">
        <v>105</v>
      </c>
      <c r="W496" t="s">
        <v>73</v>
      </c>
      <c r="X496" t="s">
        <v>74</v>
      </c>
      <c r="Y496" t="s">
        <v>75</v>
      </c>
      <c r="Z496" t="s">
        <v>76</v>
      </c>
      <c r="AA496" t="s">
        <v>77</v>
      </c>
      <c r="AB496" t="s">
        <v>43</v>
      </c>
      <c r="AC496" t="s">
        <v>31</v>
      </c>
    </row>
    <row r="497" spans="1:29" x14ac:dyDescent="0.3">
      <c r="A497">
        <v>466</v>
      </c>
      <c r="B497" t="s">
        <v>341</v>
      </c>
      <c r="C497" t="s">
        <v>30</v>
      </c>
      <c r="D497" t="s">
        <v>31</v>
      </c>
      <c r="E497" t="s">
        <v>32</v>
      </c>
      <c r="F497" s="3">
        <v>46022</v>
      </c>
      <c r="G497">
        <v>2025</v>
      </c>
      <c r="H497" t="s">
        <v>44</v>
      </c>
      <c r="I497" t="s">
        <v>465</v>
      </c>
      <c r="K497">
        <v>55</v>
      </c>
      <c r="L497">
        <v>58.6</v>
      </c>
      <c r="M497">
        <f>+L497/K497</f>
        <v>1.0654545454545454</v>
      </c>
      <c r="N497">
        <v>1.0760000000000001</v>
      </c>
      <c r="O497" t="s">
        <v>35</v>
      </c>
      <c r="P497" t="s">
        <v>245</v>
      </c>
      <c r="Q497" t="s">
        <v>487</v>
      </c>
      <c r="R497">
        <v>1</v>
      </c>
      <c r="S497">
        <v>1</v>
      </c>
      <c r="T497" t="s">
        <v>443</v>
      </c>
      <c r="U497" t="s">
        <v>37</v>
      </c>
      <c r="V497" t="s">
        <v>342</v>
      </c>
      <c r="W497" t="s">
        <v>112</v>
      </c>
      <c r="X497" t="s">
        <v>113</v>
      </c>
      <c r="Y497" t="s">
        <v>114</v>
      </c>
      <c r="Z497" t="s">
        <v>41</v>
      </c>
      <c r="AA497" t="s">
        <v>102</v>
      </c>
      <c r="AB497" t="s">
        <v>43</v>
      </c>
      <c r="AC497" t="s">
        <v>66</v>
      </c>
    </row>
    <row r="498" spans="1:29" x14ac:dyDescent="0.3">
      <c r="A498">
        <v>109</v>
      </c>
      <c r="B498" t="s">
        <v>96</v>
      </c>
      <c r="C498" t="s">
        <v>99</v>
      </c>
      <c r="D498" t="s">
        <v>66</v>
      </c>
      <c r="E498" t="s">
        <v>32</v>
      </c>
      <c r="F498" s="3">
        <v>46022</v>
      </c>
      <c r="G498">
        <v>2024</v>
      </c>
      <c r="H498" t="s">
        <v>44</v>
      </c>
      <c r="I498" t="s">
        <v>465</v>
      </c>
      <c r="J498">
        <v>2</v>
      </c>
      <c r="K498">
        <v>80</v>
      </c>
      <c r="L498">
        <v>94</v>
      </c>
      <c r="M498">
        <f>+L498/K498</f>
        <v>1.175</v>
      </c>
      <c r="N498">
        <v>1.0625</v>
      </c>
      <c r="O498" t="s">
        <v>58</v>
      </c>
      <c r="P498" t="s">
        <v>58</v>
      </c>
      <c r="Q498" t="s">
        <v>488</v>
      </c>
      <c r="R498">
        <v>0</v>
      </c>
      <c r="S498">
        <v>0</v>
      </c>
      <c r="T498" t="s">
        <v>31</v>
      </c>
      <c r="U498" t="s">
        <v>37</v>
      </c>
      <c r="V498" t="s">
        <v>99</v>
      </c>
      <c r="W498" t="s">
        <v>60</v>
      </c>
      <c r="X498" t="s">
        <v>100</v>
      </c>
      <c r="Z498" t="s">
        <v>101</v>
      </c>
      <c r="AA498" t="s">
        <v>102</v>
      </c>
      <c r="AB498" t="s">
        <v>65</v>
      </c>
      <c r="AC498" t="s">
        <v>66</v>
      </c>
    </row>
    <row r="499" spans="1:29" x14ac:dyDescent="0.3">
      <c r="A499">
        <v>386.1</v>
      </c>
      <c r="B499" t="s">
        <v>377</v>
      </c>
      <c r="C499" t="s">
        <v>310</v>
      </c>
      <c r="D499" t="s">
        <v>31</v>
      </c>
      <c r="E499" t="s">
        <v>32</v>
      </c>
      <c r="F499" s="3">
        <v>46022</v>
      </c>
      <c r="G499">
        <v>2025</v>
      </c>
      <c r="H499" t="s">
        <v>44</v>
      </c>
      <c r="I499" t="s">
        <v>465</v>
      </c>
      <c r="L499">
        <f>4042632396/1000000</f>
        <v>4042.632396</v>
      </c>
      <c r="O499" t="s">
        <v>143</v>
      </c>
      <c r="P499" t="s">
        <v>143</v>
      </c>
      <c r="Q499" t="s">
        <v>490</v>
      </c>
      <c r="R499">
        <v>0</v>
      </c>
      <c r="S499">
        <v>0</v>
      </c>
      <c r="T499" t="s">
        <v>443</v>
      </c>
      <c r="U499" t="s">
        <v>37</v>
      </c>
      <c r="V499" t="s">
        <v>310</v>
      </c>
      <c r="W499" t="s">
        <v>312</v>
      </c>
      <c r="X499" t="s">
        <v>313</v>
      </c>
      <c r="Y499" t="s">
        <v>314</v>
      </c>
      <c r="AB499" t="s">
        <v>78</v>
      </c>
      <c r="AC499" t="s">
        <v>66</v>
      </c>
    </row>
    <row r="500" spans="1:29" x14ac:dyDescent="0.3">
      <c r="A500">
        <v>385</v>
      </c>
      <c r="B500" t="s">
        <v>309</v>
      </c>
      <c r="C500" t="s">
        <v>310</v>
      </c>
      <c r="D500" t="s">
        <v>31</v>
      </c>
      <c r="E500" t="s">
        <v>32</v>
      </c>
      <c r="F500" s="3">
        <v>46022</v>
      </c>
      <c r="G500">
        <v>2025</v>
      </c>
      <c r="H500" t="s">
        <v>44</v>
      </c>
      <c r="I500" t="s">
        <v>465</v>
      </c>
      <c r="L500">
        <f>17058242411/1000000</f>
        <v>17058.242410999999</v>
      </c>
      <c r="O500" t="s">
        <v>143</v>
      </c>
      <c r="P500" t="s">
        <v>143</v>
      </c>
      <c r="Q500" t="s">
        <v>486</v>
      </c>
      <c r="R500">
        <v>0</v>
      </c>
      <c r="S500">
        <v>0</v>
      </c>
      <c r="T500" t="s">
        <v>443</v>
      </c>
      <c r="U500" t="s">
        <v>37</v>
      </c>
      <c r="V500" t="s">
        <v>310</v>
      </c>
      <c r="W500" t="s">
        <v>312</v>
      </c>
      <c r="X500" t="s">
        <v>313</v>
      </c>
      <c r="Y500" t="s">
        <v>314</v>
      </c>
      <c r="AB500" t="s">
        <v>43</v>
      </c>
      <c r="AC500" t="s">
        <v>66</v>
      </c>
    </row>
    <row r="501" spans="1:29" x14ac:dyDescent="0.3">
      <c r="A501">
        <v>423</v>
      </c>
      <c r="B501" t="s">
        <v>320</v>
      </c>
      <c r="C501" t="s">
        <v>83</v>
      </c>
      <c r="D501" t="s">
        <v>66</v>
      </c>
      <c r="E501" t="s">
        <v>32</v>
      </c>
      <c r="F501" s="3">
        <v>46022</v>
      </c>
      <c r="G501">
        <v>2025</v>
      </c>
      <c r="H501" t="s">
        <v>44</v>
      </c>
      <c r="I501" t="s">
        <v>465</v>
      </c>
      <c r="K501">
        <v>12</v>
      </c>
      <c r="L501">
        <v>15.1</v>
      </c>
      <c r="O501" t="s">
        <v>245</v>
      </c>
      <c r="P501" t="s">
        <v>245</v>
      </c>
      <c r="Q501" t="s">
        <v>494</v>
      </c>
      <c r="R501">
        <v>1</v>
      </c>
      <c r="S501">
        <v>1</v>
      </c>
      <c r="T501" t="s">
        <v>443</v>
      </c>
      <c r="U501" t="s">
        <v>37</v>
      </c>
      <c r="V501" t="s">
        <v>83</v>
      </c>
      <c r="W501" t="s">
        <v>38</v>
      </c>
      <c r="X501" t="s">
        <v>39</v>
      </c>
      <c r="Y501" t="s">
        <v>322</v>
      </c>
      <c r="Z501" t="s">
        <v>274</v>
      </c>
      <c r="AA501" t="s">
        <v>275</v>
      </c>
      <c r="AB501" t="s">
        <v>43</v>
      </c>
      <c r="AC501" t="s">
        <v>66</v>
      </c>
    </row>
    <row r="502" spans="1:29" x14ac:dyDescent="0.3">
      <c r="A502">
        <v>424</v>
      </c>
      <c r="B502" t="s">
        <v>325</v>
      </c>
      <c r="C502" t="s">
        <v>83</v>
      </c>
      <c r="D502" t="s">
        <v>66</v>
      </c>
      <c r="E502" t="s">
        <v>32</v>
      </c>
      <c r="F502" s="3">
        <v>46022</v>
      </c>
      <c r="G502">
        <v>2025</v>
      </c>
      <c r="H502" t="s">
        <v>44</v>
      </c>
      <c r="I502" t="s">
        <v>465</v>
      </c>
      <c r="K502">
        <v>9</v>
      </c>
      <c r="L502">
        <v>11</v>
      </c>
      <c r="O502" t="s">
        <v>35</v>
      </c>
      <c r="P502" t="s">
        <v>35</v>
      </c>
      <c r="Q502" t="s">
        <v>495</v>
      </c>
      <c r="R502">
        <v>0</v>
      </c>
      <c r="S502">
        <v>0</v>
      </c>
      <c r="T502" t="s">
        <v>443</v>
      </c>
      <c r="U502" t="s">
        <v>37</v>
      </c>
      <c r="V502" t="s">
        <v>83</v>
      </c>
      <c r="W502" t="s">
        <v>38</v>
      </c>
      <c r="X502" t="s">
        <v>39</v>
      </c>
      <c r="Y502" t="s">
        <v>322</v>
      </c>
      <c r="Z502" t="s">
        <v>274</v>
      </c>
      <c r="AA502" t="s">
        <v>275</v>
      </c>
      <c r="AB502" t="s">
        <v>43</v>
      </c>
      <c r="AC502" t="s">
        <v>66</v>
      </c>
    </row>
    <row r="503" spans="1:29" x14ac:dyDescent="0.3">
      <c r="J503" s="7"/>
      <c r="L503" s="8"/>
    </row>
    <row r="504" spans="1:29" x14ac:dyDescent="0.3">
      <c r="L504" s="8"/>
    </row>
    <row r="505" spans="1:29" x14ac:dyDescent="0.3">
      <c r="L505" s="8"/>
    </row>
  </sheetData>
  <sortState xmlns:xlrd2="http://schemas.microsoft.com/office/spreadsheetml/2017/richdata2" ref="A2:AC493">
    <sortCondition ref="A2:A493"/>
    <sortCondition ref="F2:F49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3</v>
      </c>
      <c r="F1" s="1" t="s">
        <v>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3">
      <c r="A2">
        <v>77</v>
      </c>
      <c r="B2" t="s">
        <v>55</v>
      </c>
      <c r="C2" t="s">
        <v>37</v>
      </c>
      <c r="D2" t="s">
        <v>56</v>
      </c>
      <c r="E2" t="s">
        <v>57</v>
      </c>
      <c r="F2" t="s">
        <v>32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</row>
    <row r="3" spans="1:13" x14ac:dyDescent="0.3">
      <c r="A3">
        <v>148</v>
      </c>
      <c r="B3" t="s">
        <v>104</v>
      </c>
      <c r="C3" t="s">
        <v>37</v>
      </c>
      <c r="D3" t="s">
        <v>105</v>
      </c>
      <c r="E3" t="s">
        <v>31</v>
      </c>
      <c r="F3" t="s">
        <v>32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43</v>
      </c>
      <c r="M3" t="s">
        <v>31</v>
      </c>
    </row>
    <row r="4" spans="1:13" x14ac:dyDescent="0.3">
      <c r="A4">
        <v>193</v>
      </c>
      <c r="B4" t="s">
        <v>110</v>
      </c>
      <c r="C4" t="s">
        <v>37</v>
      </c>
      <c r="D4" t="s">
        <v>30</v>
      </c>
      <c r="E4" t="s">
        <v>31</v>
      </c>
      <c r="F4" t="s">
        <v>32</v>
      </c>
      <c r="G4" t="s">
        <v>112</v>
      </c>
      <c r="H4" t="s">
        <v>113</v>
      </c>
      <c r="I4" t="s">
        <v>114</v>
      </c>
      <c r="J4" t="s">
        <v>63</v>
      </c>
      <c r="K4" t="s">
        <v>115</v>
      </c>
      <c r="L4" t="s">
        <v>65</v>
      </c>
      <c r="M4" t="s">
        <v>31</v>
      </c>
    </row>
    <row r="5" spans="1:13" x14ac:dyDescent="0.3">
      <c r="A5">
        <v>194</v>
      </c>
      <c r="B5" t="s">
        <v>121</v>
      </c>
      <c r="C5" t="s">
        <v>37</v>
      </c>
      <c r="D5" t="s">
        <v>30</v>
      </c>
      <c r="E5" t="s">
        <v>31</v>
      </c>
      <c r="F5" t="s">
        <v>32</v>
      </c>
      <c r="G5" t="s">
        <v>112</v>
      </c>
      <c r="H5" t="s">
        <v>113</v>
      </c>
      <c r="I5" t="s">
        <v>123</v>
      </c>
      <c r="J5" t="s">
        <v>41</v>
      </c>
      <c r="K5" t="s">
        <v>124</v>
      </c>
      <c r="L5" t="s">
        <v>43</v>
      </c>
      <c r="M5" t="s">
        <v>66</v>
      </c>
    </row>
    <row r="6" spans="1:13" x14ac:dyDescent="0.3">
      <c r="A6">
        <v>200</v>
      </c>
      <c r="B6" t="s">
        <v>129</v>
      </c>
      <c r="C6" t="s">
        <v>37</v>
      </c>
      <c r="D6" t="s">
        <v>130</v>
      </c>
      <c r="E6" t="s">
        <v>66</v>
      </c>
      <c r="F6" t="s">
        <v>32</v>
      </c>
      <c r="G6" t="s">
        <v>60</v>
      </c>
      <c r="H6" t="s">
        <v>100</v>
      </c>
      <c r="I6" t="s">
        <v>133</v>
      </c>
      <c r="J6" t="s">
        <v>134</v>
      </c>
      <c r="K6" t="s">
        <v>135</v>
      </c>
      <c r="L6" t="s">
        <v>43</v>
      </c>
      <c r="M6" t="s">
        <v>66</v>
      </c>
    </row>
    <row r="7" spans="1:13" x14ac:dyDescent="0.3">
      <c r="A7">
        <v>202</v>
      </c>
      <c r="B7" t="s">
        <v>137</v>
      </c>
      <c r="C7" t="s">
        <v>37</v>
      </c>
      <c r="D7" t="s">
        <v>130</v>
      </c>
      <c r="E7" t="s">
        <v>66</v>
      </c>
      <c r="F7" t="s">
        <v>32</v>
      </c>
      <c r="G7" t="s">
        <v>60</v>
      </c>
      <c r="H7" t="s">
        <v>100</v>
      </c>
      <c r="I7" t="s">
        <v>139</v>
      </c>
      <c r="J7" t="s">
        <v>63</v>
      </c>
      <c r="K7" t="s">
        <v>115</v>
      </c>
      <c r="L7" t="s">
        <v>43</v>
      </c>
      <c r="M7" t="s">
        <v>66</v>
      </c>
    </row>
    <row r="8" spans="1:13" x14ac:dyDescent="0.3">
      <c r="A8">
        <v>203</v>
      </c>
      <c r="B8" t="s">
        <v>141</v>
      </c>
      <c r="C8" t="s">
        <v>37</v>
      </c>
      <c r="D8" t="s">
        <v>142</v>
      </c>
      <c r="E8" t="s">
        <v>31</v>
      </c>
      <c r="F8" t="s">
        <v>32</v>
      </c>
      <c r="G8" t="s">
        <v>145</v>
      </c>
      <c r="H8" t="s">
        <v>146</v>
      </c>
      <c r="I8" t="s">
        <v>147</v>
      </c>
      <c r="J8" t="s">
        <v>63</v>
      </c>
      <c r="K8" t="s">
        <v>148</v>
      </c>
      <c r="L8" t="s">
        <v>78</v>
      </c>
      <c r="M8" t="s">
        <v>66</v>
      </c>
    </row>
    <row r="9" spans="1:13" x14ac:dyDescent="0.3">
      <c r="A9">
        <v>204</v>
      </c>
      <c r="B9" t="s">
        <v>154</v>
      </c>
      <c r="C9" t="s">
        <v>37</v>
      </c>
      <c r="D9" t="s">
        <v>142</v>
      </c>
      <c r="E9" t="s">
        <v>31</v>
      </c>
      <c r="F9" t="s">
        <v>32</v>
      </c>
      <c r="G9" t="s">
        <v>145</v>
      </c>
      <c r="H9" t="s">
        <v>146</v>
      </c>
      <c r="I9" t="s">
        <v>147</v>
      </c>
      <c r="J9" t="s">
        <v>63</v>
      </c>
      <c r="K9" t="s">
        <v>148</v>
      </c>
      <c r="L9" t="s">
        <v>43</v>
      </c>
      <c r="M9" t="s">
        <v>66</v>
      </c>
    </row>
    <row r="10" spans="1:13" x14ac:dyDescent="0.3">
      <c r="A10">
        <v>205</v>
      </c>
      <c r="B10" t="s">
        <v>161</v>
      </c>
      <c r="C10" t="s">
        <v>37</v>
      </c>
      <c r="D10" t="s">
        <v>142</v>
      </c>
      <c r="E10" t="s">
        <v>31</v>
      </c>
      <c r="F10" t="s">
        <v>32</v>
      </c>
      <c r="G10" t="s">
        <v>145</v>
      </c>
      <c r="H10" t="s">
        <v>146</v>
      </c>
      <c r="I10" t="s">
        <v>147</v>
      </c>
      <c r="J10" t="s">
        <v>63</v>
      </c>
      <c r="K10" t="s">
        <v>148</v>
      </c>
      <c r="L10" t="s">
        <v>78</v>
      </c>
      <c r="M10" t="s">
        <v>66</v>
      </c>
    </row>
    <row r="11" spans="1:13" x14ac:dyDescent="0.3">
      <c r="A11">
        <v>206</v>
      </c>
      <c r="B11" t="s">
        <v>166</v>
      </c>
      <c r="C11" t="s">
        <v>37</v>
      </c>
      <c r="D11" t="s">
        <v>142</v>
      </c>
      <c r="E11" t="s">
        <v>66</v>
      </c>
      <c r="F11" t="s">
        <v>32</v>
      </c>
      <c r="G11" t="s">
        <v>145</v>
      </c>
      <c r="H11" t="s">
        <v>146</v>
      </c>
      <c r="I11" t="s">
        <v>147</v>
      </c>
      <c r="J11" t="s">
        <v>63</v>
      </c>
      <c r="K11" t="s">
        <v>148</v>
      </c>
      <c r="L11" t="s">
        <v>43</v>
      </c>
      <c r="M11" t="s">
        <v>66</v>
      </c>
    </row>
    <row r="12" spans="1:13" x14ac:dyDescent="0.3">
      <c r="A12">
        <v>207</v>
      </c>
      <c r="B12" t="s">
        <v>170</v>
      </c>
      <c r="C12" t="s">
        <v>37</v>
      </c>
      <c r="D12" t="s">
        <v>142</v>
      </c>
      <c r="E12" t="s">
        <v>31</v>
      </c>
      <c r="F12" t="s">
        <v>171</v>
      </c>
      <c r="G12" t="s">
        <v>145</v>
      </c>
      <c r="H12" t="s">
        <v>146</v>
      </c>
      <c r="I12" t="s">
        <v>147</v>
      </c>
      <c r="J12" t="s">
        <v>63</v>
      </c>
      <c r="K12" t="s">
        <v>148</v>
      </c>
      <c r="L12" t="s">
        <v>43</v>
      </c>
      <c r="M12" t="s">
        <v>66</v>
      </c>
    </row>
    <row r="13" spans="1:13" x14ac:dyDescent="0.3">
      <c r="A13">
        <v>228</v>
      </c>
      <c r="B13" t="s">
        <v>176</v>
      </c>
      <c r="C13" t="s">
        <v>37</v>
      </c>
      <c r="D13" t="s">
        <v>177</v>
      </c>
      <c r="E13" t="s">
        <v>66</v>
      </c>
      <c r="F13" t="s">
        <v>32</v>
      </c>
      <c r="G13" t="s">
        <v>145</v>
      </c>
      <c r="H13" t="s">
        <v>179</v>
      </c>
      <c r="I13" t="s">
        <v>180</v>
      </c>
      <c r="J13" t="s">
        <v>63</v>
      </c>
      <c r="K13" t="s">
        <v>64</v>
      </c>
      <c r="L13" t="s">
        <v>43</v>
      </c>
      <c r="M13" t="s">
        <v>66</v>
      </c>
    </row>
    <row r="14" spans="1:13" x14ac:dyDescent="0.3">
      <c r="A14">
        <v>244</v>
      </c>
      <c r="B14" t="s">
        <v>182</v>
      </c>
      <c r="C14" t="s">
        <v>37</v>
      </c>
      <c r="D14" t="s">
        <v>177</v>
      </c>
      <c r="E14" t="s">
        <v>66</v>
      </c>
      <c r="F14" t="s">
        <v>171</v>
      </c>
      <c r="G14" t="s">
        <v>145</v>
      </c>
      <c r="H14" t="s">
        <v>179</v>
      </c>
      <c r="I14" t="s">
        <v>180</v>
      </c>
      <c r="J14" t="s">
        <v>63</v>
      </c>
      <c r="K14" t="s">
        <v>64</v>
      </c>
      <c r="L14" t="s">
        <v>43</v>
      </c>
      <c r="M14" t="s">
        <v>66</v>
      </c>
    </row>
    <row r="15" spans="1:13" x14ac:dyDescent="0.3">
      <c r="A15">
        <v>245</v>
      </c>
      <c r="B15" t="s">
        <v>185</v>
      </c>
      <c r="C15" t="s">
        <v>37</v>
      </c>
      <c r="D15" t="s">
        <v>186</v>
      </c>
      <c r="E15" t="s">
        <v>31</v>
      </c>
      <c r="F15" t="s">
        <v>32</v>
      </c>
      <c r="G15" t="s">
        <v>112</v>
      </c>
      <c r="H15" t="s">
        <v>113</v>
      </c>
      <c r="I15" t="s">
        <v>123</v>
      </c>
      <c r="J15" t="s">
        <v>41</v>
      </c>
      <c r="K15" t="s">
        <v>42</v>
      </c>
      <c r="L15" t="s">
        <v>65</v>
      </c>
      <c r="M15" t="s">
        <v>31</v>
      </c>
    </row>
    <row r="16" spans="1:13" x14ac:dyDescent="0.3">
      <c r="A16">
        <v>274</v>
      </c>
      <c r="B16" t="s">
        <v>193</v>
      </c>
      <c r="C16" t="s">
        <v>37</v>
      </c>
      <c r="D16" t="s">
        <v>194</v>
      </c>
      <c r="E16" t="s">
        <v>31</v>
      </c>
      <c r="F16" t="s">
        <v>32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78</v>
      </c>
      <c r="M16" t="s">
        <v>31</v>
      </c>
    </row>
    <row r="17" spans="1:13" x14ac:dyDescent="0.3">
      <c r="A17">
        <v>276</v>
      </c>
      <c r="B17" t="s">
        <v>201</v>
      </c>
      <c r="C17" t="s">
        <v>37</v>
      </c>
      <c r="D17" t="s">
        <v>202</v>
      </c>
      <c r="E17" t="s">
        <v>31</v>
      </c>
      <c r="F17" t="s">
        <v>171</v>
      </c>
      <c r="G17" t="s">
        <v>73</v>
      </c>
      <c r="H17" t="s">
        <v>74</v>
      </c>
      <c r="I17" t="s">
        <v>75</v>
      </c>
      <c r="J17" t="s">
        <v>86</v>
      </c>
      <c r="K17" t="s">
        <v>204</v>
      </c>
      <c r="L17" t="s">
        <v>65</v>
      </c>
      <c r="M17" t="s">
        <v>31</v>
      </c>
    </row>
    <row r="18" spans="1:13" x14ac:dyDescent="0.3">
      <c r="A18">
        <v>277</v>
      </c>
      <c r="B18" t="s">
        <v>210</v>
      </c>
      <c r="C18" t="s">
        <v>37</v>
      </c>
      <c r="D18" t="s">
        <v>202</v>
      </c>
      <c r="E18" t="s">
        <v>31</v>
      </c>
      <c r="F18" t="s">
        <v>171</v>
      </c>
      <c r="G18" t="s">
        <v>73</v>
      </c>
      <c r="H18" t="s">
        <v>74</v>
      </c>
      <c r="J18" t="s">
        <v>86</v>
      </c>
      <c r="K18" t="s">
        <v>204</v>
      </c>
      <c r="L18" t="s">
        <v>65</v>
      </c>
      <c r="M18" t="s">
        <v>31</v>
      </c>
    </row>
    <row r="19" spans="1:13" x14ac:dyDescent="0.3">
      <c r="A19">
        <v>323</v>
      </c>
      <c r="B19" t="s">
        <v>215</v>
      </c>
      <c r="C19" t="s">
        <v>37</v>
      </c>
      <c r="D19" t="s">
        <v>216</v>
      </c>
      <c r="E19" t="s">
        <v>31</v>
      </c>
      <c r="F19" t="s">
        <v>32</v>
      </c>
      <c r="G19" t="s">
        <v>73</v>
      </c>
      <c r="H19" t="s">
        <v>218</v>
      </c>
      <c r="I19" t="s">
        <v>219</v>
      </c>
      <c r="J19" t="s">
        <v>86</v>
      </c>
      <c r="K19" t="s">
        <v>87</v>
      </c>
      <c r="L19" t="s">
        <v>78</v>
      </c>
      <c r="M19" t="s">
        <v>66</v>
      </c>
    </row>
    <row r="20" spans="1:13" x14ac:dyDescent="0.3">
      <c r="A20">
        <v>325</v>
      </c>
      <c r="B20" t="s">
        <v>224</v>
      </c>
      <c r="C20" t="s">
        <v>37</v>
      </c>
      <c r="D20" t="s">
        <v>216</v>
      </c>
      <c r="E20" t="s">
        <v>31</v>
      </c>
      <c r="F20" t="s">
        <v>32</v>
      </c>
      <c r="G20" t="s">
        <v>73</v>
      </c>
      <c r="H20" t="s">
        <v>218</v>
      </c>
      <c r="I20" t="s">
        <v>219</v>
      </c>
      <c r="J20" t="s">
        <v>86</v>
      </c>
      <c r="K20" t="s">
        <v>87</v>
      </c>
      <c r="L20" t="s">
        <v>78</v>
      </c>
      <c r="M20" t="s">
        <v>66</v>
      </c>
    </row>
    <row r="21" spans="1:13" x14ac:dyDescent="0.3">
      <c r="A21">
        <v>331</v>
      </c>
      <c r="B21" t="s">
        <v>231</v>
      </c>
      <c r="C21" t="s">
        <v>37</v>
      </c>
      <c r="D21" t="s">
        <v>232</v>
      </c>
      <c r="E21" t="s">
        <v>66</v>
      </c>
      <c r="F21" t="s">
        <v>32</v>
      </c>
      <c r="G21" t="s">
        <v>145</v>
      </c>
      <c r="H21" t="s">
        <v>179</v>
      </c>
      <c r="I21" t="s">
        <v>235</v>
      </c>
      <c r="J21" t="s">
        <v>236</v>
      </c>
      <c r="K21" t="s">
        <v>237</v>
      </c>
      <c r="L21" t="s">
        <v>43</v>
      </c>
      <c r="M21" t="s">
        <v>66</v>
      </c>
    </row>
    <row r="22" spans="1:13" x14ac:dyDescent="0.3">
      <c r="A22">
        <v>332</v>
      </c>
      <c r="B22" t="s">
        <v>239</v>
      </c>
      <c r="C22" t="s">
        <v>37</v>
      </c>
      <c r="D22" t="s">
        <v>130</v>
      </c>
      <c r="E22" t="s">
        <v>31</v>
      </c>
      <c r="F22" t="s">
        <v>171</v>
      </c>
      <c r="G22" t="s">
        <v>60</v>
      </c>
      <c r="H22" t="s">
        <v>100</v>
      </c>
      <c r="I22" t="s">
        <v>241</v>
      </c>
      <c r="J22" t="s">
        <v>134</v>
      </c>
      <c r="K22" t="s">
        <v>135</v>
      </c>
      <c r="L22" t="s">
        <v>65</v>
      </c>
      <c r="M22" t="s">
        <v>66</v>
      </c>
    </row>
    <row r="23" spans="1:13" x14ac:dyDescent="0.3">
      <c r="A23">
        <v>334</v>
      </c>
      <c r="B23" t="s">
        <v>248</v>
      </c>
      <c r="C23" t="s">
        <v>37</v>
      </c>
      <c r="D23" t="s">
        <v>130</v>
      </c>
      <c r="E23" t="s">
        <v>66</v>
      </c>
      <c r="F23" t="s">
        <v>32</v>
      </c>
      <c r="G23" t="s">
        <v>60</v>
      </c>
      <c r="H23" t="s">
        <v>100</v>
      </c>
      <c r="I23" t="s">
        <v>241</v>
      </c>
      <c r="J23" t="s">
        <v>134</v>
      </c>
      <c r="K23" t="s">
        <v>250</v>
      </c>
      <c r="L23" t="s">
        <v>43</v>
      </c>
      <c r="M23" t="s">
        <v>66</v>
      </c>
    </row>
    <row r="24" spans="1:13" x14ac:dyDescent="0.3">
      <c r="A24">
        <v>335</v>
      </c>
      <c r="B24" t="s">
        <v>252</v>
      </c>
      <c r="C24" t="s">
        <v>37</v>
      </c>
      <c r="D24" t="s">
        <v>130</v>
      </c>
      <c r="E24" t="s">
        <v>66</v>
      </c>
      <c r="F24" t="s">
        <v>32</v>
      </c>
      <c r="G24" t="s">
        <v>60</v>
      </c>
      <c r="H24" t="s">
        <v>100</v>
      </c>
      <c r="J24" t="s">
        <v>134</v>
      </c>
      <c r="K24" t="s">
        <v>135</v>
      </c>
      <c r="L24" t="s">
        <v>43</v>
      </c>
      <c r="M24" t="s">
        <v>66</v>
      </c>
    </row>
    <row r="25" spans="1:13" x14ac:dyDescent="0.3">
      <c r="A25">
        <v>339</v>
      </c>
      <c r="B25" t="s">
        <v>255</v>
      </c>
      <c r="C25" t="s">
        <v>37</v>
      </c>
      <c r="D25" t="s">
        <v>256</v>
      </c>
      <c r="E25" t="s">
        <v>66</v>
      </c>
      <c r="F25" t="s">
        <v>32</v>
      </c>
      <c r="G25" t="s">
        <v>73</v>
      </c>
      <c r="H25" t="s">
        <v>74</v>
      </c>
      <c r="I25" t="s">
        <v>75</v>
      </c>
      <c r="J25" t="s">
        <v>86</v>
      </c>
      <c r="K25" t="s">
        <v>87</v>
      </c>
      <c r="L25" t="s">
        <v>43</v>
      </c>
      <c r="M25" t="s">
        <v>66</v>
      </c>
    </row>
    <row r="26" spans="1:13" x14ac:dyDescent="0.3">
      <c r="A26">
        <v>353</v>
      </c>
      <c r="B26" t="s">
        <v>259</v>
      </c>
      <c r="C26" t="s">
        <v>37</v>
      </c>
      <c r="D26" t="s">
        <v>260</v>
      </c>
      <c r="E26" t="s">
        <v>31</v>
      </c>
      <c r="F26" t="s">
        <v>32</v>
      </c>
      <c r="G26" t="s">
        <v>60</v>
      </c>
      <c r="H26" t="s">
        <v>262</v>
      </c>
      <c r="I26" t="s">
        <v>263</v>
      </c>
      <c r="J26" t="s">
        <v>101</v>
      </c>
      <c r="K26" t="s">
        <v>264</v>
      </c>
      <c r="L26" t="s">
        <v>43</v>
      </c>
      <c r="M26" t="s">
        <v>66</v>
      </c>
    </row>
    <row r="27" spans="1:13" x14ac:dyDescent="0.3">
      <c r="A27">
        <v>361</v>
      </c>
      <c r="B27" t="s">
        <v>266</v>
      </c>
      <c r="C27" t="s">
        <v>37</v>
      </c>
      <c r="D27" t="s">
        <v>267</v>
      </c>
      <c r="E27" t="s">
        <v>66</v>
      </c>
      <c r="F27" t="s">
        <v>32</v>
      </c>
      <c r="G27" t="s">
        <v>145</v>
      </c>
      <c r="H27" t="s">
        <v>179</v>
      </c>
      <c r="I27" t="s">
        <v>269</v>
      </c>
      <c r="J27" t="s">
        <v>41</v>
      </c>
      <c r="K27" t="s">
        <v>124</v>
      </c>
      <c r="L27" t="s">
        <v>43</v>
      </c>
      <c r="M27" t="s">
        <v>66</v>
      </c>
    </row>
    <row r="28" spans="1:13" x14ac:dyDescent="0.3">
      <c r="A28">
        <v>364</v>
      </c>
      <c r="B28" t="s">
        <v>271</v>
      </c>
      <c r="C28" t="s">
        <v>37</v>
      </c>
      <c r="D28" t="s">
        <v>267</v>
      </c>
      <c r="E28" t="s">
        <v>31</v>
      </c>
      <c r="F28" t="s">
        <v>171</v>
      </c>
      <c r="G28" t="s">
        <v>145</v>
      </c>
      <c r="H28" t="s">
        <v>179</v>
      </c>
      <c r="I28" t="s">
        <v>273</v>
      </c>
      <c r="J28" t="s">
        <v>274</v>
      </c>
      <c r="K28" t="s">
        <v>275</v>
      </c>
      <c r="L28" t="s">
        <v>78</v>
      </c>
      <c r="M28" t="s">
        <v>66</v>
      </c>
    </row>
    <row r="29" spans="1:13" x14ac:dyDescent="0.3">
      <c r="A29">
        <v>367</v>
      </c>
      <c r="B29" t="s">
        <v>279</v>
      </c>
      <c r="C29" t="s">
        <v>37</v>
      </c>
      <c r="D29" t="s">
        <v>267</v>
      </c>
      <c r="E29" t="s">
        <v>66</v>
      </c>
      <c r="F29" t="s">
        <v>32</v>
      </c>
      <c r="G29" t="s">
        <v>145</v>
      </c>
      <c r="H29" t="s">
        <v>179</v>
      </c>
      <c r="I29" t="s">
        <v>281</v>
      </c>
      <c r="J29" t="s">
        <v>41</v>
      </c>
      <c r="K29" t="s">
        <v>42</v>
      </c>
      <c r="L29" t="s">
        <v>43</v>
      </c>
      <c r="M29" t="s">
        <v>66</v>
      </c>
    </row>
    <row r="30" spans="1:13" x14ac:dyDescent="0.3">
      <c r="A30">
        <v>369</v>
      </c>
      <c r="B30" t="s">
        <v>283</v>
      </c>
      <c r="C30" t="s">
        <v>37</v>
      </c>
      <c r="D30" t="s">
        <v>267</v>
      </c>
      <c r="E30" t="s">
        <v>31</v>
      </c>
      <c r="F30" t="s">
        <v>32</v>
      </c>
      <c r="G30" t="s">
        <v>145</v>
      </c>
      <c r="H30" t="s">
        <v>179</v>
      </c>
      <c r="I30" t="s">
        <v>273</v>
      </c>
      <c r="J30" t="s">
        <v>41</v>
      </c>
      <c r="K30" t="s">
        <v>42</v>
      </c>
      <c r="L30" t="s">
        <v>78</v>
      </c>
      <c r="M30" t="s">
        <v>66</v>
      </c>
    </row>
    <row r="31" spans="1:13" x14ac:dyDescent="0.3">
      <c r="A31">
        <v>376</v>
      </c>
      <c r="B31" t="s">
        <v>289</v>
      </c>
      <c r="C31" t="s">
        <v>37</v>
      </c>
      <c r="D31" t="s">
        <v>142</v>
      </c>
      <c r="E31" t="s">
        <v>31</v>
      </c>
      <c r="F31" t="s">
        <v>32</v>
      </c>
      <c r="G31" t="s">
        <v>145</v>
      </c>
      <c r="H31" t="s">
        <v>146</v>
      </c>
      <c r="I31" t="s">
        <v>147</v>
      </c>
      <c r="J31" t="s">
        <v>63</v>
      </c>
      <c r="K31" t="s">
        <v>148</v>
      </c>
      <c r="L31" t="s">
        <v>78</v>
      </c>
      <c r="M31" t="s">
        <v>66</v>
      </c>
    </row>
    <row r="32" spans="1:13" x14ac:dyDescent="0.3">
      <c r="A32">
        <v>377</v>
      </c>
      <c r="B32" t="s">
        <v>296</v>
      </c>
      <c r="C32" t="s">
        <v>37</v>
      </c>
      <c r="D32" t="s">
        <v>142</v>
      </c>
      <c r="E32" t="s">
        <v>31</v>
      </c>
      <c r="F32" t="s">
        <v>32</v>
      </c>
      <c r="G32" t="s">
        <v>145</v>
      </c>
      <c r="H32" t="s">
        <v>146</v>
      </c>
      <c r="I32" t="s">
        <v>147</v>
      </c>
      <c r="J32" t="s">
        <v>63</v>
      </c>
      <c r="K32" t="s">
        <v>148</v>
      </c>
      <c r="L32" t="s">
        <v>78</v>
      </c>
      <c r="M32" t="s">
        <v>66</v>
      </c>
    </row>
    <row r="33" spans="1:13" x14ac:dyDescent="0.3">
      <c r="A33">
        <v>379</v>
      </c>
      <c r="B33" t="s">
        <v>301</v>
      </c>
      <c r="C33" t="s">
        <v>37</v>
      </c>
      <c r="D33" t="s">
        <v>302</v>
      </c>
      <c r="E33" t="s">
        <v>31</v>
      </c>
      <c r="F33" t="s">
        <v>32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78</v>
      </c>
      <c r="M33" t="s">
        <v>31</v>
      </c>
    </row>
    <row r="34" spans="1:13" x14ac:dyDescent="0.3">
      <c r="A34">
        <v>385</v>
      </c>
      <c r="B34" t="s">
        <v>309</v>
      </c>
      <c r="C34" t="s">
        <v>37</v>
      </c>
      <c r="D34" t="s">
        <v>310</v>
      </c>
      <c r="E34" t="s">
        <v>31</v>
      </c>
      <c r="F34" t="s">
        <v>32</v>
      </c>
      <c r="G34" t="s">
        <v>312</v>
      </c>
      <c r="H34" t="s">
        <v>313</v>
      </c>
      <c r="I34" t="s">
        <v>314</v>
      </c>
      <c r="J34" t="s">
        <v>63</v>
      </c>
      <c r="K34" t="s">
        <v>148</v>
      </c>
      <c r="L34" t="s">
        <v>78</v>
      </c>
      <c r="M34" t="s">
        <v>66</v>
      </c>
    </row>
    <row r="35" spans="1:13" x14ac:dyDescent="0.3">
      <c r="A35">
        <v>423</v>
      </c>
      <c r="B35" t="s">
        <v>320</v>
      </c>
      <c r="C35" t="s">
        <v>37</v>
      </c>
      <c r="D35" t="s">
        <v>83</v>
      </c>
      <c r="E35" t="s">
        <v>66</v>
      </c>
      <c r="F35" t="s">
        <v>32</v>
      </c>
      <c r="G35" t="s">
        <v>38</v>
      </c>
      <c r="H35" t="s">
        <v>39</v>
      </c>
      <c r="I35" t="s">
        <v>322</v>
      </c>
      <c r="J35" t="s">
        <v>274</v>
      </c>
      <c r="K35" t="s">
        <v>275</v>
      </c>
      <c r="L35" t="s">
        <v>43</v>
      </c>
      <c r="M35" t="s">
        <v>66</v>
      </c>
    </row>
    <row r="36" spans="1:13" x14ac:dyDescent="0.3">
      <c r="A36">
        <v>424</v>
      </c>
      <c r="B36" t="s">
        <v>325</v>
      </c>
      <c r="C36" t="s">
        <v>37</v>
      </c>
      <c r="D36" t="s">
        <v>83</v>
      </c>
      <c r="E36" t="s">
        <v>66</v>
      </c>
      <c r="F36" t="s">
        <v>32</v>
      </c>
      <c r="G36" t="s">
        <v>38</v>
      </c>
      <c r="H36" t="s">
        <v>39</v>
      </c>
      <c r="I36" t="s">
        <v>322</v>
      </c>
      <c r="J36" t="s">
        <v>274</v>
      </c>
      <c r="K36" t="s">
        <v>275</v>
      </c>
      <c r="L36" t="s">
        <v>43</v>
      </c>
      <c r="M36" t="s">
        <v>66</v>
      </c>
    </row>
    <row r="37" spans="1:13" x14ac:dyDescent="0.3">
      <c r="A37">
        <v>14</v>
      </c>
      <c r="B37" t="s">
        <v>29</v>
      </c>
      <c r="C37" t="s">
        <v>37</v>
      </c>
      <c r="D37" t="s">
        <v>30</v>
      </c>
      <c r="E37" t="s">
        <v>31</v>
      </c>
      <c r="F37" t="s">
        <v>32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43</v>
      </c>
      <c r="M37" t="s">
        <v>31</v>
      </c>
    </row>
    <row r="38" spans="1:13" x14ac:dyDescent="0.3">
      <c r="A38">
        <v>96</v>
      </c>
      <c r="B38" t="s">
        <v>70</v>
      </c>
      <c r="C38" t="s">
        <v>37</v>
      </c>
      <c r="D38" t="s">
        <v>71</v>
      </c>
      <c r="E38" t="s">
        <v>66</v>
      </c>
      <c r="F38" t="s">
        <v>32</v>
      </c>
      <c r="G38" t="s">
        <v>73</v>
      </c>
      <c r="H38" t="s">
        <v>74</v>
      </c>
      <c r="I38" t="s">
        <v>75</v>
      </c>
      <c r="J38" t="s">
        <v>76</v>
      </c>
      <c r="K38" t="s">
        <v>77</v>
      </c>
      <c r="L38" t="s">
        <v>78</v>
      </c>
      <c r="M38" t="s">
        <v>66</v>
      </c>
    </row>
    <row r="39" spans="1:13" x14ac:dyDescent="0.3">
      <c r="A39">
        <v>14.1</v>
      </c>
      <c r="B39" t="s">
        <v>353</v>
      </c>
      <c r="C39" t="s">
        <v>37</v>
      </c>
      <c r="D39" t="s">
        <v>30</v>
      </c>
      <c r="E39" t="s">
        <v>31</v>
      </c>
      <c r="F39" t="s">
        <v>32</v>
      </c>
      <c r="G39" t="s">
        <v>38</v>
      </c>
      <c r="H39" t="s">
        <v>39</v>
      </c>
      <c r="I39" t="s">
        <v>40</v>
      </c>
      <c r="J39" t="s">
        <v>86</v>
      </c>
      <c r="K39" t="s">
        <v>339</v>
      </c>
      <c r="L39" t="s">
        <v>78</v>
      </c>
      <c r="M39" t="s">
        <v>31</v>
      </c>
    </row>
    <row r="40" spans="1:13" x14ac:dyDescent="0.3">
      <c r="A40">
        <v>14.2</v>
      </c>
      <c r="B40" t="s">
        <v>359</v>
      </c>
      <c r="C40" t="s">
        <v>37</v>
      </c>
      <c r="D40" t="s">
        <v>30</v>
      </c>
      <c r="E40" t="s">
        <v>31</v>
      </c>
      <c r="F40" t="s">
        <v>32</v>
      </c>
      <c r="G40" t="s">
        <v>38</v>
      </c>
      <c r="H40" t="s">
        <v>39</v>
      </c>
      <c r="I40" t="s">
        <v>40</v>
      </c>
      <c r="J40" t="s">
        <v>86</v>
      </c>
      <c r="K40" t="s">
        <v>339</v>
      </c>
      <c r="L40" t="s">
        <v>78</v>
      </c>
      <c r="M40" t="s">
        <v>31</v>
      </c>
    </row>
    <row r="41" spans="1:13" x14ac:dyDescent="0.3">
      <c r="A41">
        <v>14.3</v>
      </c>
      <c r="B41" t="s">
        <v>365</v>
      </c>
      <c r="C41" t="s">
        <v>37</v>
      </c>
      <c r="D41" t="s">
        <v>30</v>
      </c>
      <c r="E41" t="s">
        <v>31</v>
      </c>
      <c r="F41" t="s">
        <v>32</v>
      </c>
      <c r="G41" t="s">
        <v>38</v>
      </c>
      <c r="H41" t="s">
        <v>39</v>
      </c>
      <c r="I41" t="s">
        <v>40</v>
      </c>
      <c r="J41" t="s">
        <v>86</v>
      </c>
      <c r="K41" t="s">
        <v>339</v>
      </c>
      <c r="L41" t="s">
        <v>78</v>
      </c>
      <c r="M41" t="s">
        <v>31</v>
      </c>
    </row>
    <row r="42" spans="1:13" x14ac:dyDescent="0.3">
      <c r="A42">
        <v>14.4</v>
      </c>
      <c r="B42" t="s">
        <v>371</v>
      </c>
      <c r="C42" t="s">
        <v>37</v>
      </c>
      <c r="D42" t="s">
        <v>30</v>
      </c>
      <c r="E42" t="s">
        <v>31</v>
      </c>
      <c r="F42" t="s">
        <v>32</v>
      </c>
      <c r="G42" t="s">
        <v>38</v>
      </c>
      <c r="H42" t="s">
        <v>39</v>
      </c>
      <c r="I42" t="s">
        <v>40</v>
      </c>
      <c r="J42" t="s">
        <v>86</v>
      </c>
      <c r="K42" t="s">
        <v>339</v>
      </c>
      <c r="L42" t="s">
        <v>78</v>
      </c>
      <c r="M42" t="s">
        <v>31</v>
      </c>
    </row>
    <row r="43" spans="1:13" x14ac:dyDescent="0.3">
      <c r="A43">
        <v>386.1</v>
      </c>
      <c r="B43" t="s">
        <v>377</v>
      </c>
      <c r="C43" t="s">
        <v>37</v>
      </c>
      <c r="D43" t="s">
        <v>310</v>
      </c>
      <c r="E43" t="s">
        <v>31</v>
      </c>
      <c r="F43" t="s">
        <v>32</v>
      </c>
      <c r="G43" t="s">
        <v>312</v>
      </c>
      <c r="H43" t="s">
        <v>313</v>
      </c>
      <c r="I43" t="s">
        <v>314</v>
      </c>
      <c r="J43" t="s">
        <v>63</v>
      </c>
      <c r="K43" t="s">
        <v>148</v>
      </c>
      <c r="L43" t="s">
        <v>78</v>
      </c>
      <c r="M43" t="s">
        <v>66</v>
      </c>
    </row>
    <row r="44" spans="1:13" x14ac:dyDescent="0.3">
      <c r="A44">
        <v>386.2</v>
      </c>
      <c r="B44" t="s">
        <v>382</v>
      </c>
      <c r="C44" t="s">
        <v>37</v>
      </c>
      <c r="D44" t="s">
        <v>310</v>
      </c>
      <c r="E44" t="s">
        <v>31</v>
      </c>
      <c r="F44" t="s">
        <v>32</v>
      </c>
      <c r="G44" t="s">
        <v>312</v>
      </c>
      <c r="H44" t="s">
        <v>313</v>
      </c>
      <c r="I44" t="s">
        <v>314</v>
      </c>
      <c r="J44" t="s">
        <v>63</v>
      </c>
      <c r="K44" t="s">
        <v>148</v>
      </c>
      <c r="L44" t="s">
        <v>78</v>
      </c>
      <c r="M44" t="s">
        <v>66</v>
      </c>
    </row>
    <row r="45" spans="1:13" x14ac:dyDescent="0.3">
      <c r="A45">
        <v>386.3</v>
      </c>
      <c r="B45" t="s">
        <v>387</v>
      </c>
      <c r="C45" t="s">
        <v>37</v>
      </c>
      <c r="D45" t="s">
        <v>310</v>
      </c>
      <c r="E45" t="s">
        <v>31</v>
      </c>
      <c r="F45" t="s">
        <v>32</v>
      </c>
      <c r="G45" t="s">
        <v>312</v>
      </c>
      <c r="H45" t="s">
        <v>313</v>
      </c>
      <c r="I45" t="s">
        <v>314</v>
      </c>
      <c r="J45" t="s">
        <v>63</v>
      </c>
      <c r="K45" t="s">
        <v>148</v>
      </c>
      <c r="L45" t="s">
        <v>78</v>
      </c>
      <c r="M45" t="s">
        <v>66</v>
      </c>
    </row>
    <row r="46" spans="1:13" x14ac:dyDescent="0.3">
      <c r="A46">
        <v>97</v>
      </c>
      <c r="B46" t="s">
        <v>82</v>
      </c>
      <c r="C46" t="s">
        <v>37</v>
      </c>
      <c r="D46" t="s">
        <v>83</v>
      </c>
      <c r="E46" t="s">
        <v>31</v>
      </c>
      <c r="F46" t="s">
        <v>32</v>
      </c>
      <c r="G46" t="s">
        <v>38</v>
      </c>
      <c r="H46" t="s">
        <v>39</v>
      </c>
      <c r="I46" t="s">
        <v>85</v>
      </c>
      <c r="J46" t="s">
        <v>86</v>
      </c>
      <c r="K46" t="s">
        <v>87</v>
      </c>
      <c r="L46" t="s">
        <v>78</v>
      </c>
      <c r="M46" t="s">
        <v>66</v>
      </c>
    </row>
    <row r="47" spans="1:13" x14ac:dyDescent="0.3">
      <c r="A47">
        <v>98</v>
      </c>
      <c r="B47" t="s">
        <v>91</v>
      </c>
      <c r="C47" t="s">
        <v>37</v>
      </c>
      <c r="D47" t="s">
        <v>83</v>
      </c>
      <c r="E47" t="s">
        <v>31</v>
      </c>
      <c r="F47" t="s">
        <v>32</v>
      </c>
      <c r="G47" t="s">
        <v>38</v>
      </c>
      <c r="H47" t="s">
        <v>39</v>
      </c>
      <c r="I47" t="s">
        <v>85</v>
      </c>
      <c r="J47" t="s">
        <v>86</v>
      </c>
      <c r="K47" t="s">
        <v>87</v>
      </c>
      <c r="L47" t="s">
        <v>78</v>
      </c>
      <c r="M47" t="s">
        <v>66</v>
      </c>
    </row>
    <row r="48" spans="1:13" x14ac:dyDescent="0.3">
      <c r="A48">
        <v>109</v>
      </c>
      <c r="B48" t="s">
        <v>96</v>
      </c>
      <c r="C48" t="s">
        <v>37</v>
      </c>
      <c r="D48" t="s">
        <v>99</v>
      </c>
      <c r="E48" t="s">
        <v>66</v>
      </c>
      <c r="F48" t="s">
        <v>32</v>
      </c>
      <c r="G48" t="s">
        <v>60</v>
      </c>
      <c r="H48" t="s">
        <v>100</v>
      </c>
      <c r="J48" t="s">
        <v>101</v>
      </c>
      <c r="K48" t="s">
        <v>102</v>
      </c>
      <c r="L48" t="s">
        <v>65</v>
      </c>
      <c r="M48" t="s">
        <v>66</v>
      </c>
    </row>
    <row r="49" spans="1:13" x14ac:dyDescent="0.3">
      <c r="A49">
        <v>460</v>
      </c>
      <c r="B49" t="s">
        <v>329</v>
      </c>
      <c r="C49" t="s">
        <v>37</v>
      </c>
      <c r="D49" t="s">
        <v>130</v>
      </c>
      <c r="E49" t="s">
        <v>66</v>
      </c>
      <c r="F49" t="s">
        <v>32</v>
      </c>
      <c r="G49" t="s">
        <v>73</v>
      </c>
      <c r="H49" t="s">
        <v>218</v>
      </c>
      <c r="I49" t="s">
        <v>331</v>
      </c>
      <c r="J49" t="s">
        <v>134</v>
      </c>
      <c r="K49" t="s">
        <v>135</v>
      </c>
      <c r="L49" t="s">
        <v>43</v>
      </c>
      <c r="M49" t="s">
        <v>66</v>
      </c>
    </row>
    <row r="50" spans="1:13" x14ac:dyDescent="0.3">
      <c r="A50">
        <v>463</v>
      </c>
      <c r="B50" t="s">
        <v>332</v>
      </c>
      <c r="C50" t="s">
        <v>37</v>
      </c>
      <c r="D50" t="s">
        <v>130</v>
      </c>
      <c r="E50" t="s">
        <v>31</v>
      </c>
      <c r="F50" t="s">
        <v>32</v>
      </c>
      <c r="G50" t="s">
        <v>60</v>
      </c>
      <c r="H50" t="s">
        <v>100</v>
      </c>
      <c r="I50" t="s">
        <v>139</v>
      </c>
      <c r="J50" t="s">
        <v>63</v>
      </c>
      <c r="K50" t="s">
        <v>334</v>
      </c>
      <c r="L50" t="s">
        <v>43</v>
      </c>
      <c r="M50" t="s">
        <v>66</v>
      </c>
    </row>
    <row r="51" spans="1:13" x14ac:dyDescent="0.3">
      <c r="A51">
        <v>465</v>
      </c>
      <c r="B51" t="s">
        <v>336</v>
      </c>
      <c r="C51" t="s">
        <v>37</v>
      </c>
      <c r="D51" t="s">
        <v>260</v>
      </c>
      <c r="E51" t="s">
        <v>31</v>
      </c>
      <c r="F51" t="s">
        <v>32</v>
      </c>
      <c r="G51" t="s">
        <v>60</v>
      </c>
      <c r="H51" t="s">
        <v>262</v>
      </c>
      <c r="I51" t="s">
        <v>338</v>
      </c>
      <c r="J51" t="s">
        <v>86</v>
      </c>
      <c r="K51" t="s">
        <v>339</v>
      </c>
      <c r="L51" t="s">
        <v>43</v>
      </c>
      <c r="M51" t="s">
        <v>66</v>
      </c>
    </row>
    <row r="52" spans="1:13" x14ac:dyDescent="0.3">
      <c r="A52">
        <v>466</v>
      </c>
      <c r="B52" t="s">
        <v>341</v>
      </c>
      <c r="C52" t="s">
        <v>37</v>
      </c>
      <c r="D52" t="s">
        <v>342</v>
      </c>
      <c r="E52" t="s">
        <v>31</v>
      </c>
      <c r="F52" t="s">
        <v>32</v>
      </c>
      <c r="G52" t="s">
        <v>112</v>
      </c>
      <c r="H52" t="s">
        <v>113</v>
      </c>
      <c r="I52" t="s">
        <v>114</v>
      </c>
      <c r="J52" t="s">
        <v>41</v>
      </c>
      <c r="K52" t="s">
        <v>102</v>
      </c>
      <c r="L52" t="s">
        <v>43</v>
      </c>
      <c r="M52" t="s">
        <v>66</v>
      </c>
    </row>
    <row r="53" spans="1:13" x14ac:dyDescent="0.3">
      <c r="A53">
        <v>472</v>
      </c>
      <c r="B53" t="s">
        <v>345</v>
      </c>
      <c r="C53" t="s">
        <v>37</v>
      </c>
      <c r="D53" t="s">
        <v>260</v>
      </c>
      <c r="E53" t="s">
        <v>31</v>
      </c>
      <c r="F53" t="s">
        <v>32</v>
      </c>
      <c r="G53" t="s">
        <v>60</v>
      </c>
      <c r="H53" t="s">
        <v>262</v>
      </c>
      <c r="J53" t="s">
        <v>101</v>
      </c>
      <c r="K53" t="s">
        <v>264</v>
      </c>
      <c r="L53" t="s">
        <v>43</v>
      </c>
      <c r="M53" t="s">
        <v>66</v>
      </c>
    </row>
    <row r="54" spans="1:13" x14ac:dyDescent="0.3">
      <c r="A54">
        <v>476</v>
      </c>
      <c r="B54" t="s">
        <v>348</v>
      </c>
      <c r="C54" t="s">
        <v>37</v>
      </c>
      <c r="D54" t="s">
        <v>349</v>
      </c>
      <c r="E54" t="s">
        <v>31</v>
      </c>
      <c r="F54" t="s">
        <v>32</v>
      </c>
      <c r="G54" t="s">
        <v>73</v>
      </c>
      <c r="H54" t="s">
        <v>218</v>
      </c>
      <c r="I54" t="s">
        <v>351</v>
      </c>
      <c r="J54" t="s">
        <v>86</v>
      </c>
      <c r="K54" t="s">
        <v>87</v>
      </c>
      <c r="L54" t="s">
        <v>78</v>
      </c>
      <c r="M54" t="s">
        <v>66</v>
      </c>
    </row>
    <row r="55" spans="1:13" x14ac:dyDescent="0.3">
      <c r="A55">
        <v>525</v>
      </c>
      <c r="B55" t="s">
        <v>435</v>
      </c>
      <c r="C55" t="s">
        <v>37</v>
      </c>
      <c r="D55" t="s">
        <v>310</v>
      </c>
      <c r="E55" t="s">
        <v>31</v>
      </c>
      <c r="F55" t="s">
        <v>32</v>
      </c>
      <c r="G55" t="s">
        <v>312</v>
      </c>
      <c r="H55" t="s">
        <v>313</v>
      </c>
      <c r="I55" t="s">
        <v>314</v>
      </c>
      <c r="L55" t="s">
        <v>78</v>
      </c>
      <c r="M55" t="s">
        <v>66</v>
      </c>
    </row>
    <row r="56" spans="1:13" x14ac:dyDescent="0.3">
      <c r="A56">
        <v>525.1</v>
      </c>
      <c r="B56" t="s">
        <v>437</v>
      </c>
      <c r="C56" t="s">
        <v>37</v>
      </c>
      <c r="D56" t="s">
        <v>310</v>
      </c>
      <c r="E56" t="s">
        <v>31</v>
      </c>
      <c r="F56" t="s">
        <v>32</v>
      </c>
      <c r="G56" t="s">
        <v>312</v>
      </c>
      <c r="H56" t="s">
        <v>313</v>
      </c>
      <c r="I56" t="s">
        <v>314</v>
      </c>
      <c r="L56" t="s">
        <v>78</v>
      </c>
      <c r="M56" t="s">
        <v>66</v>
      </c>
    </row>
    <row r="57" spans="1:13" x14ac:dyDescent="0.3">
      <c r="A57">
        <v>525.20000000000005</v>
      </c>
      <c r="B57" t="s">
        <v>439</v>
      </c>
      <c r="C57" t="s">
        <v>37</v>
      </c>
      <c r="D57" t="s">
        <v>310</v>
      </c>
      <c r="E57" t="s">
        <v>31</v>
      </c>
      <c r="F57" t="s">
        <v>32</v>
      </c>
      <c r="G57" t="s">
        <v>312</v>
      </c>
      <c r="H57" t="s">
        <v>313</v>
      </c>
      <c r="I57" t="s">
        <v>314</v>
      </c>
      <c r="L57" t="s">
        <v>78</v>
      </c>
      <c r="M57" t="s">
        <v>66</v>
      </c>
    </row>
    <row r="58" spans="1:13" x14ac:dyDescent="0.3">
      <c r="A58">
        <v>525.29999999999995</v>
      </c>
      <c r="B58" t="s">
        <v>441</v>
      </c>
      <c r="C58" t="s">
        <v>37</v>
      </c>
      <c r="D58" t="s">
        <v>310</v>
      </c>
      <c r="E58" t="s">
        <v>31</v>
      </c>
      <c r="F58" t="s">
        <v>32</v>
      </c>
      <c r="G58" t="s">
        <v>312</v>
      </c>
      <c r="H58" t="s">
        <v>313</v>
      </c>
      <c r="I58" t="s">
        <v>314</v>
      </c>
      <c r="L58" t="s">
        <v>78</v>
      </c>
      <c r="M58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48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</v>
      </c>
      <c r="B2" t="s">
        <v>29</v>
      </c>
      <c r="C2" t="s">
        <v>30</v>
      </c>
      <c r="D2" t="s">
        <v>31</v>
      </c>
      <c r="E2" t="s">
        <v>32</v>
      </c>
      <c r="F2" s="2">
        <v>44742</v>
      </c>
      <c r="G2">
        <v>2022</v>
      </c>
      <c r="H2" t="s">
        <v>33</v>
      </c>
      <c r="I2" t="s">
        <v>34</v>
      </c>
      <c r="J2">
        <v>1</v>
      </c>
      <c r="K2">
        <v>49004</v>
      </c>
      <c r="L2">
        <v>51012</v>
      </c>
      <c r="M2">
        <v>1.040976246836993</v>
      </c>
      <c r="N2">
        <v>1.040976246836993</v>
      </c>
      <c r="O2" t="s">
        <v>35</v>
      </c>
      <c r="P2" t="s">
        <v>35</v>
      </c>
      <c r="Q2" t="s">
        <v>36</v>
      </c>
      <c r="R2">
        <v>0</v>
      </c>
      <c r="S2">
        <v>0</v>
      </c>
      <c r="T2" t="s">
        <v>31</v>
      </c>
    </row>
    <row r="3" spans="1:20" x14ac:dyDescent="0.3">
      <c r="A3">
        <v>14</v>
      </c>
      <c r="B3" t="s">
        <v>29</v>
      </c>
      <c r="C3" t="s">
        <v>30</v>
      </c>
      <c r="D3" t="s">
        <v>31</v>
      </c>
      <c r="E3" t="s">
        <v>32</v>
      </c>
      <c r="F3" s="2">
        <v>44926</v>
      </c>
      <c r="G3">
        <v>2022</v>
      </c>
      <c r="H3" t="s">
        <v>44</v>
      </c>
      <c r="I3" t="s">
        <v>45</v>
      </c>
      <c r="J3">
        <v>2</v>
      </c>
      <c r="K3">
        <v>50430</v>
      </c>
      <c r="L3">
        <v>50241</v>
      </c>
      <c r="M3">
        <v>0.99625223081499104</v>
      </c>
      <c r="N3">
        <v>0.99625223081499104</v>
      </c>
      <c r="O3" t="s">
        <v>35</v>
      </c>
      <c r="P3" t="s">
        <v>35</v>
      </c>
      <c r="Q3" t="s">
        <v>46</v>
      </c>
      <c r="R3">
        <v>0</v>
      </c>
      <c r="S3">
        <v>0</v>
      </c>
      <c r="T3" t="s">
        <v>31</v>
      </c>
    </row>
    <row r="4" spans="1:20" x14ac:dyDescent="0.3">
      <c r="A4">
        <v>14</v>
      </c>
      <c r="B4" t="s">
        <v>29</v>
      </c>
      <c r="C4" t="s">
        <v>30</v>
      </c>
      <c r="D4" t="s">
        <v>31</v>
      </c>
      <c r="E4" t="s">
        <v>32</v>
      </c>
      <c r="F4" s="2">
        <v>45107</v>
      </c>
      <c r="G4">
        <v>2023</v>
      </c>
      <c r="H4" t="s">
        <v>33</v>
      </c>
      <c r="I4" t="s">
        <v>47</v>
      </c>
      <c r="J4">
        <v>1</v>
      </c>
      <c r="K4">
        <v>52177</v>
      </c>
      <c r="L4">
        <v>51473</v>
      </c>
      <c r="M4">
        <v>0.98650746497498898</v>
      </c>
      <c r="N4">
        <v>0.98650746497498898</v>
      </c>
      <c r="O4" t="s">
        <v>35</v>
      </c>
      <c r="P4" t="s">
        <v>35</v>
      </c>
      <c r="Q4" t="s">
        <v>48</v>
      </c>
      <c r="R4">
        <v>0</v>
      </c>
      <c r="S4">
        <v>0</v>
      </c>
      <c r="T4" t="s">
        <v>31</v>
      </c>
    </row>
    <row r="5" spans="1:20" x14ac:dyDescent="0.3">
      <c r="A5">
        <v>14</v>
      </c>
      <c r="B5" t="s">
        <v>29</v>
      </c>
      <c r="C5" t="s">
        <v>30</v>
      </c>
      <c r="D5" t="s">
        <v>31</v>
      </c>
      <c r="E5" t="s">
        <v>32</v>
      </c>
      <c r="F5" s="2">
        <v>45291</v>
      </c>
      <c r="G5">
        <v>2023</v>
      </c>
      <c r="H5" t="s">
        <v>44</v>
      </c>
      <c r="I5" t="s">
        <v>49</v>
      </c>
      <c r="J5">
        <v>2</v>
      </c>
      <c r="K5">
        <v>51687</v>
      </c>
      <c r="L5">
        <v>51375</v>
      </c>
      <c r="M5">
        <v>0.99396366591212493</v>
      </c>
      <c r="N5">
        <v>0.99396366591212493</v>
      </c>
      <c r="O5" t="s">
        <v>35</v>
      </c>
      <c r="P5" t="s">
        <v>35</v>
      </c>
      <c r="Q5" t="s">
        <v>50</v>
      </c>
      <c r="R5">
        <v>0</v>
      </c>
      <c r="S5">
        <v>0</v>
      </c>
      <c r="T5" t="s">
        <v>31</v>
      </c>
    </row>
    <row r="6" spans="1:20" x14ac:dyDescent="0.3">
      <c r="A6">
        <v>14</v>
      </c>
      <c r="B6" t="s">
        <v>29</v>
      </c>
      <c r="C6" t="s">
        <v>30</v>
      </c>
      <c r="D6" t="s">
        <v>31</v>
      </c>
      <c r="E6" t="s">
        <v>32</v>
      </c>
      <c r="F6" s="2">
        <v>45473</v>
      </c>
      <c r="G6">
        <v>2024</v>
      </c>
      <c r="H6" t="s">
        <v>33</v>
      </c>
      <c r="I6" t="s">
        <v>51</v>
      </c>
      <c r="J6">
        <v>1</v>
      </c>
      <c r="K6">
        <v>52403.186118801452</v>
      </c>
      <c r="L6">
        <v>52585</v>
      </c>
      <c r="M6">
        <v>1.00346951959727</v>
      </c>
      <c r="N6">
        <v>1.00346951959727</v>
      </c>
      <c r="O6" t="s">
        <v>35</v>
      </c>
      <c r="P6" t="s">
        <v>35</v>
      </c>
      <c r="Q6" t="s">
        <v>52</v>
      </c>
      <c r="R6">
        <v>0</v>
      </c>
      <c r="S6">
        <v>0</v>
      </c>
      <c r="T6" t="s">
        <v>31</v>
      </c>
    </row>
    <row r="7" spans="1:20" x14ac:dyDescent="0.3">
      <c r="A7">
        <v>14</v>
      </c>
      <c r="B7" t="s">
        <v>29</v>
      </c>
      <c r="C7" t="s">
        <v>30</v>
      </c>
      <c r="D7" t="s">
        <v>31</v>
      </c>
      <c r="E7" t="s">
        <v>32</v>
      </c>
      <c r="F7" s="2">
        <v>45657</v>
      </c>
      <c r="G7">
        <v>2024</v>
      </c>
      <c r="H7" t="s">
        <v>44</v>
      </c>
      <c r="I7" t="s">
        <v>53</v>
      </c>
      <c r="J7">
        <v>2</v>
      </c>
      <c r="K7">
        <v>51116.334115206948</v>
      </c>
      <c r="L7">
        <v>52005</v>
      </c>
      <c r="M7">
        <v>1.017385164647961</v>
      </c>
      <c r="N7">
        <v>1.017385164647961</v>
      </c>
      <c r="O7" t="s">
        <v>35</v>
      </c>
      <c r="P7" t="s">
        <v>35</v>
      </c>
      <c r="Q7" t="s">
        <v>54</v>
      </c>
      <c r="R7">
        <v>0</v>
      </c>
      <c r="S7">
        <v>0</v>
      </c>
      <c r="T7" t="s">
        <v>31</v>
      </c>
    </row>
    <row r="8" spans="1:20" x14ac:dyDescent="0.3">
      <c r="A8">
        <v>77</v>
      </c>
      <c r="B8" t="s">
        <v>55</v>
      </c>
      <c r="C8" t="s">
        <v>56</v>
      </c>
      <c r="D8" t="s">
        <v>57</v>
      </c>
      <c r="E8" t="s">
        <v>32</v>
      </c>
      <c r="F8" s="2">
        <v>44742</v>
      </c>
      <c r="G8">
        <v>2022</v>
      </c>
      <c r="H8" t="s">
        <v>33</v>
      </c>
      <c r="I8" t="s">
        <v>34</v>
      </c>
      <c r="J8">
        <v>1</v>
      </c>
      <c r="K8">
        <v>97</v>
      </c>
      <c r="L8">
        <v>97.683333333333323</v>
      </c>
      <c r="M8">
        <v>1.0070446735395191</v>
      </c>
      <c r="N8">
        <v>1.0070446735395191</v>
      </c>
      <c r="O8" t="s">
        <v>58</v>
      </c>
      <c r="P8" t="s">
        <v>58</v>
      </c>
      <c r="Q8" t="s">
        <v>59</v>
      </c>
      <c r="R8">
        <v>0</v>
      </c>
      <c r="S8">
        <v>1</v>
      </c>
      <c r="T8" t="s">
        <v>31</v>
      </c>
    </row>
    <row r="9" spans="1:20" x14ac:dyDescent="0.3">
      <c r="A9">
        <v>77</v>
      </c>
      <c r="B9" t="s">
        <v>55</v>
      </c>
      <c r="C9" t="s">
        <v>56</v>
      </c>
      <c r="D9" t="s">
        <v>57</v>
      </c>
      <c r="E9" t="s">
        <v>32</v>
      </c>
      <c r="F9" s="2">
        <v>44926</v>
      </c>
      <c r="G9">
        <v>2022</v>
      </c>
      <c r="H9" t="s">
        <v>44</v>
      </c>
      <c r="I9" t="s">
        <v>45</v>
      </c>
      <c r="J9">
        <v>2</v>
      </c>
      <c r="K9">
        <v>97</v>
      </c>
      <c r="L9">
        <v>98.116666666666674</v>
      </c>
      <c r="M9">
        <v>1.0115120274914089</v>
      </c>
      <c r="N9">
        <v>1.0115120274914089</v>
      </c>
      <c r="O9" t="s">
        <v>58</v>
      </c>
      <c r="P9" t="s">
        <v>58</v>
      </c>
      <c r="Q9" t="s">
        <v>67</v>
      </c>
      <c r="R9">
        <v>0</v>
      </c>
      <c r="S9">
        <v>1</v>
      </c>
      <c r="T9" t="s">
        <v>31</v>
      </c>
    </row>
    <row r="10" spans="1:20" x14ac:dyDescent="0.3">
      <c r="A10">
        <v>77</v>
      </c>
      <c r="B10" t="s">
        <v>55</v>
      </c>
      <c r="C10" t="s">
        <v>56</v>
      </c>
      <c r="D10" t="s">
        <v>57</v>
      </c>
      <c r="E10" t="s">
        <v>32</v>
      </c>
      <c r="F10" s="2">
        <v>45107</v>
      </c>
      <c r="G10">
        <v>2023</v>
      </c>
      <c r="H10" t="s">
        <v>33</v>
      </c>
      <c r="I10" t="s">
        <v>47</v>
      </c>
      <c r="J10">
        <v>1</v>
      </c>
      <c r="K10">
        <v>97</v>
      </c>
      <c r="L10">
        <v>97.683333333333337</v>
      </c>
      <c r="M10">
        <v>1.0070446735395191</v>
      </c>
      <c r="N10">
        <v>1.0070446735395191</v>
      </c>
      <c r="O10" t="s">
        <v>58</v>
      </c>
      <c r="P10" t="s">
        <v>58</v>
      </c>
      <c r="Q10" t="s">
        <v>68</v>
      </c>
      <c r="R10">
        <v>0</v>
      </c>
      <c r="S10">
        <v>1</v>
      </c>
      <c r="T10" t="s">
        <v>31</v>
      </c>
    </row>
    <row r="11" spans="1:20" x14ac:dyDescent="0.3">
      <c r="A11">
        <v>77</v>
      </c>
      <c r="B11" t="s">
        <v>55</v>
      </c>
      <c r="C11" t="s">
        <v>56</v>
      </c>
      <c r="D11" t="s">
        <v>57</v>
      </c>
      <c r="E11" t="s">
        <v>32</v>
      </c>
      <c r="F11" s="2">
        <v>45291</v>
      </c>
      <c r="G11">
        <v>2023</v>
      </c>
      <c r="H11" t="s">
        <v>44</v>
      </c>
      <c r="I11" t="s">
        <v>49</v>
      </c>
      <c r="J11">
        <v>2</v>
      </c>
      <c r="K11">
        <v>97</v>
      </c>
      <c r="L11">
        <v>97.583333333333329</v>
      </c>
      <c r="M11">
        <v>1.0060137457044671</v>
      </c>
      <c r="N11">
        <v>1.0060137457044671</v>
      </c>
      <c r="O11" t="s">
        <v>58</v>
      </c>
      <c r="P11" t="s">
        <v>58</v>
      </c>
      <c r="Q11" t="s">
        <v>69</v>
      </c>
      <c r="R11">
        <v>0</v>
      </c>
      <c r="S11">
        <v>1</v>
      </c>
      <c r="T11" t="s">
        <v>31</v>
      </c>
    </row>
    <row r="12" spans="1:20" x14ac:dyDescent="0.3">
      <c r="A12">
        <v>96</v>
      </c>
      <c r="B12" t="s">
        <v>70</v>
      </c>
      <c r="C12" t="s">
        <v>71</v>
      </c>
      <c r="D12" t="s">
        <v>31</v>
      </c>
      <c r="E12" t="s">
        <v>32</v>
      </c>
      <c r="F12" s="2">
        <v>44926</v>
      </c>
      <c r="G12">
        <v>2022</v>
      </c>
      <c r="H12" t="s">
        <v>44</v>
      </c>
      <c r="I12" t="s">
        <v>45</v>
      </c>
      <c r="J12">
        <v>2</v>
      </c>
      <c r="K12">
        <v>509</v>
      </c>
      <c r="L12">
        <v>565</v>
      </c>
      <c r="M12">
        <v>1.1100196463654219</v>
      </c>
      <c r="N12">
        <v>1.1100196463654219</v>
      </c>
      <c r="O12" t="s">
        <v>35</v>
      </c>
      <c r="P12" t="s">
        <v>35</v>
      </c>
      <c r="Q12" t="s">
        <v>72</v>
      </c>
      <c r="R12">
        <v>0</v>
      </c>
      <c r="S12">
        <v>0</v>
      </c>
      <c r="T12" t="s">
        <v>31</v>
      </c>
    </row>
    <row r="13" spans="1:20" x14ac:dyDescent="0.3">
      <c r="A13">
        <v>96</v>
      </c>
      <c r="B13" t="s">
        <v>70</v>
      </c>
      <c r="C13" t="s">
        <v>71</v>
      </c>
      <c r="D13" t="s">
        <v>31</v>
      </c>
      <c r="E13" t="s">
        <v>32</v>
      </c>
      <c r="F13" s="2">
        <v>45107</v>
      </c>
      <c r="G13">
        <v>2023</v>
      </c>
      <c r="H13" t="s">
        <v>33</v>
      </c>
      <c r="I13" t="s">
        <v>47</v>
      </c>
      <c r="J13">
        <v>1</v>
      </c>
      <c r="K13">
        <v>305</v>
      </c>
      <c r="L13">
        <v>209</v>
      </c>
      <c r="M13">
        <v>0.68524590163934429</v>
      </c>
      <c r="N13">
        <v>0.68524590163934429</v>
      </c>
      <c r="O13" t="s">
        <v>35</v>
      </c>
      <c r="P13" t="s">
        <v>35</v>
      </c>
      <c r="Q13" t="s">
        <v>79</v>
      </c>
      <c r="R13">
        <v>0</v>
      </c>
      <c r="S13">
        <v>0</v>
      </c>
      <c r="T13" t="s">
        <v>31</v>
      </c>
    </row>
    <row r="14" spans="1:20" x14ac:dyDescent="0.3">
      <c r="A14">
        <v>96</v>
      </c>
      <c r="B14" t="s">
        <v>70</v>
      </c>
      <c r="C14" t="s">
        <v>71</v>
      </c>
      <c r="D14" t="s">
        <v>31</v>
      </c>
      <c r="E14" t="s">
        <v>32</v>
      </c>
      <c r="F14" s="2">
        <v>45291</v>
      </c>
      <c r="G14">
        <v>2023</v>
      </c>
      <c r="H14" t="s">
        <v>44</v>
      </c>
      <c r="I14" t="s">
        <v>49</v>
      </c>
      <c r="J14">
        <v>2</v>
      </c>
      <c r="K14">
        <v>306</v>
      </c>
      <c r="L14">
        <v>496</v>
      </c>
      <c r="M14">
        <v>1.3</v>
      </c>
      <c r="N14">
        <v>1.620915032679739</v>
      </c>
      <c r="O14" t="s">
        <v>35</v>
      </c>
      <c r="P14" t="s">
        <v>35</v>
      </c>
      <c r="Q14" t="s">
        <v>80</v>
      </c>
      <c r="R14">
        <v>0</v>
      </c>
      <c r="S14">
        <v>0</v>
      </c>
      <c r="T14" t="s">
        <v>31</v>
      </c>
    </row>
    <row r="15" spans="1:20" x14ac:dyDescent="0.3">
      <c r="A15">
        <v>96</v>
      </c>
      <c r="B15" t="s">
        <v>70</v>
      </c>
      <c r="C15" t="s">
        <v>71</v>
      </c>
      <c r="D15" t="s">
        <v>31</v>
      </c>
      <c r="E15" t="s">
        <v>32</v>
      </c>
      <c r="F15" s="2">
        <v>45473</v>
      </c>
      <c r="G15">
        <v>2024</v>
      </c>
      <c r="H15" t="s">
        <v>33</v>
      </c>
      <c r="I15" t="s">
        <v>51</v>
      </c>
      <c r="J15">
        <v>1</v>
      </c>
      <c r="K15">
        <v>336</v>
      </c>
      <c r="L15">
        <v>143</v>
      </c>
      <c r="M15">
        <v>0.42559523809523808</v>
      </c>
      <c r="N15">
        <v>0.42559523809523808</v>
      </c>
      <c r="O15" t="s">
        <v>35</v>
      </c>
      <c r="P15" t="s">
        <v>35</v>
      </c>
      <c r="Q15" t="s">
        <v>81</v>
      </c>
      <c r="R15">
        <v>0</v>
      </c>
      <c r="S15">
        <v>0</v>
      </c>
      <c r="T15" t="s">
        <v>31</v>
      </c>
    </row>
    <row r="16" spans="1:20" x14ac:dyDescent="0.3">
      <c r="A16">
        <v>97</v>
      </c>
      <c r="B16" t="s">
        <v>82</v>
      </c>
      <c r="C16" t="s">
        <v>83</v>
      </c>
      <c r="D16" t="s">
        <v>31</v>
      </c>
      <c r="E16" t="s">
        <v>32</v>
      </c>
      <c r="F16" s="2">
        <v>44742</v>
      </c>
      <c r="G16">
        <v>2022</v>
      </c>
      <c r="H16" t="s">
        <v>33</v>
      </c>
      <c r="I16" t="s">
        <v>34</v>
      </c>
      <c r="J16">
        <v>1</v>
      </c>
      <c r="K16">
        <v>2</v>
      </c>
      <c r="L16">
        <v>2</v>
      </c>
      <c r="M16">
        <v>1</v>
      </c>
      <c r="N16">
        <v>1</v>
      </c>
      <c r="O16" t="s">
        <v>35</v>
      </c>
      <c r="P16" t="s">
        <v>35</v>
      </c>
      <c r="Q16" t="s">
        <v>84</v>
      </c>
      <c r="R16">
        <v>0</v>
      </c>
      <c r="S16">
        <v>0</v>
      </c>
      <c r="T16" t="s">
        <v>31</v>
      </c>
    </row>
    <row r="17" spans="1:20" x14ac:dyDescent="0.3">
      <c r="A17">
        <v>97</v>
      </c>
      <c r="B17" t="s">
        <v>82</v>
      </c>
      <c r="C17" t="s">
        <v>83</v>
      </c>
      <c r="D17" t="s">
        <v>31</v>
      </c>
      <c r="E17" t="s">
        <v>32</v>
      </c>
      <c r="F17" s="2">
        <v>44926</v>
      </c>
      <c r="G17">
        <v>2022</v>
      </c>
      <c r="H17" t="s">
        <v>44</v>
      </c>
      <c r="I17" t="s">
        <v>45</v>
      </c>
      <c r="J17">
        <v>2</v>
      </c>
      <c r="K17">
        <v>0</v>
      </c>
      <c r="L17">
        <v>0</v>
      </c>
      <c r="O17" t="s">
        <v>35</v>
      </c>
      <c r="P17" t="s">
        <v>35</v>
      </c>
      <c r="Q17" t="s">
        <v>88</v>
      </c>
      <c r="R17">
        <v>0</v>
      </c>
      <c r="S17">
        <v>0</v>
      </c>
      <c r="T17" t="s">
        <v>31</v>
      </c>
    </row>
    <row r="18" spans="1:20" x14ac:dyDescent="0.3">
      <c r="A18">
        <v>97</v>
      </c>
      <c r="B18" t="s">
        <v>82</v>
      </c>
      <c r="C18" t="s">
        <v>83</v>
      </c>
      <c r="D18" t="s">
        <v>31</v>
      </c>
      <c r="E18" t="s">
        <v>32</v>
      </c>
      <c r="F18" s="2">
        <v>45107</v>
      </c>
      <c r="G18">
        <v>2023</v>
      </c>
      <c r="H18" t="s">
        <v>33</v>
      </c>
      <c r="I18" t="s">
        <v>47</v>
      </c>
      <c r="J18">
        <v>1</v>
      </c>
      <c r="K18">
        <v>0</v>
      </c>
      <c r="L18">
        <v>0</v>
      </c>
      <c r="Q18" t="s">
        <v>89</v>
      </c>
      <c r="R18">
        <v>0</v>
      </c>
      <c r="S18">
        <v>0</v>
      </c>
      <c r="T18" t="s">
        <v>31</v>
      </c>
    </row>
    <row r="19" spans="1:20" x14ac:dyDescent="0.3">
      <c r="A19">
        <v>97</v>
      </c>
      <c r="B19" t="s">
        <v>82</v>
      </c>
      <c r="C19" t="s">
        <v>83</v>
      </c>
      <c r="D19" t="s">
        <v>31</v>
      </c>
      <c r="E19" t="s">
        <v>32</v>
      </c>
      <c r="F19" s="2">
        <v>45291</v>
      </c>
      <c r="G19">
        <v>2023</v>
      </c>
      <c r="H19" t="s">
        <v>44</v>
      </c>
      <c r="I19" t="s">
        <v>49</v>
      </c>
      <c r="J19">
        <v>2</v>
      </c>
      <c r="K19">
        <v>0</v>
      </c>
      <c r="L19">
        <v>0</v>
      </c>
      <c r="Q19" t="s">
        <v>90</v>
      </c>
      <c r="R19">
        <v>0</v>
      </c>
      <c r="S19">
        <v>0</v>
      </c>
      <c r="T19" t="s">
        <v>31</v>
      </c>
    </row>
    <row r="20" spans="1:20" x14ac:dyDescent="0.3">
      <c r="A20">
        <v>98</v>
      </c>
      <c r="B20" t="s">
        <v>91</v>
      </c>
      <c r="C20" t="s">
        <v>83</v>
      </c>
      <c r="D20" t="s">
        <v>31</v>
      </c>
      <c r="E20" t="s">
        <v>32</v>
      </c>
      <c r="F20" s="2">
        <v>44742</v>
      </c>
      <c r="G20">
        <v>2022</v>
      </c>
      <c r="H20" t="s">
        <v>33</v>
      </c>
      <c r="I20" t="s">
        <v>34</v>
      </c>
      <c r="J20">
        <v>1</v>
      </c>
      <c r="K20">
        <v>0</v>
      </c>
      <c r="L20">
        <v>0</v>
      </c>
      <c r="O20" t="s">
        <v>35</v>
      </c>
      <c r="P20" t="s">
        <v>35</v>
      </c>
      <c r="Q20" t="s">
        <v>92</v>
      </c>
      <c r="R20">
        <v>0</v>
      </c>
      <c r="S20">
        <v>0</v>
      </c>
      <c r="T20" t="s">
        <v>31</v>
      </c>
    </row>
    <row r="21" spans="1:20" x14ac:dyDescent="0.3">
      <c r="A21">
        <v>98</v>
      </c>
      <c r="B21" t="s">
        <v>91</v>
      </c>
      <c r="C21" t="s">
        <v>83</v>
      </c>
      <c r="D21" t="s">
        <v>31</v>
      </c>
      <c r="E21" t="s">
        <v>32</v>
      </c>
      <c r="F21" s="2">
        <v>44926</v>
      </c>
      <c r="G21">
        <v>2022</v>
      </c>
      <c r="H21" t="s">
        <v>44</v>
      </c>
      <c r="I21" t="s">
        <v>45</v>
      </c>
      <c r="J21">
        <v>2</v>
      </c>
      <c r="K21">
        <v>2</v>
      </c>
      <c r="L21">
        <v>2</v>
      </c>
      <c r="M21">
        <v>1</v>
      </c>
      <c r="N21">
        <v>1</v>
      </c>
      <c r="O21" t="s">
        <v>35</v>
      </c>
      <c r="P21" t="s">
        <v>35</v>
      </c>
      <c r="Q21" t="s">
        <v>93</v>
      </c>
      <c r="R21">
        <v>0</v>
      </c>
      <c r="S21">
        <v>0</v>
      </c>
      <c r="T21" t="s">
        <v>31</v>
      </c>
    </row>
    <row r="22" spans="1:20" x14ac:dyDescent="0.3">
      <c r="A22">
        <v>98</v>
      </c>
      <c r="B22" t="s">
        <v>91</v>
      </c>
      <c r="C22" t="s">
        <v>83</v>
      </c>
      <c r="D22" t="s">
        <v>31</v>
      </c>
      <c r="E22" t="s">
        <v>32</v>
      </c>
      <c r="F22" s="2">
        <v>45107</v>
      </c>
      <c r="G22">
        <v>2023</v>
      </c>
      <c r="H22" t="s">
        <v>33</v>
      </c>
      <c r="I22" t="s">
        <v>47</v>
      </c>
      <c r="J22">
        <v>1</v>
      </c>
      <c r="K22">
        <v>0</v>
      </c>
      <c r="L22">
        <v>0</v>
      </c>
      <c r="O22" t="s">
        <v>35</v>
      </c>
      <c r="P22" t="s">
        <v>35</v>
      </c>
      <c r="Q22" t="s">
        <v>94</v>
      </c>
      <c r="R22">
        <v>0</v>
      </c>
      <c r="S22">
        <v>0</v>
      </c>
      <c r="T22" t="s">
        <v>31</v>
      </c>
    </row>
    <row r="23" spans="1:20" x14ac:dyDescent="0.3">
      <c r="A23">
        <v>98</v>
      </c>
      <c r="B23" t="s">
        <v>91</v>
      </c>
      <c r="C23" t="s">
        <v>83</v>
      </c>
      <c r="D23" t="s">
        <v>31</v>
      </c>
      <c r="E23" t="s">
        <v>32</v>
      </c>
      <c r="F23" s="2">
        <v>45291</v>
      </c>
      <c r="G23">
        <v>2023</v>
      </c>
      <c r="H23" t="s">
        <v>44</v>
      </c>
      <c r="I23" t="s">
        <v>49</v>
      </c>
      <c r="J23">
        <v>2</v>
      </c>
      <c r="K23">
        <v>1</v>
      </c>
      <c r="L23">
        <v>1</v>
      </c>
      <c r="M23">
        <v>1</v>
      </c>
      <c r="N23">
        <v>1</v>
      </c>
      <c r="O23" t="s">
        <v>35</v>
      </c>
      <c r="P23" t="s">
        <v>35</v>
      </c>
      <c r="Q23" t="s">
        <v>95</v>
      </c>
      <c r="R23">
        <v>0</v>
      </c>
      <c r="S23">
        <v>0</v>
      </c>
      <c r="T23" t="s">
        <v>31</v>
      </c>
    </row>
    <row r="24" spans="1:20" x14ac:dyDescent="0.3">
      <c r="A24">
        <v>109</v>
      </c>
      <c r="B24" t="s">
        <v>469</v>
      </c>
      <c r="C24" t="s">
        <v>97</v>
      </c>
      <c r="D24" t="s">
        <v>66</v>
      </c>
      <c r="E24" t="s">
        <v>32</v>
      </c>
      <c r="F24" s="2">
        <v>45291</v>
      </c>
      <c r="G24">
        <v>2023</v>
      </c>
      <c r="H24" t="s">
        <v>44</v>
      </c>
      <c r="I24" t="s">
        <v>49</v>
      </c>
      <c r="J24">
        <v>2</v>
      </c>
      <c r="Q24" t="s">
        <v>98</v>
      </c>
      <c r="R24">
        <v>0</v>
      </c>
      <c r="S24">
        <v>0</v>
      </c>
      <c r="T24" t="s">
        <v>31</v>
      </c>
    </row>
    <row r="25" spans="1:20" x14ac:dyDescent="0.3">
      <c r="A25">
        <v>109</v>
      </c>
      <c r="B25" t="s">
        <v>469</v>
      </c>
      <c r="C25" t="s">
        <v>99</v>
      </c>
      <c r="D25" t="s">
        <v>66</v>
      </c>
      <c r="E25" t="s">
        <v>32</v>
      </c>
      <c r="F25" s="2">
        <v>45657</v>
      </c>
      <c r="G25">
        <v>2024</v>
      </c>
      <c r="H25" t="s">
        <v>44</v>
      </c>
      <c r="I25" t="s">
        <v>53</v>
      </c>
      <c r="J25">
        <v>2</v>
      </c>
      <c r="Q25" t="s">
        <v>103</v>
      </c>
      <c r="R25">
        <v>0</v>
      </c>
      <c r="S25">
        <v>0</v>
      </c>
      <c r="T25" t="s">
        <v>31</v>
      </c>
    </row>
    <row r="26" spans="1:20" x14ac:dyDescent="0.3">
      <c r="A26">
        <v>148</v>
      </c>
      <c r="B26" t="s">
        <v>104</v>
      </c>
      <c r="C26" t="s">
        <v>105</v>
      </c>
      <c r="D26" t="s">
        <v>31</v>
      </c>
      <c r="E26" t="s">
        <v>32</v>
      </c>
      <c r="F26" s="2">
        <v>45107</v>
      </c>
      <c r="G26">
        <v>2023</v>
      </c>
      <c r="H26" t="s">
        <v>33</v>
      </c>
      <c r="I26" t="s">
        <v>47</v>
      </c>
      <c r="J26">
        <v>1</v>
      </c>
      <c r="K26">
        <v>2.5</v>
      </c>
      <c r="L26">
        <v>3.57</v>
      </c>
      <c r="M26">
        <v>1.3</v>
      </c>
      <c r="N26">
        <v>1.4279999999999999</v>
      </c>
      <c r="O26" t="s">
        <v>58</v>
      </c>
      <c r="P26" t="s">
        <v>58</v>
      </c>
      <c r="Q26" t="s">
        <v>106</v>
      </c>
      <c r="R26">
        <v>1</v>
      </c>
      <c r="S26">
        <v>1</v>
      </c>
      <c r="T26" t="s">
        <v>31</v>
      </c>
    </row>
    <row r="27" spans="1:20" x14ac:dyDescent="0.3">
      <c r="A27">
        <v>148</v>
      </c>
      <c r="B27" t="s">
        <v>104</v>
      </c>
      <c r="C27" t="s">
        <v>105</v>
      </c>
      <c r="D27" t="s">
        <v>31</v>
      </c>
      <c r="E27" t="s">
        <v>32</v>
      </c>
      <c r="F27" s="2">
        <v>45291</v>
      </c>
      <c r="G27">
        <v>2023</v>
      </c>
      <c r="H27" t="s">
        <v>44</v>
      </c>
      <c r="I27" t="s">
        <v>49</v>
      </c>
      <c r="J27">
        <v>2</v>
      </c>
      <c r="K27">
        <v>5</v>
      </c>
      <c r="L27">
        <v>5.71</v>
      </c>
      <c r="M27">
        <v>1.1419999999999999</v>
      </c>
      <c r="N27">
        <v>1.1419999999999999</v>
      </c>
      <c r="O27" t="s">
        <v>58</v>
      </c>
      <c r="P27" t="s">
        <v>58</v>
      </c>
      <c r="Q27" t="s">
        <v>107</v>
      </c>
      <c r="R27">
        <v>1</v>
      </c>
      <c r="S27">
        <v>1</v>
      </c>
      <c r="T27" t="s">
        <v>31</v>
      </c>
    </row>
    <row r="28" spans="1:20" x14ac:dyDescent="0.3">
      <c r="A28">
        <v>148</v>
      </c>
      <c r="B28" t="s">
        <v>104</v>
      </c>
      <c r="C28" t="s">
        <v>105</v>
      </c>
      <c r="D28" t="s">
        <v>31</v>
      </c>
      <c r="E28" t="s">
        <v>32</v>
      </c>
      <c r="F28" s="2">
        <v>45473</v>
      </c>
      <c r="G28">
        <v>2024</v>
      </c>
      <c r="H28" t="s">
        <v>33</v>
      </c>
      <c r="I28" t="s">
        <v>51</v>
      </c>
      <c r="J28">
        <v>1</v>
      </c>
      <c r="K28">
        <v>5</v>
      </c>
      <c r="L28">
        <v>4.3</v>
      </c>
      <c r="M28">
        <v>0.86</v>
      </c>
      <c r="N28">
        <v>0.86</v>
      </c>
      <c r="O28" t="s">
        <v>58</v>
      </c>
      <c r="P28" t="s">
        <v>58</v>
      </c>
      <c r="Q28" t="s">
        <v>108</v>
      </c>
      <c r="R28">
        <v>1</v>
      </c>
      <c r="S28">
        <v>1</v>
      </c>
      <c r="T28" t="s">
        <v>31</v>
      </c>
    </row>
    <row r="29" spans="1:20" x14ac:dyDescent="0.3">
      <c r="A29">
        <v>148</v>
      </c>
      <c r="B29" t="s">
        <v>104</v>
      </c>
      <c r="C29" t="s">
        <v>105</v>
      </c>
      <c r="D29" t="s">
        <v>31</v>
      </c>
      <c r="E29" t="s">
        <v>32</v>
      </c>
      <c r="F29" s="2">
        <v>45657</v>
      </c>
      <c r="G29">
        <v>2024</v>
      </c>
      <c r="H29" t="s">
        <v>44</v>
      </c>
      <c r="I29" t="s">
        <v>53</v>
      </c>
      <c r="J29">
        <v>2</v>
      </c>
      <c r="K29">
        <v>5</v>
      </c>
      <c r="L29">
        <v>6.3</v>
      </c>
      <c r="M29">
        <v>1.26</v>
      </c>
      <c r="N29">
        <v>1.26</v>
      </c>
      <c r="Q29" t="s">
        <v>109</v>
      </c>
      <c r="R29">
        <v>0</v>
      </c>
      <c r="S29">
        <v>0</v>
      </c>
      <c r="T29" t="s">
        <v>31</v>
      </c>
    </row>
    <row r="30" spans="1:20" x14ac:dyDescent="0.3">
      <c r="A30">
        <v>193</v>
      </c>
      <c r="B30" t="s">
        <v>110</v>
      </c>
      <c r="C30" t="s">
        <v>30</v>
      </c>
      <c r="D30" t="s">
        <v>31</v>
      </c>
      <c r="E30" t="s">
        <v>32</v>
      </c>
      <c r="F30" s="2">
        <v>44742</v>
      </c>
      <c r="G30">
        <v>2022</v>
      </c>
      <c r="H30" t="s">
        <v>33</v>
      </c>
      <c r="I30" t="s">
        <v>34</v>
      </c>
      <c r="J30">
        <v>1</v>
      </c>
      <c r="K30">
        <v>76</v>
      </c>
      <c r="L30">
        <v>91.8</v>
      </c>
      <c r="M30">
        <v>1.2078947368421049</v>
      </c>
      <c r="N30">
        <v>1.2078947368421049</v>
      </c>
      <c r="O30" t="s">
        <v>58</v>
      </c>
      <c r="P30" t="s">
        <v>58</v>
      </c>
      <c r="Q30" t="s">
        <v>111</v>
      </c>
      <c r="R30">
        <v>1</v>
      </c>
      <c r="S30">
        <v>1</v>
      </c>
      <c r="T30" t="s">
        <v>31</v>
      </c>
    </row>
    <row r="31" spans="1:20" x14ac:dyDescent="0.3">
      <c r="A31">
        <v>193</v>
      </c>
      <c r="B31" t="s">
        <v>110</v>
      </c>
      <c r="C31" t="s">
        <v>30</v>
      </c>
      <c r="D31" t="s">
        <v>31</v>
      </c>
      <c r="E31" t="s">
        <v>32</v>
      </c>
      <c r="F31" s="2">
        <v>44926</v>
      </c>
      <c r="G31">
        <v>2022</v>
      </c>
      <c r="H31" t="s">
        <v>44</v>
      </c>
      <c r="I31" t="s">
        <v>45</v>
      </c>
      <c r="J31">
        <v>2</v>
      </c>
      <c r="K31">
        <v>76</v>
      </c>
      <c r="L31">
        <v>92.4</v>
      </c>
      <c r="M31">
        <v>1.215789473684211</v>
      </c>
      <c r="N31">
        <v>1.215789473684211</v>
      </c>
      <c r="O31" t="s">
        <v>58</v>
      </c>
      <c r="P31" t="s">
        <v>58</v>
      </c>
      <c r="Q31" t="s">
        <v>116</v>
      </c>
      <c r="R31">
        <v>1</v>
      </c>
      <c r="S31">
        <v>1</v>
      </c>
      <c r="T31" t="s">
        <v>31</v>
      </c>
    </row>
    <row r="32" spans="1:20" x14ac:dyDescent="0.3">
      <c r="A32">
        <v>193</v>
      </c>
      <c r="B32" t="s">
        <v>110</v>
      </c>
      <c r="C32" t="s">
        <v>30</v>
      </c>
      <c r="D32" t="s">
        <v>31</v>
      </c>
      <c r="E32" t="s">
        <v>32</v>
      </c>
      <c r="F32" s="2">
        <v>45107</v>
      </c>
      <c r="G32">
        <v>2023</v>
      </c>
      <c r="H32" t="s">
        <v>33</v>
      </c>
      <c r="I32" t="s">
        <v>47</v>
      </c>
      <c r="J32">
        <v>1</v>
      </c>
      <c r="K32">
        <v>92</v>
      </c>
      <c r="L32">
        <v>91.9</v>
      </c>
      <c r="M32">
        <v>0.99891304347826093</v>
      </c>
      <c r="N32">
        <v>0.99891304347826093</v>
      </c>
      <c r="O32" t="s">
        <v>58</v>
      </c>
      <c r="P32" t="s">
        <v>58</v>
      </c>
      <c r="Q32" t="s">
        <v>117</v>
      </c>
      <c r="R32">
        <v>1</v>
      </c>
      <c r="S32">
        <v>1</v>
      </c>
      <c r="T32" t="s">
        <v>31</v>
      </c>
    </row>
    <row r="33" spans="1:20" x14ac:dyDescent="0.3">
      <c r="A33">
        <v>193</v>
      </c>
      <c r="B33" t="s">
        <v>110</v>
      </c>
      <c r="C33" t="s">
        <v>30</v>
      </c>
      <c r="D33" t="s">
        <v>31</v>
      </c>
      <c r="E33" t="s">
        <v>32</v>
      </c>
      <c r="F33" s="2">
        <v>45291</v>
      </c>
      <c r="G33">
        <v>2023</v>
      </c>
      <c r="H33" t="s">
        <v>44</v>
      </c>
      <c r="I33" t="s">
        <v>49</v>
      </c>
      <c r="J33">
        <v>2</v>
      </c>
      <c r="K33">
        <v>92</v>
      </c>
      <c r="L33">
        <v>91.3</v>
      </c>
      <c r="M33">
        <v>0.99239130434782608</v>
      </c>
      <c r="N33">
        <v>0.99239130434782608</v>
      </c>
      <c r="O33" t="s">
        <v>58</v>
      </c>
      <c r="P33" t="s">
        <v>58</v>
      </c>
      <c r="Q33" t="s">
        <v>118</v>
      </c>
      <c r="R33">
        <v>1</v>
      </c>
      <c r="S33">
        <v>1</v>
      </c>
      <c r="T33" t="s">
        <v>31</v>
      </c>
    </row>
    <row r="34" spans="1:20" x14ac:dyDescent="0.3">
      <c r="A34">
        <v>193</v>
      </c>
      <c r="B34" t="s">
        <v>110</v>
      </c>
      <c r="C34" t="s">
        <v>30</v>
      </c>
      <c r="D34" t="s">
        <v>31</v>
      </c>
      <c r="E34" t="s">
        <v>32</v>
      </c>
      <c r="F34" s="2">
        <v>45473</v>
      </c>
      <c r="G34">
        <v>2024</v>
      </c>
      <c r="H34" t="s">
        <v>33</v>
      </c>
      <c r="I34" t="s">
        <v>51</v>
      </c>
      <c r="J34">
        <v>1</v>
      </c>
      <c r="K34">
        <v>90</v>
      </c>
      <c r="L34">
        <v>91.7</v>
      </c>
      <c r="M34">
        <v>1.018888888888889</v>
      </c>
      <c r="N34">
        <v>1.018888888888889</v>
      </c>
      <c r="O34" t="s">
        <v>58</v>
      </c>
      <c r="P34" t="s">
        <v>58</v>
      </c>
      <c r="Q34" t="s">
        <v>119</v>
      </c>
      <c r="R34">
        <v>1</v>
      </c>
      <c r="S34">
        <v>1</v>
      </c>
      <c r="T34" t="s">
        <v>31</v>
      </c>
    </row>
    <row r="35" spans="1:20" x14ac:dyDescent="0.3">
      <c r="A35">
        <v>193</v>
      </c>
      <c r="B35" t="s">
        <v>110</v>
      </c>
      <c r="C35" t="s">
        <v>30</v>
      </c>
      <c r="D35" t="s">
        <v>31</v>
      </c>
      <c r="E35" t="s">
        <v>32</v>
      </c>
      <c r="F35" s="2">
        <v>45657</v>
      </c>
      <c r="G35">
        <v>2024</v>
      </c>
      <c r="H35" t="s">
        <v>44</v>
      </c>
      <c r="I35" t="s">
        <v>53</v>
      </c>
      <c r="J35">
        <v>2</v>
      </c>
      <c r="K35">
        <v>90</v>
      </c>
      <c r="L35">
        <v>93.5</v>
      </c>
      <c r="M35">
        <v>1.038888888888889</v>
      </c>
      <c r="N35">
        <v>1.038888888888889</v>
      </c>
      <c r="Q35" t="s">
        <v>120</v>
      </c>
      <c r="R35">
        <v>0</v>
      </c>
      <c r="S35">
        <v>0</v>
      </c>
      <c r="T35" t="s">
        <v>31</v>
      </c>
    </row>
    <row r="36" spans="1:20" x14ac:dyDescent="0.3">
      <c r="A36">
        <v>194</v>
      </c>
      <c r="B36" t="s">
        <v>121</v>
      </c>
      <c r="C36" t="s">
        <v>30</v>
      </c>
      <c r="D36" t="s">
        <v>31</v>
      </c>
      <c r="E36" t="s">
        <v>32</v>
      </c>
      <c r="F36" s="2">
        <v>44742</v>
      </c>
      <c r="G36">
        <v>2022</v>
      </c>
      <c r="H36" t="s">
        <v>33</v>
      </c>
      <c r="I36" t="s">
        <v>34</v>
      </c>
      <c r="J36">
        <v>1</v>
      </c>
      <c r="K36">
        <v>73</v>
      </c>
      <c r="L36">
        <v>83.26</v>
      </c>
      <c r="M36">
        <v>1.140547945205479</v>
      </c>
      <c r="N36">
        <v>1.140547945205479</v>
      </c>
      <c r="O36" t="s">
        <v>58</v>
      </c>
      <c r="P36" t="s">
        <v>58</v>
      </c>
      <c r="Q36" t="s">
        <v>122</v>
      </c>
      <c r="R36">
        <v>0</v>
      </c>
      <c r="S36">
        <v>0</v>
      </c>
      <c r="T36" t="s">
        <v>31</v>
      </c>
    </row>
    <row r="37" spans="1:20" x14ac:dyDescent="0.3">
      <c r="A37">
        <v>194</v>
      </c>
      <c r="B37" t="s">
        <v>121</v>
      </c>
      <c r="C37" t="s">
        <v>30</v>
      </c>
      <c r="D37" t="s">
        <v>31</v>
      </c>
      <c r="E37" t="s">
        <v>32</v>
      </c>
      <c r="F37" s="2">
        <v>44926</v>
      </c>
      <c r="G37">
        <v>2022</v>
      </c>
      <c r="H37" t="s">
        <v>44</v>
      </c>
      <c r="I37" t="s">
        <v>45</v>
      </c>
      <c r="J37">
        <v>2</v>
      </c>
      <c r="K37">
        <v>73</v>
      </c>
      <c r="L37">
        <v>83.11</v>
      </c>
      <c r="M37">
        <v>1.138493150684931</v>
      </c>
      <c r="N37">
        <v>1.138493150684931</v>
      </c>
      <c r="O37" t="s">
        <v>58</v>
      </c>
      <c r="P37" t="s">
        <v>58</v>
      </c>
      <c r="Q37" t="s">
        <v>125</v>
      </c>
      <c r="R37">
        <v>0</v>
      </c>
      <c r="S37">
        <v>0</v>
      </c>
      <c r="T37" t="s">
        <v>31</v>
      </c>
    </row>
    <row r="38" spans="1:20" x14ac:dyDescent="0.3">
      <c r="A38">
        <v>194</v>
      </c>
      <c r="B38" t="s">
        <v>121</v>
      </c>
      <c r="C38" t="s">
        <v>30</v>
      </c>
      <c r="D38" t="s">
        <v>31</v>
      </c>
      <c r="E38" t="s">
        <v>32</v>
      </c>
      <c r="F38" s="2">
        <v>45107</v>
      </c>
      <c r="G38">
        <v>2023</v>
      </c>
      <c r="H38" t="s">
        <v>33</v>
      </c>
      <c r="I38" t="s">
        <v>47</v>
      </c>
      <c r="J38">
        <v>1</v>
      </c>
      <c r="K38">
        <v>80</v>
      </c>
      <c r="L38">
        <v>79.180000000000007</v>
      </c>
      <c r="M38">
        <v>0.98975000000000013</v>
      </c>
      <c r="N38">
        <v>0.98975000000000013</v>
      </c>
      <c r="O38" t="s">
        <v>58</v>
      </c>
      <c r="P38" t="s">
        <v>58</v>
      </c>
      <c r="Q38" t="s">
        <v>126</v>
      </c>
      <c r="R38">
        <v>0</v>
      </c>
      <c r="S38">
        <v>0</v>
      </c>
      <c r="T38" t="s">
        <v>31</v>
      </c>
    </row>
    <row r="39" spans="1:20" x14ac:dyDescent="0.3">
      <c r="A39">
        <v>194</v>
      </c>
      <c r="B39" t="s">
        <v>121</v>
      </c>
      <c r="C39" t="s">
        <v>30</v>
      </c>
      <c r="D39" t="s">
        <v>31</v>
      </c>
      <c r="E39" t="s">
        <v>32</v>
      </c>
      <c r="F39" s="2">
        <v>45291</v>
      </c>
      <c r="G39">
        <v>2023</v>
      </c>
      <c r="H39" t="s">
        <v>44</v>
      </c>
      <c r="I39" t="s">
        <v>49</v>
      </c>
      <c r="J39">
        <v>2</v>
      </c>
      <c r="K39">
        <v>80</v>
      </c>
      <c r="L39">
        <v>81.91</v>
      </c>
      <c r="M39">
        <v>1.0238750000000001</v>
      </c>
      <c r="N39">
        <v>1.0238750000000001</v>
      </c>
      <c r="O39" t="s">
        <v>58</v>
      </c>
      <c r="P39" t="s">
        <v>58</v>
      </c>
      <c r="Q39" t="s">
        <v>127</v>
      </c>
      <c r="R39">
        <v>0</v>
      </c>
      <c r="S39">
        <v>0</v>
      </c>
      <c r="T39" t="s">
        <v>31</v>
      </c>
    </row>
    <row r="40" spans="1:20" x14ac:dyDescent="0.3">
      <c r="A40">
        <v>194</v>
      </c>
      <c r="B40" t="s">
        <v>121</v>
      </c>
      <c r="C40" t="s">
        <v>30</v>
      </c>
      <c r="D40" t="s">
        <v>31</v>
      </c>
      <c r="E40" t="s">
        <v>32</v>
      </c>
      <c r="F40" s="2">
        <v>45473</v>
      </c>
      <c r="G40">
        <v>2024</v>
      </c>
      <c r="H40" t="s">
        <v>33</v>
      </c>
      <c r="I40" t="s">
        <v>51</v>
      </c>
      <c r="J40">
        <v>1</v>
      </c>
      <c r="K40">
        <v>81</v>
      </c>
      <c r="L40">
        <v>83.01</v>
      </c>
      <c r="M40">
        <v>1.0248148148148151</v>
      </c>
      <c r="N40">
        <v>1.0248148148148151</v>
      </c>
      <c r="O40" t="s">
        <v>58</v>
      </c>
      <c r="P40" t="s">
        <v>58</v>
      </c>
      <c r="Q40" t="s">
        <v>128</v>
      </c>
      <c r="R40">
        <v>0</v>
      </c>
      <c r="S40">
        <v>0</v>
      </c>
      <c r="T40" t="s">
        <v>31</v>
      </c>
    </row>
    <row r="41" spans="1:20" x14ac:dyDescent="0.3">
      <c r="A41">
        <v>200</v>
      </c>
      <c r="B41" t="s">
        <v>129</v>
      </c>
      <c r="C41" t="s">
        <v>130</v>
      </c>
      <c r="D41" t="s">
        <v>66</v>
      </c>
      <c r="E41" t="s">
        <v>32</v>
      </c>
      <c r="F41" s="2">
        <v>45291</v>
      </c>
      <c r="G41">
        <v>2023</v>
      </c>
      <c r="H41" t="s">
        <v>44</v>
      </c>
      <c r="I41" t="s">
        <v>49</v>
      </c>
      <c r="J41">
        <v>2</v>
      </c>
      <c r="L41">
        <v>90</v>
      </c>
      <c r="O41" t="s">
        <v>131</v>
      </c>
      <c r="P41" t="s">
        <v>58</v>
      </c>
      <c r="Q41" t="s">
        <v>132</v>
      </c>
      <c r="R41">
        <v>0</v>
      </c>
      <c r="S41">
        <v>0</v>
      </c>
      <c r="T41" t="s">
        <v>31</v>
      </c>
    </row>
    <row r="42" spans="1:20" x14ac:dyDescent="0.3">
      <c r="A42">
        <v>200</v>
      </c>
      <c r="B42" t="s">
        <v>129</v>
      </c>
      <c r="C42" t="s">
        <v>130</v>
      </c>
      <c r="D42" t="s">
        <v>66</v>
      </c>
      <c r="E42" t="s">
        <v>32</v>
      </c>
      <c r="F42" s="2">
        <v>45657</v>
      </c>
      <c r="G42">
        <v>2024</v>
      </c>
      <c r="H42" t="s">
        <v>44</v>
      </c>
      <c r="I42" t="s">
        <v>53</v>
      </c>
      <c r="J42">
        <v>2</v>
      </c>
      <c r="K42">
        <v>80</v>
      </c>
      <c r="L42">
        <v>87.4</v>
      </c>
      <c r="M42">
        <v>1.0925</v>
      </c>
      <c r="N42">
        <v>1.0925</v>
      </c>
      <c r="Q42" t="s">
        <v>136</v>
      </c>
      <c r="R42">
        <v>0</v>
      </c>
      <c r="S42">
        <v>0</v>
      </c>
      <c r="T42" t="s">
        <v>31</v>
      </c>
    </row>
    <row r="43" spans="1:20" x14ac:dyDescent="0.3">
      <c r="A43">
        <v>202</v>
      </c>
      <c r="B43" t="s">
        <v>137</v>
      </c>
      <c r="C43" t="s">
        <v>130</v>
      </c>
      <c r="D43" t="s">
        <v>66</v>
      </c>
      <c r="E43" t="s">
        <v>32</v>
      </c>
      <c r="F43" s="2">
        <v>45291</v>
      </c>
      <c r="G43">
        <v>2023</v>
      </c>
      <c r="H43" t="s">
        <v>44</v>
      </c>
      <c r="I43" t="s">
        <v>49</v>
      </c>
      <c r="J43">
        <v>2</v>
      </c>
      <c r="K43">
        <v>66</v>
      </c>
      <c r="L43">
        <v>64.7</v>
      </c>
      <c r="M43">
        <v>0.98030303030303034</v>
      </c>
      <c r="N43">
        <v>0.98030303030303034</v>
      </c>
      <c r="Q43" t="s">
        <v>138</v>
      </c>
      <c r="R43">
        <v>1</v>
      </c>
      <c r="S43">
        <v>1</v>
      </c>
      <c r="T43" t="s">
        <v>31</v>
      </c>
    </row>
    <row r="44" spans="1:20" x14ac:dyDescent="0.3">
      <c r="A44">
        <v>202</v>
      </c>
      <c r="B44" t="s">
        <v>137</v>
      </c>
      <c r="C44" t="s">
        <v>130</v>
      </c>
      <c r="D44" t="s">
        <v>66</v>
      </c>
      <c r="E44" t="s">
        <v>32</v>
      </c>
      <c r="F44" s="2">
        <v>45657</v>
      </c>
      <c r="G44">
        <v>2024</v>
      </c>
      <c r="H44" t="s">
        <v>44</v>
      </c>
      <c r="I44" t="s">
        <v>53</v>
      </c>
      <c r="J44">
        <v>2</v>
      </c>
      <c r="K44">
        <v>0</v>
      </c>
      <c r="O44" t="s">
        <v>35</v>
      </c>
      <c r="Q44" t="s">
        <v>140</v>
      </c>
      <c r="R44">
        <v>0</v>
      </c>
      <c r="S44">
        <v>0</v>
      </c>
      <c r="T44" t="s">
        <v>31</v>
      </c>
    </row>
    <row r="45" spans="1:20" x14ac:dyDescent="0.3">
      <c r="A45">
        <v>203</v>
      </c>
      <c r="B45" t="s">
        <v>141</v>
      </c>
      <c r="C45" t="s">
        <v>142</v>
      </c>
      <c r="D45" t="s">
        <v>31</v>
      </c>
      <c r="E45" t="s">
        <v>32</v>
      </c>
      <c r="F45" s="2">
        <v>44742</v>
      </c>
      <c r="G45">
        <v>2022</v>
      </c>
      <c r="H45" t="s">
        <v>33</v>
      </c>
      <c r="I45" t="s">
        <v>34</v>
      </c>
      <c r="J45">
        <v>1</v>
      </c>
      <c r="K45">
        <v>113672</v>
      </c>
      <c r="L45">
        <v>119144</v>
      </c>
      <c r="M45">
        <v>1.0481385037652191</v>
      </c>
      <c r="N45">
        <v>1.0481385037652191</v>
      </c>
      <c r="O45" t="s">
        <v>143</v>
      </c>
      <c r="P45" t="s">
        <v>143</v>
      </c>
      <c r="Q45" t="s">
        <v>144</v>
      </c>
      <c r="R45">
        <v>0</v>
      </c>
      <c r="S45">
        <v>0</v>
      </c>
      <c r="T45" t="s">
        <v>31</v>
      </c>
    </row>
    <row r="46" spans="1:20" x14ac:dyDescent="0.3">
      <c r="A46">
        <v>203</v>
      </c>
      <c r="B46" t="s">
        <v>141</v>
      </c>
      <c r="C46" t="s">
        <v>142</v>
      </c>
      <c r="D46" t="s">
        <v>31</v>
      </c>
      <c r="E46" t="s">
        <v>32</v>
      </c>
      <c r="F46" s="2">
        <v>44926</v>
      </c>
      <c r="G46">
        <v>2022</v>
      </c>
      <c r="H46" t="s">
        <v>44</v>
      </c>
      <c r="I46" t="s">
        <v>45</v>
      </c>
      <c r="J46">
        <v>2</v>
      </c>
      <c r="K46">
        <v>110768</v>
      </c>
      <c r="L46">
        <v>121738</v>
      </c>
      <c r="M46">
        <v>1.099035822620251</v>
      </c>
      <c r="N46">
        <v>1.099035822620251</v>
      </c>
      <c r="O46" t="s">
        <v>143</v>
      </c>
      <c r="P46" t="s">
        <v>143</v>
      </c>
      <c r="Q46" t="s">
        <v>149</v>
      </c>
      <c r="R46">
        <v>0</v>
      </c>
      <c r="S46">
        <v>0</v>
      </c>
      <c r="T46" t="s">
        <v>31</v>
      </c>
    </row>
    <row r="47" spans="1:20" x14ac:dyDescent="0.3">
      <c r="A47">
        <v>203</v>
      </c>
      <c r="B47" t="s">
        <v>141</v>
      </c>
      <c r="C47" t="s">
        <v>142</v>
      </c>
      <c r="D47" t="s">
        <v>31</v>
      </c>
      <c r="E47" t="s">
        <v>32</v>
      </c>
      <c r="F47" s="2">
        <v>45107</v>
      </c>
      <c r="G47">
        <v>2023</v>
      </c>
      <c r="H47" t="s">
        <v>33</v>
      </c>
      <c r="I47" t="s">
        <v>47</v>
      </c>
      <c r="J47">
        <v>1</v>
      </c>
      <c r="K47">
        <v>123465.69985999999</v>
      </c>
      <c r="L47">
        <v>129185.069909</v>
      </c>
      <c r="M47">
        <v>1.046323554278519</v>
      </c>
      <c r="N47">
        <v>1.046323554278519</v>
      </c>
      <c r="O47" t="s">
        <v>143</v>
      </c>
      <c r="P47" t="s">
        <v>143</v>
      </c>
      <c r="Q47" t="s">
        <v>150</v>
      </c>
      <c r="R47">
        <v>0</v>
      </c>
      <c r="S47">
        <v>0</v>
      </c>
      <c r="T47" t="s">
        <v>31</v>
      </c>
    </row>
    <row r="48" spans="1:20" x14ac:dyDescent="0.3">
      <c r="A48">
        <v>203</v>
      </c>
      <c r="B48" t="s">
        <v>141</v>
      </c>
      <c r="C48" t="s">
        <v>142</v>
      </c>
      <c r="D48" t="s">
        <v>31</v>
      </c>
      <c r="E48" t="s">
        <v>32</v>
      </c>
      <c r="F48" s="2">
        <v>45291</v>
      </c>
      <c r="G48">
        <v>2023</v>
      </c>
      <c r="H48" t="s">
        <v>44</v>
      </c>
      <c r="I48" t="s">
        <v>49</v>
      </c>
      <c r="J48">
        <v>2</v>
      </c>
      <c r="K48">
        <v>141378.739416</v>
      </c>
      <c r="L48">
        <v>144681.981019</v>
      </c>
      <c r="M48">
        <v>1.023364486178366</v>
      </c>
      <c r="N48">
        <v>1.023364486178366</v>
      </c>
      <c r="O48" t="s">
        <v>143</v>
      </c>
      <c r="P48" t="s">
        <v>143</v>
      </c>
      <c r="Q48" t="s">
        <v>151</v>
      </c>
      <c r="R48">
        <v>0</v>
      </c>
      <c r="S48">
        <v>0</v>
      </c>
      <c r="T48" t="s">
        <v>31</v>
      </c>
    </row>
    <row r="49" spans="1:20" x14ac:dyDescent="0.3">
      <c r="A49">
        <v>203</v>
      </c>
      <c r="B49" t="s">
        <v>141</v>
      </c>
      <c r="C49" t="s">
        <v>142</v>
      </c>
      <c r="D49" t="s">
        <v>31</v>
      </c>
      <c r="E49" t="s">
        <v>32</v>
      </c>
      <c r="F49" s="2">
        <v>45473</v>
      </c>
      <c r="G49">
        <v>2024</v>
      </c>
      <c r="H49" t="s">
        <v>33</v>
      </c>
      <c r="I49" t="s">
        <v>51</v>
      </c>
      <c r="J49">
        <v>1</v>
      </c>
      <c r="K49">
        <v>142872.2583337345</v>
      </c>
      <c r="L49">
        <v>145741.54103414001</v>
      </c>
      <c r="M49">
        <v>1.0200828539694751</v>
      </c>
      <c r="N49">
        <v>1.0200828539694751</v>
      </c>
      <c r="O49" t="s">
        <v>143</v>
      </c>
      <c r="P49" t="s">
        <v>143</v>
      </c>
      <c r="Q49" t="s">
        <v>152</v>
      </c>
      <c r="R49">
        <v>0</v>
      </c>
      <c r="S49">
        <v>0</v>
      </c>
      <c r="T49" t="s">
        <v>31</v>
      </c>
    </row>
    <row r="50" spans="1:20" x14ac:dyDescent="0.3">
      <c r="A50">
        <v>203</v>
      </c>
      <c r="B50" t="s">
        <v>141</v>
      </c>
      <c r="C50" t="s">
        <v>142</v>
      </c>
      <c r="D50" t="s">
        <v>31</v>
      </c>
      <c r="E50" t="s">
        <v>32</v>
      </c>
      <c r="F50" s="2">
        <v>45657</v>
      </c>
      <c r="G50">
        <v>2024</v>
      </c>
      <c r="H50" t="s">
        <v>44</v>
      </c>
      <c r="I50" t="s">
        <v>53</v>
      </c>
      <c r="J50">
        <v>2</v>
      </c>
      <c r="K50">
        <v>146766.19433692191</v>
      </c>
      <c r="L50">
        <v>152125.58089486</v>
      </c>
      <c r="M50">
        <v>1.036516491976585</v>
      </c>
      <c r="N50">
        <v>1.036516491976585</v>
      </c>
      <c r="O50" t="s">
        <v>143</v>
      </c>
      <c r="P50" t="s">
        <v>143</v>
      </c>
      <c r="Q50" t="s">
        <v>153</v>
      </c>
      <c r="R50">
        <v>0</v>
      </c>
      <c r="S50">
        <v>0</v>
      </c>
      <c r="T50" t="s">
        <v>31</v>
      </c>
    </row>
    <row r="51" spans="1:20" x14ac:dyDescent="0.3">
      <c r="A51">
        <v>204</v>
      </c>
      <c r="B51" t="s">
        <v>154</v>
      </c>
      <c r="C51" t="s">
        <v>142</v>
      </c>
      <c r="D51" t="s">
        <v>31</v>
      </c>
      <c r="E51" t="s">
        <v>32</v>
      </c>
      <c r="F51" s="2">
        <v>44742</v>
      </c>
      <c r="G51">
        <v>2022</v>
      </c>
      <c r="H51" t="s">
        <v>33</v>
      </c>
      <c r="I51" t="s">
        <v>34</v>
      </c>
      <c r="J51">
        <v>1</v>
      </c>
      <c r="K51">
        <v>58804</v>
      </c>
      <c r="L51">
        <v>37101</v>
      </c>
      <c r="M51">
        <v>0.63092646758723891</v>
      </c>
      <c r="N51">
        <v>0.63092646758723891</v>
      </c>
      <c r="O51" t="s">
        <v>143</v>
      </c>
      <c r="P51" t="s">
        <v>143</v>
      </c>
      <c r="Q51" t="s">
        <v>155</v>
      </c>
      <c r="R51">
        <v>0</v>
      </c>
      <c r="S51">
        <v>0</v>
      </c>
      <c r="T51" t="s">
        <v>31</v>
      </c>
    </row>
    <row r="52" spans="1:20" x14ac:dyDescent="0.3">
      <c r="A52">
        <v>204</v>
      </c>
      <c r="B52" t="s">
        <v>154</v>
      </c>
      <c r="C52" t="s">
        <v>142</v>
      </c>
      <c r="D52" t="s">
        <v>31</v>
      </c>
      <c r="E52" t="s">
        <v>32</v>
      </c>
      <c r="F52" s="2">
        <v>44925</v>
      </c>
      <c r="G52">
        <v>2022</v>
      </c>
      <c r="H52" t="s">
        <v>44</v>
      </c>
      <c r="I52" t="s">
        <v>45</v>
      </c>
      <c r="J52">
        <v>2</v>
      </c>
      <c r="K52">
        <v>82987</v>
      </c>
      <c r="L52">
        <v>18386</v>
      </c>
      <c r="M52">
        <v>0.22155277332594259</v>
      </c>
      <c r="N52">
        <v>0.22155277332594259</v>
      </c>
      <c r="O52" t="s">
        <v>143</v>
      </c>
      <c r="P52" t="s">
        <v>143</v>
      </c>
      <c r="Q52" t="s">
        <v>156</v>
      </c>
      <c r="R52">
        <v>0</v>
      </c>
      <c r="S52">
        <v>0</v>
      </c>
      <c r="T52" t="s">
        <v>31</v>
      </c>
    </row>
    <row r="53" spans="1:20" x14ac:dyDescent="0.3">
      <c r="A53">
        <v>204</v>
      </c>
      <c r="B53" t="s">
        <v>154</v>
      </c>
      <c r="C53" t="s">
        <v>142</v>
      </c>
      <c r="D53" t="s">
        <v>31</v>
      </c>
      <c r="E53" t="s">
        <v>32</v>
      </c>
      <c r="F53" s="2">
        <v>45107</v>
      </c>
      <c r="G53">
        <v>2023</v>
      </c>
      <c r="H53" t="s">
        <v>33</v>
      </c>
      <c r="I53" t="s">
        <v>47</v>
      </c>
      <c r="J53">
        <v>1</v>
      </c>
      <c r="K53">
        <v>8772.7956340000001</v>
      </c>
      <c r="L53">
        <v>17085.606216</v>
      </c>
      <c r="M53">
        <v>1.3</v>
      </c>
      <c r="N53">
        <v>1.9475668793403469</v>
      </c>
      <c r="O53" t="s">
        <v>143</v>
      </c>
      <c r="P53" t="s">
        <v>143</v>
      </c>
      <c r="Q53" t="s">
        <v>157</v>
      </c>
      <c r="R53">
        <v>0</v>
      </c>
      <c r="S53">
        <v>0</v>
      </c>
      <c r="T53" t="s">
        <v>31</v>
      </c>
    </row>
    <row r="54" spans="1:20" x14ac:dyDescent="0.3">
      <c r="A54">
        <v>204</v>
      </c>
      <c r="B54" t="s">
        <v>154</v>
      </c>
      <c r="C54" t="s">
        <v>142</v>
      </c>
      <c r="D54" t="s">
        <v>31</v>
      </c>
      <c r="E54" t="s">
        <v>32</v>
      </c>
      <c r="F54" s="2">
        <v>45291</v>
      </c>
      <c r="G54">
        <v>2023</v>
      </c>
      <c r="H54" t="s">
        <v>44</v>
      </c>
      <c r="I54" t="s">
        <v>49</v>
      </c>
      <c r="J54">
        <v>2</v>
      </c>
      <c r="K54">
        <v>78073.811390316565</v>
      </c>
      <c r="L54">
        <v>123931.15668299999</v>
      </c>
      <c r="M54">
        <v>1.3</v>
      </c>
      <c r="N54">
        <v>1.5873588656179161</v>
      </c>
      <c r="O54" t="s">
        <v>143</v>
      </c>
      <c r="P54" t="s">
        <v>143</v>
      </c>
      <c r="Q54" t="s">
        <v>158</v>
      </c>
      <c r="R54">
        <v>0</v>
      </c>
      <c r="S54">
        <v>0</v>
      </c>
      <c r="T54" t="s">
        <v>31</v>
      </c>
    </row>
    <row r="55" spans="1:20" x14ac:dyDescent="0.3">
      <c r="A55">
        <v>204</v>
      </c>
      <c r="B55" t="s">
        <v>154</v>
      </c>
      <c r="C55" t="s">
        <v>142</v>
      </c>
      <c r="D55" t="s">
        <v>31</v>
      </c>
      <c r="E55" t="s">
        <v>32</v>
      </c>
      <c r="F55" s="2">
        <v>45473</v>
      </c>
      <c r="G55">
        <v>2024</v>
      </c>
      <c r="H55" t="s">
        <v>33</v>
      </c>
      <c r="I55" t="s">
        <v>51</v>
      </c>
      <c r="J55">
        <v>1</v>
      </c>
      <c r="K55">
        <v>20714.519157999999</v>
      </c>
      <c r="L55">
        <v>27665.037063</v>
      </c>
      <c r="M55">
        <v>1.3</v>
      </c>
      <c r="N55">
        <v>1.335538462273004</v>
      </c>
      <c r="O55" t="s">
        <v>143</v>
      </c>
      <c r="P55" t="s">
        <v>143</v>
      </c>
      <c r="Q55" t="s">
        <v>159</v>
      </c>
      <c r="R55">
        <v>0</v>
      </c>
      <c r="S55">
        <v>0</v>
      </c>
      <c r="T55" t="s">
        <v>31</v>
      </c>
    </row>
    <row r="56" spans="1:20" x14ac:dyDescent="0.3">
      <c r="A56">
        <v>204</v>
      </c>
      <c r="B56" t="s">
        <v>154</v>
      </c>
      <c r="C56" t="s">
        <v>142</v>
      </c>
      <c r="D56" t="s">
        <v>31</v>
      </c>
      <c r="E56" t="s">
        <v>32</v>
      </c>
      <c r="F56" s="2">
        <v>45657</v>
      </c>
      <c r="G56">
        <v>2024</v>
      </c>
      <c r="H56" t="s">
        <v>44</v>
      </c>
      <c r="I56" t="s">
        <v>53</v>
      </c>
      <c r="J56">
        <v>2</v>
      </c>
      <c r="K56">
        <v>101459.98229760421</v>
      </c>
      <c r="L56">
        <v>149297.71176100001</v>
      </c>
      <c r="M56">
        <v>1.3</v>
      </c>
      <c r="N56">
        <v>1.335538462273004</v>
      </c>
      <c r="O56" t="s">
        <v>143</v>
      </c>
      <c r="P56" t="s">
        <v>143</v>
      </c>
      <c r="Q56" t="s">
        <v>160</v>
      </c>
      <c r="R56">
        <v>0</v>
      </c>
      <c r="S56">
        <v>0</v>
      </c>
      <c r="T56" t="s">
        <v>31</v>
      </c>
    </row>
    <row r="57" spans="1:20" x14ac:dyDescent="0.3">
      <c r="A57">
        <v>205</v>
      </c>
      <c r="B57" t="s">
        <v>161</v>
      </c>
      <c r="C57" t="s">
        <v>142</v>
      </c>
      <c r="D57" t="s">
        <v>31</v>
      </c>
      <c r="E57" t="s">
        <v>32</v>
      </c>
      <c r="F57" s="2">
        <v>45107</v>
      </c>
      <c r="G57">
        <v>2023</v>
      </c>
      <c r="H57" t="s">
        <v>33</v>
      </c>
      <c r="I57" t="s">
        <v>47</v>
      </c>
      <c r="J57">
        <v>1</v>
      </c>
      <c r="K57">
        <v>2622.5539939999999</v>
      </c>
      <c r="L57">
        <v>4338.4199079999999</v>
      </c>
      <c r="M57">
        <v>1.3</v>
      </c>
      <c r="N57">
        <v>1.654272864515139</v>
      </c>
      <c r="O57" t="s">
        <v>143</v>
      </c>
      <c r="P57" t="s">
        <v>143</v>
      </c>
      <c r="Q57" t="s">
        <v>162</v>
      </c>
      <c r="R57">
        <v>0</v>
      </c>
      <c r="S57">
        <v>0</v>
      </c>
      <c r="T57" t="s">
        <v>31</v>
      </c>
    </row>
    <row r="58" spans="1:20" x14ac:dyDescent="0.3">
      <c r="A58">
        <v>205</v>
      </c>
      <c r="B58" t="s">
        <v>161</v>
      </c>
      <c r="C58" t="s">
        <v>142</v>
      </c>
      <c r="D58" t="s">
        <v>31</v>
      </c>
      <c r="E58" t="s">
        <v>32</v>
      </c>
      <c r="F58" s="2">
        <v>45291</v>
      </c>
      <c r="G58">
        <v>2023</v>
      </c>
      <c r="H58" t="s">
        <v>44</v>
      </c>
      <c r="I58" t="s">
        <v>49</v>
      </c>
      <c r="J58">
        <v>2</v>
      </c>
      <c r="K58">
        <v>2041.786670711695</v>
      </c>
      <c r="L58">
        <v>7345.4747770000004</v>
      </c>
      <c r="M58">
        <v>1.3</v>
      </c>
      <c r="N58">
        <v>3.597572107981108</v>
      </c>
      <c r="O58" t="s">
        <v>143</v>
      </c>
      <c r="P58" t="s">
        <v>143</v>
      </c>
      <c r="Q58" t="s">
        <v>163</v>
      </c>
      <c r="R58">
        <v>0</v>
      </c>
      <c r="S58">
        <v>0</v>
      </c>
      <c r="T58" t="s">
        <v>31</v>
      </c>
    </row>
    <row r="59" spans="1:20" x14ac:dyDescent="0.3">
      <c r="A59">
        <v>205</v>
      </c>
      <c r="B59" t="s">
        <v>161</v>
      </c>
      <c r="C59" t="s">
        <v>142</v>
      </c>
      <c r="D59" t="s">
        <v>31</v>
      </c>
      <c r="E59" t="s">
        <v>32</v>
      </c>
      <c r="F59" s="2">
        <v>45473</v>
      </c>
      <c r="G59">
        <v>2024</v>
      </c>
      <c r="H59" t="s">
        <v>33</v>
      </c>
      <c r="I59" t="s">
        <v>51</v>
      </c>
      <c r="J59">
        <v>1</v>
      </c>
      <c r="K59">
        <v>2039.2370430000001</v>
      </c>
      <c r="L59">
        <v>4385.721681</v>
      </c>
      <c r="M59">
        <v>1.3</v>
      </c>
      <c r="N59">
        <v>2.1506679157553932</v>
      </c>
      <c r="O59" t="s">
        <v>143</v>
      </c>
      <c r="P59" t="s">
        <v>143</v>
      </c>
      <c r="Q59" t="s">
        <v>164</v>
      </c>
      <c r="R59">
        <v>0</v>
      </c>
      <c r="S59">
        <v>0</v>
      </c>
      <c r="T59" t="s">
        <v>31</v>
      </c>
    </row>
    <row r="60" spans="1:20" x14ac:dyDescent="0.3">
      <c r="A60">
        <v>205</v>
      </c>
      <c r="B60" t="s">
        <v>161</v>
      </c>
      <c r="C60" t="s">
        <v>142</v>
      </c>
      <c r="D60" t="s">
        <v>31</v>
      </c>
      <c r="E60" t="s">
        <v>32</v>
      </c>
      <c r="F60" s="2">
        <v>45657</v>
      </c>
      <c r="G60">
        <v>2024</v>
      </c>
      <c r="H60" t="s">
        <v>44</v>
      </c>
      <c r="I60" t="s">
        <v>53</v>
      </c>
      <c r="J60">
        <v>2</v>
      </c>
      <c r="K60">
        <v>2783.2196537144901</v>
      </c>
      <c r="L60">
        <v>5092.3929009999993</v>
      </c>
      <c r="M60">
        <v>1.3</v>
      </c>
      <c r="N60">
        <v>1.829676969334304</v>
      </c>
      <c r="O60" t="s">
        <v>143</v>
      </c>
      <c r="P60" t="s">
        <v>143</v>
      </c>
      <c r="Q60" t="s">
        <v>165</v>
      </c>
      <c r="R60">
        <v>0</v>
      </c>
      <c r="S60">
        <v>0</v>
      </c>
      <c r="T60" t="s">
        <v>31</v>
      </c>
    </row>
    <row r="61" spans="1:20" x14ac:dyDescent="0.3">
      <c r="A61">
        <v>206</v>
      </c>
      <c r="B61" t="s">
        <v>166</v>
      </c>
      <c r="C61" t="s">
        <v>142</v>
      </c>
      <c r="D61" t="s">
        <v>31</v>
      </c>
      <c r="E61" t="s">
        <v>32</v>
      </c>
      <c r="F61" s="2">
        <v>45107</v>
      </c>
      <c r="G61">
        <v>2023</v>
      </c>
      <c r="H61" t="s">
        <v>33</v>
      </c>
      <c r="I61" t="s">
        <v>47</v>
      </c>
      <c r="J61">
        <v>1</v>
      </c>
      <c r="K61">
        <v>1302.483921</v>
      </c>
      <c r="L61">
        <v>1606.86814</v>
      </c>
      <c r="M61">
        <v>1.2336951835584311</v>
      </c>
      <c r="N61">
        <v>1.2336951835584311</v>
      </c>
      <c r="O61" t="s">
        <v>143</v>
      </c>
      <c r="P61" t="s">
        <v>143</v>
      </c>
      <c r="Q61" t="s">
        <v>167</v>
      </c>
      <c r="R61">
        <v>0</v>
      </c>
      <c r="S61">
        <v>0</v>
      </c>
      <c r="T61" t="s">
        <v>31</v>
      </c>
    </row>
    <row r="62" spans="1:20" x14ac:dyDescent="0.3">
      <c r="A62">
        <v>206</v>
      </c>
      <c r="B62" t="s">
        <v>166</v>
      </c>
      <c r="C62" t="s">
        <v>142</v>
      </c>
      <c r="D62" t="s">
        <v>31</v>
      </c>
      <c r="E62" t="s">
        <v>32</v>
      </c>
      <c r="F62" s="2">
        <v>45291</v>
      </c>
      <c r="G62">
        <v>2023</v>
      </c>
      <c r="H62" t="s">
        <v>44</v>
      </c>
      <c r="I62" t="s">
        <v>49</v>
      </c>
      <c r="J62">
        <v>2</v>
      </c>
      <c r="K62">
        <v>1302.483921</v>
      </c>
      <c r="L62">
        <v>6000.2702790000003</v>
      </c>
      <c r="M62">
        <v>4.6067902891217347</v>
      </c>
      <c r="N62">
        <v>4.6067902891217347</v>
      </c>
      <c r="O62" t="s">
        <v>143</v>
      </c>
      <c r="P62" t="s">
        <v>143</v>
      </c>
      <c r="Q62" t="s">
        <v>168</v>
      </c>
      <c r="R62">
        <v>0</v>
      </c>
      <c r="S62">
        <v>0</v>
      </c>
      <c r="T62" t="s">
        <v>31</v>
      </c>
    </row>
    <row r="63" spans="1:20" x14ac:dyDescent="0.3">
      <c r="A63">
        <v>206</v>
      </c>
      <c r="B63" t="s">
        <v>166</v>
      </c>
      <c r="C63" t="s">
        <v>142</v>
      </c>
      <c r="D63" t="s">
        <v>31</v>
      </c>
      <c r="E63" t="s">
        <v>32</v>
      </c>
      <c r="F63" s="2">
        <v>45657</v>
      </c>
      <c r="G63">
        <v>2024</v>
      </c>
      <c r="H63" t="s">
        <v>44</v>
      </c>
      <c r="I63" t="s">
        <v>53</v>
      </c>
      <c r="J63">
        <v>2</v>
      </c>
      <c r="O63" t="s">
        <v>143</v>
      </c>
      <c r="P63" t="s">
        <v>143</v>
      </c>
      <c r="Q63" t="s">
        <v>169</v>
      </c>
      <c r="R63">
        <v>0</v>
      </c>
      <c r="S63">
        <v>0</v>
      </c>
      <c r="T63" t="s">
        <v>31</v>
      </c>
    </row>
    <row r="64" spans="1:20" x14ac:dyDescent="0.3">
      <c r="A64">
        <v>207</v>
      </c>
      <c r="B64" t="s">
        <v>170</v>
      </c>
      <c r="C64" t="s">
        <v>142</v>
      </c>
      <c r="D64" t="s">
        <v>31</v>
      </c>
      <c r="E64" t="s">
        <v>171</v>
      </c>
      <c r="F64" s="2">
        <v>45107</v>
      </c>
      <c r="G64">
        <v>2023</v>
      </c>
      <c r="H64" t="s">
        <v>33</v>
      </c>
      <c r="I64" t="s">
        <v>47</v>
      </c>
      <c r="J64">
        <v>1</v>
      </c>
      <c r="K64">
        <v>114640.77968199999</v>
      </c>
      <c r="L64">
        <v>116015.126638</v>
      </c>
      <c r="M64">
        <v>0.98815372619220287</v>
      </c>
      <c r="N64">
        <v>0.98815372619220287</v>
      </c>
      <c r="O64" t="s">
        <v>143</v>
      </c>
      <c r="P64" t="s">
        <v>143</v>
      </c>
      <c r="Q64" t="s">
        <v>172</v>
      </c>
      <c r="R64">
        <v>0</v>
      </c>
      <c r="S64">
        <v>0</v>
      </c>
      <c r="T64" t="s">
        <v>31</v>
      </c>
    </row>
    <row r="65" spans="1:20" x14ac:dyDescent="0.3">
      <c r="A65">
        <v>207</v>
      </c>
      <c r="B65" t="s">
        <v>170</v>
      </c>
      <c r="C65" t="s">
        <v>142</v>
      </c>
      <c r="D65" t="s">
        <v>31</v>
      </c>
      <c r="E65" t="s">
        <v>171</v>
      </c>
      <c r="F65" s="2">
        <v>45291</v>
      </c>
      <c r="G65">
        <v>2023</v>
      </c>
      <c r="H65" t="s">
        <v>44</v>
      </c>
      <c r="I65" t="s">
        <v>49</v>
      </c>
      <c r="J65">
        <v>2</v>
      </c>
      <c r="K65">
        <v>238770.96657245801</v>
      </c>
      <c r="L65">
        <v>247359.733075</v>
      </c>
      <c r="M65">
        <v>0.96527823507984689</v>
      </c>
      <c r="N65">
        <v>0.96527823507984689</v>
      </c>
      <c r="O65" t="s">
        <v>143</v>
      </c>
      <c r="P65" t="s">
        <v>143</v>
      </c>
      <c r="Q65" t="s">
        <v>173</v>
      </c>
      <c r="R65">
        <v>0</v>
      </c>
      <c r="S65">
        <v>0</v>
      </c>
      <c r="T65" t="s">
        <v>31</v>
      </c>
    </row>
    <row r="66" spans="1:20" x14ac:dyDescent="0.3">
      <c r="A66">
        <v>207</v>
      </c>
      <c r="B66" t="s">
        <v>170</v>
      </c>
      <c r="C66" t="s">
        <v>142</v>
      </c>
      <c r="D66" t="s">
        <v>31</v>
      </c>
      <c r="E66" t="s">
        <v>171</v>
      </c>
      <c r="F66" s="2">
        <v>45473</v>
      </c>
      <c r="G66">
        <v>2024</v>
      </c>
      <c r="H66" t="s">
        <v>33</v>
      </c>
      <c r="I66" t="s">
        <v>51</v>
      </c>
      <c r="J66">
        <v>1</v>
      </c>
      <c r="K66">
        <v>128735.29679399999</v>
      </c>
      <c r="L66">
        <v>131039.3223</v>
      </c>
      <c r="M66">
        <v>1.017897387611471</v>
      </c>
      <c r="N66">
        <v>1.017897387611471</v>
      </c>
      <c r="O66" t="s">
        <v>143</v>
      </c>
      <c r="P66" t="s">
        <v>143</v>
      </c>
      <c r="Q66" t="s">
        <v>174</v>
      </c>
      <c r="R66">
        <v>0</v>
      </c>
      <c r="S66">
        <v>0</v>
      </c>
      <c r="T66" t="s">
        <v>31</v>
      </c>
    </row>
    <row r="67" spans="1:20" x14ac:dyDescent="0.3">
      <c r="A67">
        <v>207</v>
      </c>
      <c r="B67" t="s">
        <v>170</v>
      </c>
      <c r="C67" t="s">
        <v>142</v>
      </c>
      <c r="D67" t="s">
        <v>31</v>
      </c>
      <c r="E67" t="s">
        <v>171</v>
      </c>
      <c r="F67" s="2">
        <v>45657</v>
      </c>
      <c r="G67">
        <v>2024</v>
      </c>
      <c r="H67" t="s">
        <v>44</v>
      </c>
      <c r="I67" t="s">
        <v>53</v>
      </c>
      <c r="J67">
        <v>2</v>
      </c>
      <c r="K67">
        <v>262628.34438982193</v>
      </c>
      <c r="L67">
        <v>268399.19981700002</v>
      </c>
      <c r="M67">
        <v>1.017897387611471</v>
      </c>
      <c r="N67">
        <v>1.017897387611471</v>
      </c>
      <c r="O67" t="s">
        <v>143</v>
      </c>
      <c r="P67" t="s">
        <v>143</v>
      </c>
      <c r="Q67" t="s">
        <v>175</v>
      </c>
      <c r="R67">
        <v>0</v>
      </c>
      <c r="S67">
        <v>0</v>
      </c>
      <c r="T67" t="s">
        <v>31</v>
      </c>
    </row>
    <row r="68" spans="1:20" x14ac:dyDescent="0.3">
      <c r="A68">
        <v>228</v>
      </c>
      <c r="B68" t="s">
        <v>176</v>
      </c>
      <c r="C68" t="s">
        <v>177</v>
      </c>
      <c r="D68" t="s">
        <v>66</v>
      </c>
      <c r="E68" t="s">
        <v>32</v>
      </c>
      <c r="F68" s="2">
        <v>44926</v>
      </c>
      <c r="G68">
        <v>2022</v>
      </c>
      <c r="H68" t="s">
        <v>44</v>
      </c>
      <c r="I68" t="s">
        <v>45</v>
      </c>
      <c r="J68">
        <v>2</v>
      </c>
      <c r="K68">
        <v>100</v>
      </c>
      <c r="L68">
        <v>100.11</v>
      </c>
      <c r="M68">
        <v>1.0011000000000001</v>
      </c>
      <c r="N68">
        <v>1.0011000000000001</v>
      </c>
      <c r="Q68" t="s">
        <v>178</v>
      </c>
      <c r="R68">
        <v>1</v>
      </c>
      <c r="S68">
        <v>1</v>
      </c>
      <c r="T68" t="s">
        <v>31</v>
      </c>
    </row>
    <row r="69" spans="1:20" x14ac:dyDescent="0.3">
      <c r="A69">
        <v>228</v>
      </c>
      <c r="B69" t="s">
        <v>176</v>
      </c>
      <c r="C69" t="s">
        <v>177</v>
      </c>
      <c r="D69" t="s">
        <v>66</v>
      </c>
      <c r="E69" t="s">
        <v>32</v>
      </c>
      <c r="F69" s="2">
        <v>45657</v>
      </c>
      <c r="G69">
        <v>2024</v>
      </c>
      <c r="H69" t="s">
        <v>44</v>
      </c>
      <c r="I69" t="s">
        <v>53</v>
      </c>
      <c r="J69">
        <v>2</v>
      </c>
      <c r="Q69" t="s">
        <v>181</v>
      </c>
      <c r="R69">
        <v>0</v>
      </c>
      <c r="S69">
        <v>0</v>
      </c>
      <c r="T69" t="s">
        <v>31</v>
      </c>
    </row>
    <row r="70" spans="1:20" x14ac:dyDescent="0.3">
      <c r="A70">
        <v>244</v>
      </c>
      <c r="B70" t="s">
        <v>182</v>
      </c>
      <c r="C70" t="s">
        <v>177</v>
      </c>
      <c r="D70" t="s">
        <v>66</v>
      </c>
      <c r="E70" t="s">
        <v>171</v>
      </c>
      <c r="F70" s="2">
        <v>45291</v>
      </c>
      <c r="G70">
        <v>2023</v>
      </c>
      <c r="H70" t="s">
        <v>44</v>
      </c>
      <c r="I70" t="s">
        <v>49</v>
      </c>
      <c r="J70">
        <v>2</v>
      </c>
      <c r="K70">
        <v>25</v>
      </c>
      <c r="L70">
        <v>24</v>
      </c>
      <c r="M70">
        <v>1.041666666666667</v>
      </c>
      <c r="N70">
        <v>1.041666666666667</v>
      </c>
      <c r="Q70" t="s">
        <v>183</v>
      </c>
      <c r="R70">
        <v>0</v>
      </c>
      <c r="S70">
        <v>0</v>
      </c>
      <c r="T70" t="s">
        <v>31</v>
      </c>
    </row>
    <row r="71" spans="1:20" x14ac:dyDescent="0.3">
      <c r="A71">
        <v>244</v>
      </c>
      <c r="B71" t="s">
        <v>182</v>
      </c>
      <c r="C71" t="s">
        <v>177</v>
      </c>
      <c r="D71" t="s">
        <v>66</v>
      </c>
      <c r="E71" t="s">
        <v>171</v>
      </c>
      <c r="F71" s="2">
        <v>45657</v>
      </c>
      <c r="G71">
        <v>2024</v>
      </c>
      <c r="H71" t="s">
        <v>44</v>
      </c>
      <c r="I71" t="s">
        <v>53</v>
      </c>
      <c r="J71">
        <v>2</v>
      </c>
      <c r="K71">
        <v>25</v>
      </c>
      <c r="L71">
        <v>25</v>
      </c>
      <c r="M71">
        <v>1</v>
      </c>
      <c r="N71">
        <v>1</v>
      </c>
      <c r="Q71" t="s">
        <v>184</v>
      </c>
      <c r="R71">
        <v>0</v>
      </c>
      <c r="S71">
        <v>0</v>
      </c>
      <c r="T71" t="s">
        <v>31</v>
      </c>
    </row>
    <row r="72" spans="1:20" x14ac:dyDescent="0.3">
      <c r="A72">
        <v>245</v>
      </c>
      <c r="B72" t="s">
        <v>185</v>
      </c>
      <c r="C72" t="s">
        <v>186</v>
      </c>
      <c r="D72" t="s">
        <v>31</v>
      </c>
      <c r="E72" t="s">
        <v>32</v>
      </c>
      <c r="F72" s="2">
        <v>44742</v>
      </c>
      <c r="G72">
        <v>2022</v>
      </c>
      <c r="H72" t="s">
        <v>33</v>
      </c>
      <c r="I72" t="s">
        <v>34</v>
      </c>
      <c r="J72">
        <v>1</v>
      </c>
      <c r="K72">
        <v>88.5</v>
      </c>
      <c r="L72">
        <v>87</v>
      </c>
      <c r="M72">
        <v>0.98305084745762716</v>
      </c>
      <c r="N72">
        <v>0.98305084745762716</v>
      </c>
      <c r="O72" t="s">
        <v>58</v>
      </c>
      <c r="P72" t="s">
        <v>58</v>
      </c>
      <c r="Q72" t="s">
        <v>187</v>
      </c>
      <c r="R72">
        <v>0</v>
      </c>
      <c r="S72">
        <v>0</v>
      </c>
      <c r="T72" t="s">
        <v>31</v>
      </c>
    </row>
    <row r="73" spans="1:20" x14ac:dyDescent="0.3">
      <c r="A73">
        <v>245</v>
      </c>
      <c r="B73" t="s">
        <v>185</v>
      </c>
      <c r="C73" t="s">
        <v>186</v>
      </c>
      <c r="D73" t="s">
        <v>31</v>
      </c>
      <c r="E73" t="s">
        <v>32</v>
      </c>
      <c r="F73" s="2">
        <v>44926</v>
      </c>
      <c r="G73">
        <v>2022</v>
      </c>
      <c r="H73" t="s">
        <v>44</v>
      </c>
      <c r="I73" t="s">
        <v>45</v>
      </c>
      <c r="J73">
        <v>2</v>
      </c>
      <c r="K73">
        <v>88.5</v>
      </c>
      <c r="L73">
        <v>85.9</v>
      </c>
      <c r="M73">
        <v>0.97062146892655377</v>
      </c>
      <c r="N73">
        <v>0.97062146892655377</v>
      </c>
      <c r="O73" t="s">
        <v>58</v>
      </c>
      <c r="P73" t="s">
        <v>58</v>
      </c>
      <c r="Q73" t="s">
        <v>188</v>
      </c>
      <c r="R73">
        <v>0</v>
      </c>
      <c r="S73">
        <v>0</v>
      </c>
      <c r="T73" t="s">
        <v>31</v>
      </c>
    </row>
    <row r="74" spans="1:20" x14ac:dyDescent="0.3">
      <c r="A74">
        <v>245</v>
      </c>
      <c r="B74" t="s">
        <v>185</v>
      </c>
      <c r="C74" t="s">
        <v>186</v>
      </c>
      <c r="D74" t="s">
        <v>31</v>
      </c>
      <c r="E74" t="s">
        <v>32</v>
      </c>
      <c r="F74" s="2">
        <v>45107</v>
      </c>
      <c r="G74">
        <v>2023</v>
      </c>
      <c r="H74" t="s">
        <v>33</v>
      </c>
      <c r="I74" t="s">
        <v>47</v>
      </c>
      <c r="J74">
        <v>1</v>
      </c>
      <c r="K74">
        <v>87</v>
      </c>
      <c r="L74">
        <v>85.12</v>
      </c>
      <c r="M74">
        <v>0.97839080459770122</v>
      </c>
      <c r="N74">
        <v>0.97839080459770122</v>
      </c>
      <c r="O74" t="s">
        <v>58</v>
      </c>
      <c r="P74" t="s">
        <v>58</v>
      </c>
      <c r="Q74" t="s">
        <v>189</v>
      </c>
      <c r="R74">
        <v>0</v>
      </c>
      <c r="S74">
        <v>0</v>
      </c>
      <c r="T74" t="s">
        <v>31</v>
      </c>
    </row>
    <row r="75" spans="1:20" x14ac:dyDescent="0.3">
      <c r="A75">
        <v>245</v>
      </c>
      <c r="B75" t="s">
        <v>185</v>
      </c>
      <c r="C75" t="s">
        <v>186</v>
      </c>
      <c r="D75" t="s">
        <v>31</v>
      </c>
      <c r="E75" t="s">
        <v>32</v>
      </c>
      <c r="F75" s="2">
        <v>45291</v>
      </c>
      <c r="G75">
        <v>2023</v>
      </c>
      <c r="H75" t="s">
        <v>44</v>
      </c>
      <c r="I75" t="s">
        <v>49</v>
      </c>
      <c r="J75">
        <v>2</v>
      </c>
      <c r="K75">
        <v>87</v>
      </c>
      <c r="L75">
        <v>85.38</v>
      </c>
      <c r="M75">
        <v>0.9813793103448275</v>
      </c>
      <c r="N75">
        <v>0.9813793103448275</v>
      </c>
      <c r="O75" t="s">
        <v>58</v>
      </c>
      <c r="P75" t="s">
        <v>58</v>
      </c>
      <c r="Q75" t="s">
        <v>190</v>
      </c>
      <c r="R75">
        <v>0</v>
      </c>
      <c r="S75">
        <v>0</v>
      </c>
      <c r="T75" t="s">
        <v>31</v>
      </c>
    </row>
    <row r="76" spans="1:20" x14ac:dyDescent="0.3">
      <c r="A76">
        <v>245</v>
      </c>
      <c r="B76" t="s">
        <v>185</v>
      </c>
      <c r="C76" t="s">
        <v>186</v>
      </c>
      <c r="D76" t="s">
        <v>31</v>
      </c>
      <c r="E76" t="s">
        <v>32</v>
      </c>
      <c r="F76" s="2">
        <v>45473</v>
      </c>
      <c r="G76">
        <v>2024</v>
      </c>
      <c r="H76" t="s">
        <v>33</v>
      </c>
      <c r="I76" t="s">
        <v>51</v>
      </c>
      <c r="J76">
        <v>1</v>
      </c>
      <c r="K76">
        <v>85</v>
      </c>
      <c r="L76">
        <v>85.13</v>
      </c>
      <c r="M76">
        <v>1.001529411764706</v>
      </c>
      <c r="N76">
        <v>1.001529411764706</v>
      </c>
      <c r="O76" t="s">
        <v>58</v>
      </c>
      <c r="P76" t="s">
        <v>58</v>
      </c>
      <c r="Q76" t="s">
        <v>191</v>
      </c>
      <c r="R76">
        <v>0</v>
      </c>
      <c r="S76">
        <v>0</v>
      </c>
      <c r="T76" t="s">
        <v>31</v>
      </c>
    </row>
    <row r="77" spans="1:20" x14ac:dyDescent="0.3">
      <c r="A77">
        <v>245</v>
      </c>
      <c r="B77" t="s">
        <v>185</v>
      </c>
      <c r="C77" t="s">
        <v>186</v>
      </c>
      <c r="D77" t="s">
        <v>31</v>
      </c>
      <c r="E77" t="s">
        <v>32</v>
      </c>
      <c r="F77" s="2">
        <v>45657</v>
      </c>
      <c r="G77">
        <v>2024</v>
      </c>
      <c r="H77" t="s">
        <v>44</v>
      </c>
      <c r="I77" t="s">
        <v>53</v>
      </c>
      <c r="J77">
        <v>2</v>
      </c>
      <c r="K77">
        <v>85</v>
      </c>
      <c r="L77">
        <v>85.19</v>
      </c>
      <c r="M77">
        <v>1.0022352941176469</v>
      </c>
      <c r="N77">
        <v>1.0022352941176469</v>
      </c>
      <c r="Q77" t="s">
        <v>192</v>
      </c>
      <c r="R77">
        <v>0</v>
      </c>
      <c r="S77">
        <v>0</v>
      </c>
      <c r="T77" t="s">
        <v>31</v>
      </c>
    </row>
    <row r="78" spans="1:20" x14ac:dyDescent="0.3">
      <c r="A78">
        <v>274</v>
      </c>
      <c r="B78" t="s">
        <v>193</v>
      </c>
      <c r="C78" t="s">
        <v>194</v>
      </c>
      <c r="D78" t="s">
        <v>31</v>
      </c>
      <c r="E78" t="s">
        <v>32</v>
      </c>
      <c r="F78" s="2">
        <v>44742</v>
      </c>
      <c r="G78">
        <v>2022</v>
      </c>
      <c r="H78" t="s">
        <v>33</v>
      </c>
      <c r="I78" t="s">
        <v>34</v>
      </c>
      <c r="J78">
        <v>1</v>
      </c>
      <c r="K78">
        <v>39623</v>
      </c>
      <c r="L78">
        <v>40000</v>
      </c>
      <c r="M78">
        <v>1.0095146758196001</v>
      </c>
      <c r="N78">
        <v>1.0095146758196001</v>
      </c>
      <c r="O78" t="s">
        <v>35</v>
      </c>
      <c r="P78" t="s">
        <v>35</v>
      </c>
      <c r="Q78" t="s">
        <v>195</v>
      </c>
      <c r="R78">
        <v>0</v>
      </c>
      <c r="S78">
        <v>0</v>
      </c>
      <c r="T78" t="s">
        <v>31</v>
      </c>
    </row>
    <row r="79" spans="1:20" x14ac:dyDescent="0.3">
      <c r="A79">
        <v>274</v>
      </c>
      <c r="B79" t="s">
        <v>193</v>
      </c>
      <c r="C79" t="s">
        <v>194</v>
      </c>
      <c r="D79" t="s">
        <v>31</v>
      </c>
      <c r="E79" t="s">
        <v>32</v>
      </c>
      <c r="F79" s="2">
        <v>44926</v>
      </c>
      <c r="G79">
        <v>2022</v>
      </c>
      <c r="H79" t="s">
        <v>44</v>
      </c>
      <c r="I79" t="s">
        <v>45</v>
      </c>
      <c r="J79">
        <v>2</v>
      </c>
      <c r="K79">
        <v>39817</v>
      </c>
      <c r="L79">
        <v>40663</v>
      </c>
      <c r="M79">
        <v>1.0212472059672999</v>
      </c>
      <c r="N79">
        <v>1.0212472059672999</v>
      </c>
      <c r="O79" t="s">
        <v>35</v>
      </c>
      <c r="P79" t="s">
        <v>35</v>
      </c>
      <c r="Q79" t="s">
        <v>196</v>
      </c>
      <c r="R79">
        <v>0</v>
      </c>
      <c r="S79">
        <v>0</v>
      </c>
      <c r="T79" t="s">
        <v>31</v>
      </c>
    </row>
    <row r="80" spans="1:20" x14ac:dyDescent="0.3">
      <c r="A80">
        <v>274</v>
      </c>
      <c r="B80" t="s">
        <v>193</v>
      </c>
      <c r="C80" t="s">
        <v>194</v>
      </c>
      <c r="D80" t="s">
        <v>31</v>
      </c>
      <c r="E80" t="s">
        <v>32</v>
      </c>
      <c r="F80" s="2">
        <v>45107</v>
      </c>
      <c r="G80">
        <v>2023</v>
      </c>
      <c r="H80" t="s">
        <v>33</v>
      </c>
      <c r="I80" t="s">
        <v>47</v>
      </c>
      <c r="J80">
        <v>1</v>
      </c>
      <c r="K80">
        <v>40047</v>
      </c>
      <c r="L80">
        <v>39091</v>
      </c>
      <c r="M80">
        <v>0.97612804954178845</v>
      </c>
      <c r="N80">
        <v>0.97612804954178845</v>
      </c>
      <c r="O80" t="s">
        <v>35</v>
      </c>
      <c r="P80" t="s">
        <v>35</v>
      </c>
      <c r="Q80" t="s">
        <v>197</v>
      </c>
      <c r="R80">
        <v>0</v>
      </c>
      <c r="S80">
        <v>0</v>
      </c>
      <c r="T80" t="s">
        <v>31</v>
      </c>
    </row>
    <row r="81" spans="1:20" x14ac:dyDescent="0.3">
      <c r="A81">
        <v>274</v>
      </c>
      <c r="B81" t="s">
        <v>193</v>
      </c>
      <c r="C81" t="s">
        <v>194</v>
      </c>
      <c r="D81" t="s">
        <v>31</v>
      </c>
      <c r="E81" t="s">
        <v>32</v>
      </c>
      <c r="F81" s="2">
        <v>45291</v>
      </c>
      <c r="G81">
        <v>2023</v>
      </c>
      <c r="H81" t="s">
        <v>44</v>
      </c>
      <c r="I81" t="s">
        <v>49</v>
      </c>
      <c r="J81">
        <v>2</v>
      </c>
      <c r="K81">
        <v>41811</v>
      </c>
      <c r="L81">
        <v>40771</v>
      </c>
      <c r="M81">
        <v>0.97512616297146681</v>
      </c>
      <c r="N81">
        <v>0.97512616297146681</v>
      </c>
      <c r="O81" t="s">
        <v>35</v>
      </c>
      <c r="P81" t="s">
        <v>35</v>
      </c>
      <c r="Q81" t="s">
        <v>198</v>
      </c>
      <c r="R81">
        <v>0</v>
      </c>
      <c r="S81">
        <v>0</v>
      </c>
      <c r="T81" t="s">
        <v>31</v>
      </c>
    </row>
    <row r="82" spans="1:20" x14ac:dyDescent="0.3">
      <c r="A82">
        <v>274</v>
      </c>
      <c r="B82" t="s">
        <v>193</v>
      </c>
      <c r="C82" t="s">
        <v>194</v>
      </c>
      <c r="D82" t="s">
        <v>31</v>
      </c>
      <c r="E82" t="s">
        <v>32</v>
      </c>
      <c r="F82" s="2">
        <v>45473</v>
      </c>
      <c r="G82">
        <v>2024</v>
      </c>
      <c r="H82" t="s">
        <v>33</v>
      </c>
      <c r="I82" t="s">
        <v>51</v>
      </c>
      <c r="J82">
        <v>1</v>
      </c>
      <c r="K82">
        <v>38813</v>
      </c>
      <c r="L82">
        <v>39598</v>
      </c>
      <c r="M82">
        <v>1.020225182284286</v>
      </c>
      <c r="N82">
        <v>1.020225182284286</v>
      </c>
      <c r="O82" t="s">
        <v>35</v>
      </c>
      <c r="P82" t="s">
        <v>35</v>
      </c>
      <c r="Q82" t="s">
        <v>199</v>
      </c>
      <c r="R82">
        <v>0</v>
      </c>
      <c r="S82">
        <v>0</v>
      </c>
      <c r="T82" t="s">
        <v>31</v>
      </c>
    </row>
    <row r="83" spans="1:20" x14ac:dyDescent="0.3">
      <c r="A83">
        <v>274</v>
      </c>
      <c r="B83" t="s">
        <v>193</v>
      </c>
      <c r="C83" t="s">
        <v>194</v>
      </c>
      <c r="D83" t="s">
        <v>31</v>
      </c>
      <c r="E83" t="s">
        <v>32</v>
      </c>
      <c r="F83" s="2">
        <v>45657</v>
      </c>
      <c r="G83">
        <v>2024</v>
      </c>
      <c r="H83" t="s">
        <v>44</v>
      </c>
      <c r="I83" t="s">
        <v>53</v>
      </c>
      <c r="J83">
        <v>2</v>
      </c>
      <c r="K83">
        <v>40441</v>
      </c>
      <c r="L83">
        <v>41436</v>
      </c>
      <c r="M83">
        <v>1.024603743725427</v>
      </c>
      <c r="N83">
        <v>1.024603743725427</v>
      </c>
      <c r="O83" t="s">
        <v>35</v>
      </c>
      <c r="P83" t="s">
        <v>35</v>
      </c>
      <c r="Q83" t="s">
        <v>200</v>
      </c>
      <c r="R83">
        <v>0</v>
      </c>
      <c r="S83">
        <v>0</v>
      </c>
      <c r="T83" t="s">
        <v>31</v>
      </c>
    </row>
    <row r="84" spans="1:20" x14ac:dyDescent="0.3">
      <c r="A84">
        <v>276</v>
      </c>
      <c r="B84" t="s">
        <v>201</v>
      </c>
      <c r="C84" t="s">
        <v>202</v>
      </c>
      <c r="D84" t="s">
        <v>31</v>
      </c>
      <c r="E84" t="s">
        <v>171</v>
      </c>
      <c r="F84" s="2">
        <v>44742</v>
      </c>
      <c r="G84">
        <v>2022</v>
      </c>
      <c r="H84" t="s">
        <v>33</v>
      </c>
      <c r="I84" t="s">
        <v>34</v>
      </c>
      <c r="J84">
        <v>1</v>
      </c>
      <c r="K84">
        <v>93</v>
      </c>
      <c r="L84">
        <v>106</v>
      </c>
      <c r="M84">
        <v>0.87735849056603776</v>
      </c>
      <c r="N84">
        <v>0.87735849056603776</v>
      </c>
      <c r="Q84" t="s">
        <v>203</v>
      </c>
      <c r="R84">
        <v>0</v>
      </c>
      <c r="S84">
        <v>0</v>
      </c>
      <c r="T84" t="s">
        <v>31</v>
      </c>
    </row>
    <row r="85" spans="1:20" x14ac:dyDescent="0.3">
      <c r="A85">
        <v>276</v>
      </c>
      <c r="B85" t="s">
        <v>201</v>
      </c>
      <c r="C85" t="s">
        <v>202</v>
      </c>
      <c r="D85" t="s">
        <v>31</v>
      </c>
      <c r="E85" t="s">
        <v>171</v>
      </c>
      <c r="F85" s="2">
        <v>44926</v>
      </c>
      <c r="G85">
        <v>2022</v>
      </c>
      <c r="H85" t="s">
        <v>44</v>
      </c>
      <c r="I85" t="s">
        <v>45</v>
      </c>
      <c r="J85">
        <v>2</v>
      </c>
      <c r="K85">
        <v>88</v>
      </c>
      <c r="L85">
        <v>88</v>
      </c>
      <c r="M85">
        <v>1</v>
      </c>
      <c r="N85">
        <v>1</v>
      </c>
      <c r="Q85" t="s">
        <v>205</v>
      </c>
      <c r="R85">
        <v>0</v>
      </c>
      <c r="S85">
        <v>0</v>
      </c>
      <c r="T85" t="s">
        <v>31</v>
      </c>
    </row>
    <row r="86" spans="1:20" x14ac:dyDescent="0.3">
      <c r="A86">
        <v>276</v>
      </c>
      <c r="B86" t="s">
        <v>201</v>
      </c>
      <c r="C86" t="s">
        <v>202</v>
      </c>
      <c r="D86" t="s">
        <v>31</v>
      </c>
      <c r="E86" t="s">
        <v>171</v>
      </c>
      <c r="F86" s="2">
        <v>45107</v>
      </c>
      <c r="G86">
        <v>2023</v>
      </c>
      <c r="H86" t="s">
        <v>33</v>
      </c>
      <c r="I86" t="s">
        <v>47</v>
      </c>
      <c r="J86">
        <v>1</v>
      </c>
      <c r="K86">
        <v>85</v>
      </c>
      <c r="L86">
        <v>89.99</v>
      </c>
      <c r="M86">
        <v>0.94454939437715302</v>
      </c>
      <c r="N86">
        <v>0.94454939437715302</v>
      </c>
      <c r="Q86" t="s">
        <v>206</v>
      </c>
      <c r="R86">
        <v>0</v>
      </c>
      <c r="S86">
        <v>0</v>
      </c>
      <c r="T86" t="s">
        <v>31</v>
      </c>
    </row>
    <row r="87" spans="1:20" x14ac:dyDescent="0.3">
      <c r="A87">
        <v>276</v>
      </c>
      <c r="B87" t="s">
        <v>201</v>
      </c>
      <c r="C87" t="s">
        <v>202</v>
      </c>
      <c r="D87" t="s">
        <v>31</v>
      </c>
      <c r="E87" t="s">
        <v>171</v>
      </c>
      <c r="F87" s="2">
        <v>45291</v>
      </c>
      <c r="G87">
        <v>2023</v>
      </c>
      <c r="H87" t="s">
        <v>44</v>
      </c>
      <c r="I87" t="s">
        <v>49</v>
      </c>
      <c r="J87">
        <v>2</v>
      </c>
      <c r="K87">
        <v>85</v>
      </c>
      <c r="L87">
        <v>84.5</v>
      </c>
      <c r="M87">
        <v>1.0059171597633141</v>
      </c>
      <c r="N87">
        <v>1.0059171597633141</v>
      </c>
      <c r="Q87" t="s">
        <v>207</v>
      </c>
      <c r="R87">
        <v>0</v>
      </c>
      <c r="S87">
        <v>0</v>
      </c>
      <c r="T87" t="s">
        <v>31</v>
      </c>
    </row>
    <row r="88" spans="1:20" x14ac:dyDescent="0.3">
      <c r="A88">
        <v>276</v>
      </c>
      <c r="B88" t="s">
        <v>201</v>
      </c>
      <c r="C88" t="s">
        <v>202</v>
      </c>
      <c r="D88" t="s">
        <v>31</v>
      </c>
      <c r="E88" t="s">
        <v>171</v>
      </c>
      <c r="F88" s="2">
        <v>45473</v>
      </c>
      <c r="G88">
        <v>2024</v>
      </c>
      <c r="H88" t="s">
        <v>33</v>
      </c>
      <c r="I88" t="s">
        <v>51</v>
      </c>
      <c r="J88">
        <v>1</v>
      </c>
      <c r="K88">
        <v>75</v>
      </c>
      <c r="L88">
        <v>83.65</v>
      </c>
      <c r="M88">
        <v>0.89659294680215174</v>
      </c>
      <c r="N88">
        <v>0.89659294680215174</v>
      </c>
      <c r="Q88" t="s">
        <v>208</v>
      </c>
      <c r="R88">
        <v>1</v>
      </c>
      <c r="S88">
        <v>1</v>
      </c>
      <c r="T88" t="s">
        <v>31</v>
      </c>
    </row>
    <row r="89" spans="1:20" x14ac:dyDescent="0.3">
      <c r="A89">
        <v>276</v>
      </c>
      <c r="B89" t="s">
        <v>201</v>
      </c>
      <c r="C89" t="s">
        <v>202</v>
      </c>
      <c r="D89" t="s">
        <v>31</v>
      </c>
      <c r="E89" t="s">
        <v>171</v>
      </c>
      <c r="F89" s="2">
        <v>45657</v>
      </c>
      <c r="G89">
        <v>2024</v>
      </c>
      <c r="H89" t="s">
        <v>44</v>
      </c>
      <c r="I89" t="s">
        <v>53</v>
      </c>
      <c r="J89">
        <v>2</v>
      </c>
      <c r="K89">
        <v>75</v>
      </c>
      <c r="L89">
        <v>82.68</v>
      </c>
      <c r="M89">
        <v>1.1024</v>
      </c>
      <c r="N89">
        <v>1.1024</v>
      </c>
      <c r="Q89" t="s">
        <v>209</v>
      </c>
      <c r="R89">
        <v>0</v>
      </c>
      <c r="S89">
        <v>0</v>
      </c>
      <c r="T89" t="s">
        <v>31</v>
      </c>
    </row>
    <row r="90" spans="1:20" x14ac:dyDescent="0.3">
      <c r="A90">
        <v>277</v>
      </c>
      <c r="B90" t="s">
        <v>210</v>
      </c>
      <c r="C90" t="s">
        <v>202</v>
      </c>
      <c r="D90" t="s">
        <v>31</v>
      </c>
      <c r="E90" t="s">
        <v>171</v>
      </c>
      <c r="F90" s="2">
        <v>45107</v>
      </c>
      <c r="G90">
        <v>2023</v>
      </c>
      <c r="H90" t="s">
        <v>33</v>
      </c>
      <c r="I90" t="s">
        <v>47</v>
      </c>
      <c r="J90">
        <v>1</v>
      </c>
      <c r="K90">
        <v>85</v>
      </c>
      <c r="L90">
        <v>76.48</v>
      </c>
      <c r="M90">
        <v>1.1114016736401671</v>
      </c>
      <c r="N90">
        <v>1.1114016736401671</v>
      </c>
      <c r="Q90" t="s">
        <v>211</v>
      </c>
      <c r="R90">
        <v>1</v>
      </c>
      <c r="S90">
        <v>1</v>
      </c>
      <c r="T90" t="s">
        <v>31</v>
      </c>
    </row>
    <row r="91" spans="1:20" x14ac:dyDescent="0.3">
      <c r="A91">
        <v>277</v>
      </c>
      <c r="B91" t="s">
        <v>210</v>
      </c>
      <c r="C91" t="s">
        <v>202</v>
      </c>
      <c r="D91" t="s">
        <v>31</v>
      </c>
      <c r="E91" t="s">
        <v>171</v>
      </c>
      <c r="F91" s="2">
        <v>45291</v>
      </c>
      <c r="G91">
        <v>2023</v>
      </c>
      <c r="H91" t="s">
        <v>44</v>
      </c>
      <c r="I91" t="s">
        <v>49</v>
      </c>
      <c r="J91">
        <v>2</v>
      </c>
      <c r="K91">
        <v>85</v>
      </c>
      <c r="L91">
        <v>73.290000000000006</v>
      </c>
      <c r="M91">
        <v>1.1597762314094691</v>
      </c>
      <c r="N91">
        <v>1.1597762314094691</v>
      </c>
      <c r="Q91" t="s">
        <v>212</v>
      </c>
      <c r="R91">
        <v>1</v>
      </c>
      <c r="S91">
        <v>1</v>
      </c>
      <c r="T91" t="s">
        <v>31</v>
      </c>
    </row>
    <row r="92" spans="1:20" x14ac:dyDescent="0.3">
      <c r="A92">
        <v>277</v>
      </c>
      <c r="B92" t="s">
        <v>210</v>
      </c>
      <c r="C92" t="s">
        <v>202</v>
      </c>
      <c r="D92" t="s">
        <v>31</v>
      </c>
      <c r="E92" t="s">
        <v>171</v>
      </c>
      <c r="F92" s="2">
        <v>45473</v>
      </c>
      <c r="G92">
        <v>2024</v>
      </c>
      <c r="H92" t="s">
        <v>33</v>
      </c>
      <c r="I92" t="s">
        <v>51</v>
      </c>
      <c r="J92">
        <v>1</v>
      </c>
      <c r="K92">
        <v>73</v>
      </c>
      <c r="L92">
        <v>71.180000000000007</v>
      </c>
      <c r="M92">
        <v>1.0255689800505761</v>
      </c>
      <c r="N92">
        <v>1.0255689800505761</v>
      </c>
      <c r="Q92" t="s">
        <v>213</v>
      </c>
      <c r="R92">
        <v>1</v>
      </c>
      <c r="S92">
        <v>1</v>
      </c>
      <c r="T92" t="s">
        <v>31</v>
      </c>
    </row>
    <row r="93" spans="1:20" x14ac:dyDescent="0.3">
      <c r="A93">
        <v>277</v>
      </c>
      <c r="B93" t="s">
        <v>210</v>
      </c>
      <c r="C93" t="s">
        <v>202</v>
      </c>
      <c r="D93" t="s">
        <v>31</v>
      </c>
      <c r="E93" t="s">
        <v>171</v>
      </c>
      <c r="F93" s="2">
        <v>45657</v>
      </c>
      <c r="G93">
        <v>2024</v>
      </c>
      <c r="H93" t="s">
        <v>44</v>
      </c>
      <c r="I93" t="s">
        <v>53</v>
      </c>
      <c r="J93">
        <v>2</v>
      </c>
      <c r="K93">
        <v>73</v>
      </c>
      <c r="L93">
        <v>71.239999999999995</v>
      </c>
      <c r="M93">
        <v>0.97589041095890405</v>
      </c>
      <c r="N93">
        <v>0.97589041095890405</v>
      </c>
      <c r="Q93" t="s">
        <v>214</v>
      </c>
      <c r="R93">
        <v>0</v>
      </c>
      <c r="S93">
        <v>0</v>
      </c>
      <c r="T93" t="s">
        <v>31</v>
      </c>
    </row>
    <row r="94" spans="1:20" x14ac:dyDescent="0.3">
      <c r="A94">
        <v>323</v>
      </c>
      <c r="B94" t="s">
        <v>215</v>
      </c>
      <c r="C94" t="s">
        <v>216</v>
      </c>
      <c r="D94" t="s">
        <v>31</v>
      </c>
      <c r="E94" t="s">
        <v>32</v>
      </c>
      <c r="F94" s="2">
        <v>44926</v>
      </c>
      <c r="G94">
        <v>2022</v>
      </c>
      <c r="H94" t="s">
        <v>44</v>
      </c>
      <c r="I94" t="s">
        <v>45</v>
      </c>
      <c r="J94">
        <v>2</v>
      </c>
      <c r="K94">
        <v>3</v>
      </c>
      <c r="L94">
        <v>3</v>
      </c>
      <c r="M94">
        <v>1</v>
      </c>
      <c r="N94">
        <v>1</v>
      </c>
      <c r="Q94" t="s">
        <v>217</v>
      </c>
      <c r="R94">
        <v>0</v>
      </c>
      <c r="S94">
        <v>0</v>
      </c>
      <c r="T94" t="s">
        <v>31</v>
      </c>
    </row>
    <row r="95" spans="1:20" x14ac:dyDescent="0.3">
      <c r="A95">
        <v>323</v>
      </c>
      <c r="B95" t="s">
        <v>215</v>
      </c>
      <c r="C95" t="s">
        <v>216</v>
      </c>
      <c r="D95" t="s">
        <v>31</v>
      </c>
      <c r="E95" t="s">
        <v>32</v>
      </c>
      <c r="F95" s="2">
        <v>45107</v>
      </c>
      <c r="G95">
        <v>2023</v>
      </c>
      <c r="H95" t="s">
        <v>33</v>
      </c>
      <c r="I95" t="s">
        <v>47</v>
      </c>
      <c r="J95">
        <v>1</v>
      </c>
      <c r="K95">
        <v>2</v>
      </c>
      <c r="L95">
        <v>2</v>
      </c>
      <c r="M95">
        <v>1</v>
      </c>
      <c r="N95">
        <v>1</v>
      </c>
      <c r="Q95" t="s">
        <v>220</v>
      </c>
      <c r="R95">
        <v>0</v>
      </c>
      <c r="S95">
        <v>0</v>
      </c>
      <c r="T95" t="s">
        <v>31</v>
      </c>
    </row>
    <row r="96" spans="1:20" x14ac:dyDescent="0.3">
      <c r="A96">
        <v>323</v>
      </c>
      <c r="B96" t="s">
        <v>215</v>
      </c>
      <c r="C96" t="s">
        <v>216</v>
      </c>
      <c r="D96" t="s">
        <v>31</v>
      </c>
      <c r="E96" t="s">
        <v>32</v>
      </c>
      <c r="F96" s="2">
        <v>45291</v>
      </c>
      <c r="G96">
        <v>2023</v>
      </c>
      <c r="H96" t="s">
        <v>44</v>
      </c>
      <c r="I96" t="s">
        <v>49</v>
      </c>
      <c r="J96">
        <v>2</v>
      </c>
      <c r="K96">
        <v>6</v>
      </c>
      <c r="L96">
        <v>6</v>
      </c>
      <c r="M96">
        <v>1</v>
      </c>
      <c r="N96">
        <v>1</v>
      </c>
      <c r="Q96" t="s">
        <v>221</v>
      </c>
      <c r="R96">
        <v>0</v>
      </c>
      <c r="S96">
        <v>0</v>
      </c>
      <c r="T96" t="s">
        <v>31</v>
      </c>
    </row>
    <row r="97" spans="1:20" x14ac:dyDescent="0.3">
      <c r="A97">
        <v>323</v>
      </c>
      <c r="B97" t="s">
        <v>215</v>
      </c>
      <c r="C97" t="s">
        <v>216</v>
      </c>
      <c r="D97" t="s">
        <v>31</v>
      </c>
      <c r="E97" t="s">
        <v>32</v>
      </c>
      <c r="F97" s="2">
        <v>45473</v>
      </c>
      <c r="G97">
        <v>2024</v>
      </c>
      <c r="H97" t="s">
        <v>33</v>
      </c>
      <c r="I97" t="s">
        <v>51</v>
      </c>
      <c r="J97">
        <v>1</v>
      </c>
      <c r="K97">
        <v>3</v>
      </c>
      <c r="L97">
        <v>3</v>
      </c>
      <c r="M97">
        <v>1</v>
      </c>
      <c r="N97">
        <v>1</v>
      </c>
      <c r="Q97" t="s">
        <v>222</v>
      </c>
      <c r="R97">
        <v>0</v>
      </c>
      <c r="S97">
        <v>0</v>
      </c>
      <c r="T97" t="s">
        <v>31</v>
      </c>
    </row>
    <row r="98" spans="1:20" x14ac:dyDescent="0.3">
      <c r="A98">
        <v>323</v>
      </c>
      <c r="B98" t="s">
        <v>215</v>
      </c>
      <c r="C98" t="s">
        <v>216</v>
      </c>
      <c r="D98" t="s">
        <v>31</v>
      </c>
      <c r="E98" t="s">
        <v>32</v>
      </c>
      <c r="F98" s="2">
        <v>45657</v>
      </c>
      <c r="G98">
        <v>2024</v>
      </c>
      <c r="H98" t="s">
        <v>44</v>
      </c>
      <c r="I98" t="s">
        <v>53</v>
      </c>
      <c r="J98">
        <v>2</v>
      </c>
      <c r="K98">
        <v>0</v>
      </c>
      <c r="L98">
        <v>0</v>
      </c>
      <c r="Q98" t="s">
        <v>223</v>
      </c>
      <c r="R98">
        <v>0</v>
      </c>
      <c r="S98">
        <v>0</v>
      </c>
      <c r="T98" t="s">
        <v>31</v>
      </c>
    </row>
    <row r="99" spans="1:20" x14ac:dyDescent="0.3">
      <c r="A99">
        <v>325</v>
      </c>
      <c r="B99" t="s">
        <v>224</v>
      </c>
      <c r="C99" t="s">
        <v>216</v>
      </c>
      <c r="D99" t="s">
        <v>31</v>
      </c>
      <c r="E99" t="s">
        <v>32</v>
      </c>
      <c r="F99" s="2">
        <v>44742</v>
      </c>
      <c r="G99">
        <v>2022</v>
      </c>
      <c r="H99" t="s">
        <v>33</v>
      </c>
      <c r="I99" t="s">
        <v>34</v>
      </c>
      <c r="J99">
        <v>1</v>
      </c>
      <c r="K99">
        <v>3</v>
      </c>
      <c r="L99">
        <v>3</v>
      </c>
      <c r="M99">
        <v>1</v>
      </c>
      <c r="N99">
        <v>1</v>
      </c>
      <c r="O99" t="s">
        <v>35</v>
      </c>
      <c r="P99" t="s">
        <v>35</v>
      </c>
      <c r="Q99" t="s">
        <v>225</v>
      </c>
      <c r="R99">
        <v>0</v>
      </c>
      <c r="S99">
        <v>0</v>
      </c>
      <c r="T99" t="s">
        <v>31</v>
      </c>
    </row>
    <row r="100" spans="1:20" x14ac:dyDescent="0.3">
      <c r="A100">
        <v>325</v>
      </c>
      <c r="B100" t="s">
        <v>224</v>
      </c>
      <c r="C100" t="s">
        <v>216</v>
      </c>
      <c r="D100" t="s">
        <v>31</v>
      </c>
      <c r="E100" t="s">
        <v>32</v>
      </c>
      <c r="F100" s="2">
        <v>44926</v>
      </c>
      <c r="G100">
        <v>2022</v>
      </c>
      <c r="H100" t="s">
        <v>44</v>
      </c>
      <c r="I100" t="s">
        <v>45</v>
      </c>
      <c r="J100">
        <v>2</v>
      </c>
      <c r="K100">
        <v>3</v>
      </c>
      <c r="L100">
        <v>3</v>
      </c>
      <c r="M100">
        <v>1</v>
      </c>
      <c r="N100">
        <v>1</v>
      </c>
      <c r="O100" t="s">
        <v>35</v>
      </c>
      <c r="P100" t="s">
        <v>35</v>
      </c>
      <c r="Q100" t="s">
        <v>226</v>
      </c>
      <c r="R100">
        <v>0</v>
      </c>
      <c r="S100">
        <v>0</v>
      </c>
      <c r="T100" t="s">
        <v>31</v>
      </c>
    </row>
    <row r="101" spans="1:20" x14ac:dyDescent="0.3">
      <c r="A101">
        <v>325</v>
      </c>
      <c r="B101" t="s">
        <v>224</v>
      </c>
      <c r="C101" t="s">
        <v>216</v>
      </c>
      <c r="D101" t="s">
        <v>31</v>
      </c>
      <c r="E101" t="s">
        <v>32</v>
      </c>
      <c r="F101" s="2">
        <v>45107</v>
      </c>
      <c r="G101">
        <v>2023</v>
      </c>
      <c r="H101" t="s">
        <v>33</v>
      </c>
      <c r="I101" t="s">
        <v>47</v>
      </c>
      <c r="J101">
        <v>1</v>
      </c>
      <c r="K101">
        <v>1</v>
      </c>
      <c r="L101">
        <v>1</v>
      </c>
      <c r="M101">
        <v>1</v>
      </c>
      <c r="N101">
        <v>1</v>
      </c>
      <c r="O101" t="s">
        <v>35</v>
      </c>
      <c r="P101" t="s">
        <v>35</v>
      </c>
      <c r="Q101" t="s">
        <v>227</v>
      </c>
      <c r="R101">
        <v>0</v>
      </c>
      <c r="S101">
        <v>0</v>
      </c>
      <c r="T101" t="s">
        <v>31</v>
      </c>
    </row>
    <row r="102" spans="1:20" x14ac:dyDescent="0.3">
      <c r="A102">
        <v>325</v>
      </c>
      <c r="B102" t="s">
        <v>224</v>
      </c>
      <c r="C102" t="s">
        <v>216</v>
      </c>
      <c r="D102" t="s">
        <v>31</v>
      </c>
      <c r="E102" t="s">
        <v>32</v>
      </c>
      <c r="F102" s="2">
        <v>45291</v>
      </c>
      <c r="G102">
        <v>2023</v>
      </c>
      <c r="H102" t="s">
        <v>44</v>
      </c>
      <c r="I102" t="s">
        <v>49</v>
      </c>
      <c r="J102">
        <v>2</v>
      </c>
      <c r="K102">
        <v>0</v>
      </c>
      <c r="L102">
        <v>0</v>
      </c>
      <c r="Q102" t="s">
        <v>228</v>
      </c>
      <c r="R102">
        <v>0</v>
      </c>
      <c r="S102">
        <v>0</v>
      </c>
      <c r="T102" t="s">
        <v>31</v>
      </c>
    </row>
    <row r="103" spans="1:20" x14ac:dyDescent="0.3">
      <c r="A103">
        <v>325</v>
      </c>
      <c r="B103" t="s">
        <v>224</v>
      </c>
      <c r="C103" t="s">
        <v>216</v>
      </c>
      <c r="D103" t="s">
        <v>31</v>
      </c>
      <c r="E103" t="s">
        <v>32</v>
      </c>
      <c r="F103" s="2">
        <v>45473</v>
      </c>
      <c r="G103">
        <v>2024</v>
      </c>
      <c r="H103" t="s">
        <v>33</v>
      </c>
      <c r="I103" t="s">
        <v>51</v>
      </c>
      <c r="J103">
        <v>1</v>
      </c>
      <c r="K103">
        <v>5</v>
      </c>
      <c r="L103">
        <v>5</v>
      </c>
      <c r="M103">
        <v>1</v>
      </c>
      <c r="N103">
        <v>1</v>
      </c>
      <c r="O103" t="s">
        <v>35</v>
      </c>
      <c r="P103" t="s">
        <v>35</v>
      </c>
      <c r="Q103" t="s">
        <v>229</v>
      </c>
      <c r="R103">
        <v>0</v>
      </c>
      <c r="S103">
        <v>0</v>
      </c>
      <c r="T103" t="s">
        <v>31</v>
      </c>
    </row>
    <row r="104" spans="1:20" x14ac:dyDescent="0.3">
      <c r="A104">
        <v>325</v>
      </c>
      <c r="B104" t="s">
        <v>224</v>
      </c>
      <c r="C104" t="s">
        <v>216</v>
      </c>
      <c r="D104" t="s">
        <v>31</v>
      </c>
      <c r="E104" t="s">
        <v>32</v>
      </c>
      <c r="F104" s="2">
        <v>45657</v>
      </c>
      <c r="G104">
        <v>2024</v>
      </c>
      <c r="H104" t="s">
        <v>44</v>
      </c>
      <c r="I104" t="s">
        <v>53</v>
      </c>
      <c r="J104">
        <v>2</v>
      </c>
      <c r="K104">
        <v>3</v>
      </c>
      <c r="L104">
        <v>3</v>
      </c>
      <c r="M104">
        <v>1</v>
      </c>
      <c r="N104">
        <v>1</v>
      </c>
      <c r="O104" t="s">
        <v>35</v>
      </c>
      <c r="P104" t="s">
        <v>35</v>
      </c>
      <c r="Q104" t="s">
        <v>230</v>
      </c>
      <c r="R104">
        <v>0</v>
      </c>
      <c r="S104">
        <v>0</v>
      </c>
      <c r="T104" t="s">
        <v>31</v>
      </c>
    </row>
    <row r="105" spans="1:20" x14ac:dyDescent="0.3">
      <c r="A105">
        <v>331</v>
      </c>
      <c r="B105" t="s">
        <v>231</v>
      </c>
      <c r="C105" t="s">
        <v>232</v>
      </c>
      <c r="D105" t="s">
        <v>66</v>
      </c>
      <c r="E105" t="s">
        <v>32</v>
      </c>
      <c r="F105" s="2">
        <v>45291</v>
      </c>
      <c r="G105">
        <v>2023</v>
      </c>
      <c r="H105" t="s">
        <v>44</v>
      </c>
      <c r="I105" t="s">
        <v>49</v>
      </c>
      <c r="J105">
        <v>2</v>
      </c>
      <c r="K105">
        <v>0</v>
      </c>
      <c r="L105">
        <v>81</v>
      </c>
      <c r="O105" t="s">
        <v>233</v>
      </c>
      <c r="P105" t="s">
        <v>58</v>
      </c>
      <c r="Q105" t="s">
        <v>234</v>
      </c>
      <c r="R105">
        <v>0</v>
      </c>
      <c r="S105">
        <v>0</v>
      </c>
      <c r="T105" t="s">
        <v>31</v>
      </c>
    </row>
    <row r="106" spans="1:20" x14ac:dyDescent="0.3">
      <c r="A106">
        <v>331</v>
      </c>
      <c r="B106" t="s">
        <v>231</v>
      </c>
      <c r="C106" t="s">
        <v>232</v>
      </c>
      <c r="D106" t="s">
        <v>66</v>
      </c>
      <c r="E106" t="s">
        <v>32</v>
      </c>
      <c r="F106" s="2">
        <v>45657</v>
      </c>
      <c r="G106">
        <v>2024</v>
      </c>
      <c r="H106" t="s">
        <v>44</v>
      </c>
      <c r="I106" t="s">
        <v>53</v>
      </c>
      <c r="J106">
        <v>2</v>
      </c>
      <c r="K106">
        <v>0</v>
      </c>
      <c r="L106">
        <v>82</v>
      </c>
      <c r="O106" t="s">
        <v>233</v>
      </c>
      <c r="P106" t="s">
        <v>58</v>
      </c>
      <c r="Q106" t="s">
        <v>238</v>
      </c>
      <c r="R106">
        <v>0</v>
      </c>
      <c r="S106">
        <v>0</v>
      </c>
      <c r="T106" t="s">
        <v>31</v>
      </c>
    </row>
    <row r="107" spans="1:20" x14ac:dyDescent="0.3">
      <c r="A107">
        <v>332</v>
      </c>
      <c r="B107" t="s">
        <v>239</v>
      </c>
      <c r="C107" t="s">
        <v>130</v>
      </c>
      <c r="D107" t="s">
        <v>31</v>
      </c>
      <c r="E107" t="s">
        <v>171</v>
      </c>
      <c r="F107" s="2">
        <v>44742</v>
      </c>
      <c r="G107">
        <v>2022</v>
      </c>
      <c r="H107" t="s">
        <v>33</v>
      </c>
      <c r="I107" t="s">
        <v>34</v>
      </c>
      <c r="J107">
        <v>1</v>
      </c>
      <c r="K107">
        <v>1.6</v>
      </c>
      <c r="L107">
        <v>1.8</v>
      </c>
      <c r="M107">
        <v>0.88888888888888895</v>
      </c>
      <c r="N107">
        <v>0.88888888888888895</v>
      </c>
      <c r="Q107" t="s">
        <v>240</v>
      </c>
      <c r="R107">
        <v>1</v>
      </c>
      <c r="S107">
        <v>1</v>
      </c>
      <c r="T107" t="s">
        <v>31</v>
      </c>
    </row>
    <row r="108" spans="1:20" x14ac:dyDescent="0.3">
      <c r="A108">
        <v>332</v>
      </c>
      <c r="B108" t="s">
        <v>239</v>
      </c>
      <c r="C108" t="s">
        <v>130</v>
      </c>
      <c r="D108" t="s">
        <v>31</v>
      </c>
      <c r="E108" t="s">
        <v>171</v>
      </c>
      <c r="F108" s="2">
        <v>44926</v>
      </c>
      <c r="G108">
        <v>2022</v>
      </c>
      <c r="H108" t="s">
        <v>44</v>
      </c>
      <c r="I108" t="s">
        <v>45</v>
      </c>
      <c r="J108">
        <v>2</v>
      </c>
      <c r="K108">
        <v>1.6</v>
      </c>
      <c r="L108">
        <v>1.75</v>
      </c>
      <c r="M108">
        <v>0.91428571428571437</v>
      </c>
      <c r="N108">
        <v>0.91428571428571437</v>
      </c>
      <c r="Q108" t="s">
        <v>242</v>
      </c>
      <c r="R108">
        <v>1</v>
      </c>
      <c r="S108">
        <v>1</v>
      </c>
      <c r="T108" t="s">
        <v>31</v>
      </c>
    </row>
    <row r="109" spans="1:20" x14ac:dyDescent="0.3">
      <c r="A109">
        <v>332</v>
      </c>
      <c r="B109" t="s">
        <v>239</v>
      </c>
      <c r="C109" t="s">
        <v>130</v>
      </c>
      <c r="D109" t="s">
        <v>31</v>
      </c>
      <c r="E109" t="s">
        <v>171</v>
      </c>
      <c r="F109" s="2">
        <v>45107</v>
      </c>
      <c r="G109">
        <v>2023</v>
      </c>
      <c r="H109" t="s">
        <v>33</v>
      </c>
      <c r="I109" t="s">
        <v>47</v>
      </c>
      <c r="J109">
        <v>1</v>
      </c>
      <c r="K109">
        <v>1.8</v>
      </c>
      <c r="L109">
        <v>1.57</v>
      </c>
      <c r="M109">
        <v>1.1464968152866239</v>
      </c>
      <c r="N109">
        <v>1.1464968152866239</v>
      </c>
      <c r="Q109" t="s">
        <v>243</v>
      </c>
      <c r="R109">
        <v>1</v>
      </c>
      <c r="S109">
        <v>1</v>
      </c>
      <c r="T109" t="s">
        <v>31</v>
      </c>
    </row>
    <row r="110" spans="1:20" x14ac:dyDescent="0.3">
      <c r="A110">
        <v>332</v>
      </c>
      <c r="B110" t="s">
        <v>239</v>
      </c>
      <c r="C110" t="s">
        <v>130</v>
      </c>
      <c r="D110" t="s">
        <v>31</v>
      </c>
      <c r="E110" t="s">
        <v>171</v>
      </c>
      <c r="F110" s="2">
        <v>45291</v>
      </c>
      <c r="G110">
        <v>2023</v>
      </c>
      <c r="H110" t="s">
        <v>44</v>
      </c>
      <c r="I110" t="s">
        <v>49</v>
      </c>
      <c r="J110">
        <v>2</v>
      </c>
      <c r="K110">
        <v>1.8</v>
      </c>
      <c r="L110">
        <v>1.3</v>
      </c>
      <c r="M110">
        <v>1.3</v>
      </c>
      <c r="N110">
        <v>1.384615384615385</v>
      </c>
      <c r="Q110" t="s">
        <v>244</v>
      </c>
      <c r="R110">
        <v>1</v>
      </c>
      <c r="S110">
        <v>1</v>
      </c>
      <c r="T110" t="s">
        <v>31</v>
      </c>
    </row>
    <row r="111" spans="1:20" x14ac:dyDescent="0.3">
      <c r="A111">
        <v>332</v>
      </c>
      <c r="B111" t="s">
        <v>239</v>
      </c>
      <c r="C111" t="s">
        <v>130</v>
      </c>
      <c r="D111" t="s">
        <v>31</v>
      </c>
      <c r="E111" t="s">
        <v>171</v>
      </c>
      <c r="F111" s="2">
        <v>45473</v>
      </c>
      <c r="G111">
        <v>2024</v>
      </c>
      <c r="H111" t="s">
        <v>33</v>
      </c>
      <c r="I111" t="s">
        <v>51</v>
      </c>
      <c r="J111">
        <v>1</v>
      </c>
      <c r="K111">
        <v>1.5</v>
      </c>
      <c r="L111">
        <v>1.48</v>
      </c>
      <c r="M111">
        <v>1.013513513513514</v>
      </c>
      <c r="N111">
        <v>1.013513513513514</v>
      </c>
      <c r="O111" t="s">
        <v>245</v>
      </c>
      <c r="P111" t="s">
        <v>245</v>
      </c>
      <c r="Q111" t="s">
        <v>246</v>
      </c>
      <c r="R111">
        <v>1</v>
      </c>
      <c r="S111">
        <v>1</v>
      </c>
      <c r="T111" t="s">
        <v>31</v>
      </c>
    </row>
    <row r="112" spans="1:20" x14ac:dyDescent="0.3">
      <c r="A112">
        <v>332</v>
      </c>
      <c r="B112" t="s">
        <v>239</v>
      </c>
      <c r="C112" t="s">
        <v>130</v>
      </c>
      <c r="D112" t="s">
        <v>31</v>
      </c>
      <c r="E112" t="s">
        <v>171</v>
      </c>
      <c r="F112" s="2">
        <v>45657</v>
      </c>
      <c r="G112">
        <v>2024</v>
      </c>
      <c r="H112" t="s">
        <v>44</v>
      </c>
      <c r="I112" t="s">
        <v>53</v>
      </c>
      <c r="J112">
        <v>2</v>
      </c>
      <c r="K112">
        <v>1.8</v>
      </c>
      <c r="L112">
        <v>0.82</v>
      </c>
      <c r="M112">
        <v>0.45555555555555549</v>
      </c>
      <c r="N112">
        <v>0.45555555555555549</v>
      </c>
      <c r="Q112" t="s">
        <v>247</v>
      </c>
      <c r="R112">
        <v>0</v>
      </c>
      <c r="S112">
        <v>0</v>
      </c>
      <c r="T112" t="s">
        <v>31</v>
      </c>
    </row>
    <row r="113" spans="1:20" x14ac:dyDescent="0.3">
      <c r="A113">
        <v>334</v>
      </c>
      <c r="B113" t="s">
        <v>248</v>
      </c>
      <c r="C113" t="s">
        <v>130</v>
      </c>
      <c r="D113" t="s">
        <v>66</v>
      </c>
      <c r="E113" t="s">
        <v>32</v>
      </c>
      <c r="F113" s="2">
        <v>45291</v>
      </c>
      <c r="G113">
        <v>2023</v>
      </c>
      <c r="H113" t="s">
        <v>44</v>
      </c>
      <c r="I113" t="s">
        <v>49</v>
      </c>
      <c r="J113">
        <v>2</v>
      </c>
      <c r="K113">
        <v>88</v>
      </c>
      <c r="L113">
        <v>88.39</v>
      </c>
      <c r="M113">
        <v>1.0044318181818179</v>
      </c>
      <c r="N113">
        <v>1.0044318181818179</v>
      </c>
      <c r="Q113" t="s">
        <v>249</v>
      </c>
      <c r="R113">
        <v>0</v>
      </c>
      <c r="S113">
        <v>0</v>
      </c>
      <c r="T113" t="s">
        <v>31</v>
      </c>
    </row>
    <row r="114" spans="1:20" x14ac:dyDescent="0.3">
      <c r="A114">
        <v>334</v>
      </c>
      <c r="B114" t="s">
        <v>248</v>
      </c>
      <c r="C114" t="s">
        <v>130</v>
      </c>
      <c r="D114" t="s">
        <v>66</v>
      </c>
      <c r="E114" t="s">
        <v>32</v>
      </c>
      <c r="F114" s="2">
        <v>45657</v>
      </c>
      <c r="G114">
        <v>2024</v>
      </c>
      <c r="H114" t="s">
        <v>44</v>
      </c>
      <c r="I114" t="s">
        <v>53</v>
      </c>
      <c r="J114">
        <v>2</v>
      </c>
      <c r="K114">
        <v>88</v>
      </c>
      <c r="L114">
        <v>88.84</v>
      </c>
      <c r="M114">
        <v>1.009545454545455</v>
      </c>
      <c r="N114">
        <v>1.009545454545455</v>
      </c>
      <c r="Q114" t="s">
        <v>251</v>
      </c>
      <c r="R114">
        <v>0</v>
      </c>
      <c r="S114">
        <v>0</v>
      </c>
      <c r="T114" t="s">
        <v>31</v>
      </c>
    </row>
    <row r="115" spans="1:20" x14ac:dyDescent="0.3">
      <c r="A115">
        <v>335</v>
      </c>
      <c r="B115" t="s">
        <v>252</v>
      </c>
      <c r="C115" t="s">
        <v>130</v>
      </c>
      <c r="D115" t="s">
        <v>66</v>
      </c>
      <c r="E115" t="s">
        <v>32</v>
      </c>
      <c r="F115" s="2">
        <v>45291</v>
      </c>
      <c r="G115">
        <v>2023</v>
      </c>
      <c r="H115" t="s">
        <v>44</v>
      </c>
      <c r="I115" t="s">
        <v>49</v>
      </c>
      <c r="J115">
        <v>2</v>
      </c>
      <c r="K115">
        <v>80</v>
      </c>
      <c r="L115">
        <v>93.85</v>
      </c>
      <c r="M115">
        <v>1.173125</v>
      </c>
      <c r="N115">
        <v>1.173125</v>
      </c>
      <c r="O115" t="s">
        <v>58</v>
      </c>
      <c r="P115" t="s">
        <v>58</v>
      </c>
      <c r="Q115" t="s">
        <v>253</v>
      </c>
      <c r="R115">
        <v>0</v>
      </c>
      <c r="S115">
        <v>0</v>
      </c>
      <c r="T115" t="s">
        <v>31</v>
      </c>
    </row>
    <row r="116" spans="1:20" x14ac:dyDescent="0.3">
      <c r="A116">
        <v>335</v>
      </c>
      <c r="B116" t="s">
        <v>252</v>
      </c>
      <c r="C116" t="s">
        <v>130</v>
      </c>
      <c r="D116" t="s">
        <v>66</v>
      </c>
      <c r="E116" t="s">
        <v>32</v>
      </c>
      <c r="F116" s="2">
        <v>45657</v>
      </c>
      <c r="G116">
        <v>2024</v>
      </c>
      <c r="H116" t="s">
        <v>44</v>
      </c>
      <c r="I116" t="s">
        <v>53</v>
      </c>
      <c r="J116">
        <v>2</v>
      </c>
      <c r="K116">
        <v>82</v>
      </c>
      <c r="L116">
        <v>80.95</v>
      </c>
      <c r="M116">
        <v>0.9871951219512195</v>
      </c>
      <c r="N116">
        <v>0.9871951219512195</v>
      </c>
      <c r="Q116" t="s">
        <v>254</v>
      </c>
      <c r="R116">
        <v>0</v>
      </c>
      <c r="S116">
        <v>0</v>
      </c>
      <c r="T116" t="s">
        <v>31</v>
      </c>
    </row>
    <row r="117" spans="1:20" x14ac:dyDescent="0.3">
      <c r="A117">
        <v>339</v>
      </c>
      <c r="B117" t="s">
        <v>255</v>
      </c>
      <c r="C117" t="s">
        <v>256</v>
      </c>
      <c r="D117" t="s">
        <v>66</v>
      </c>
      <c r="E117" t="s">
        <v>32</v>
      </c>
      <c r="F117" s="2">
        <v>45291</v>
      </c>
      <c r="G117">
        <v>2023</v>
      </c>
      <c r="H117" t="s">
        <v>44</v>
      </c>
      <c r="I117" t="s">
        <v>49</v>
      </c>
      <c r="J117">
        <v>2</v>
      </c>
      <c r="K117">
        <v>30</v>
      </c>
      <c r="L117">
        <v>28.57</v>
      </c>
      <c r="M117">
        <v>0.95233333333333337</v>
      </c>
      <c r="N117">
        <v>0.95233333333333337</v>
      </c>
      <c r="O117" t="s">
        <v>58</v>
      </c>
      <c r="P117" t="s">
        <v>58</v>
      </c>
      <c r="Q117" t="s">
        <v>257</v>
      </c>
      <c r="R117">
        <v>0</v>
      </c>
      <c r="S117">
        <v>1</v>
      </c>
      <c r="T117" t="s">
        <v>31</v>
      </c>
    </row>
    <row r="118" spans="1:20" x14ac:dyDescent="0.3">
      <c r="A118">
        <v>339</v>
      </c>
      <c r="B118" t="s">
        <v>255</v>
      </c>
      <c r="C118" t="s">
        <v>256</v>
      </c>
      <c r="D118" t="s">
        <v>66</v>
      </c>
      <c r="E118" t="s">
        <v>32</v>
      </c>
      <c r="F118" s="2">
        <v>45657</v>
      </c>
      <c r="G118">
        <v>2024</v>
      </c>
      <c r="H118" t="s">
        <v>44</v>
      </c>
      <c r="I118" t="s">
        <v>53</v>
      </c>
      <c r="J118">
        <v>2</v>
      </c>
      <c r="K118">
        <v>30</v>
      </c>
      <c r="L118">
        <v>30.3</v>
      </c>
      <c r="M118">
        <v>1.01</v>
      </c>
      <c r="N118">
        <v>1.01</v>
      </c>
      <c r="O118" t="s">
        <v>58</v>
      </c>
      <c r="P118" t="s">
        <v>58</v>
      </c>
      <c r="Q118" t="s">
        <v>258</v>
      </c>
      <c r="R118">
        <v>0</v>
      </c>
      <c r="S118">
        <v>1</v>
      </c>
      <c r="T118" t="s">
        <v>31</v>
      </c>
    </row>
    <row r="119" spans="1:20" x14ac:dyDescent="0.3">
      <c r="A119">
        <v>353</v>
      </c>
      <c r="B119" t="s">
        <v>259</v>
      </c>
      <c r="C119" t="s">
        <v>260</v>
      </c>
      <c r="D119" t="s">
        <v>31</v>
      </c>
      <c r="E119" t="s">
        <v>32</v>
      </c>
      <c r="F119" s="2">
        <v>45107</v>
      </c>
      <c r="G119">
        <v>2023</v>
      </c>
      <c r="H119" t="s">
        <v>33</v>
      </c>
      <c r="I119" t="s">
        <v>47</v>
      </c>
      <c r="J119">
        <v>1</v>
      </c>
      <c r="K119">
        <v>25</v>
      </c>
      <c r="L119">
        <v>40.384615384615401</v>
      </c>
      <c r="M119">
        <v>1.3</v>
      </c>
      <c r="N119">
        <v>1.6153846153846161</v>
      </c>
      <c r="Q119" t="s">
        <v>261</v>
      </c>
      <c r="R119">
        <v>1</v>
      </c>
      <c r="S119">
        <v>1</v>
      </c>
      <c r="T119" t="s">
        <v>31</v>
      </c>
    </row>
    <row r="120" spans="1:20" x14ac:dyDescent="0.3">
      <c r="A120">
        <v>353</v>
      </c>
      <c r="B120" t="s">
        <v>259</v>
      </c>
      <c r="C120" t="s">
        <v>260</v>
      </c>
      <c r="D120" t="s">
        <v>31</v>
      </c>
      <c r="E120" t="s">
        <v>32</v>
      </c>
      <c r="F120" s="2">
        <v>45291</v>
      </c>
      <c r="G120">
        <v>2023</v>
      </c>
      <c r="H120" t="s">
        <v>44</v>
      </c>
      <c r="I120" t="s">
        <v>49</v>
      </c>
      <c r="J120">
        <v>2</v>
      </c>
      <c r="K120">
        <v>35</v>
      </c>
      <c r="L120">
        <v>40.384615384615401</v>
      </c>
      <c r="M120">
        <v>1.153846153846154</v>
      </c>
      <c r="N120">
        <v>1.153846153846154</v>
      </c>
      <c r="Q120" t="s">
        <v>265</v>
      </c>
      <c r="R120">
        <v>1</v>
      </c>
      <c r="S120">
        <v>1</v>
      </c>
      <c r="T120" t="s">
        <v>31</v>
      </c>
    </row>
    <row r="121" spans="1:20" x14ac:dyDescent="0.3">
      <c r="A121">
        <v>361</v>
      </c>
      <c r="B121" t="s">
        <v>470</v>
      </c>
      <c r="C121" t="s">
        <v>267</v>
      </c>
      <c r="D121" t="s">
        <v>66</v>
      </c>
      <c r="E121" t="s">
        <v>32</v>
      </c>
      <c r="F121" s="2">
        <v>45291</v>
      </c>
      <c r="G121">
        <v>2023</v>
      </c>
      <c r="H121" t="s">
        <v>44</v>
      </c>
      <c r="I121" t="s">
        <v>49</v>
      </c>
      <c r="J121">
        <v>2</v>
      </c>
      <c r="K121">
        <v>4.5</v>
      </c>
      <c r="L121">
        <v>4.5599999999999996</v>
      </c>
      <c r="M121">
        <v>1.013333333333333</v>
      </c>
      <c r="N121">
        <v>1.013333333333333</v>
      </c>
      <c r="Q121" t="s">
        <v>268</v>
      </c>
      <c r="R121">
        <v>2</v>
      </c>
      <c r="S121">
        <v>2</v>
      </c>
      <c r="T121" t="s">
        <v>31</v>
      </c>
    </row>
    <row r="122" spans="1:20" x14ac:dyDescent="0.3">
      <c r="A122">
        <v>361</v>
      </c>
      <c r="B122" t="s">
        <v>470</v>
      </c>
      <c r="C122" t="s">
        <v>267</v>
      </c>
      <c r="D122" t="s">
        <v>66</v>
      </c>
      <c r="E122" t="s">
        <v>32</v>
      </c>
      <c r="F122" s="2">
        <v>45657</v>
      </c>
      <c r="G122">
        <v>2024</v>
      </c>
      <c r="H122" t="s">
        <v>44</v>
      </c>
      <c r="I122" t="s">
        <v>53</v>
      </c>
      <c r="J122">
        <v>2</v>
      </c>
      <c r="K122">
        <v>0</v>
      </c>
      <c r="O122" t="s">
        <v>35</v>
      </c>
      <c r="Q122" t="s">
        <v>270</v>
      </c>
      <c r="R122">
        <v>0</v>
      </c>
      <c r="S122">
        <v>0</v>
      </c>
      <c r="T122" t="s">
        <v>31</v>
      </c>
    </row>
    <row r="123" spans="1:20" x14ac:dyDescent="0.3">
      <c r="A123">
        <v>364</v>
      </c>
      <c r="B123" t="s">
        <v>271</v>
      </c>
      <c r="C123" t="s">
        <v>267</v>
      </c>
      <c r="D123" t="s">
        <v>31</v>
      </c>
      <c r="E123" t="s">
        <v>171</v>
      </c>
      <c r="F123" s="2">
        <v>45107</v>
      </c>
      <c r="G123">
        <v>2023</v>
      </c>
      <c r="H123" t="s">
        <v>33</v>
      </c>
      <c r="I123" t="s">
        <v>47</v>
      </c>
      <c r="J123">
        <v>1</v>
      </c>
      <c r="K123">
        <v>0</v>
      </c>
      <c r="L123">
        <v>30173</v>
      </c>
      <c r="M123">
        <v>0</v>
      </c>
      <c r="N123">
        <v>0</v>
      </c>
      <c r="O123" t="s">
        <v>131</v>
      </c>
      <c r="P123" t="s">
        <v>35</v>
      </c>
      <c r="Q123" t="s">
        <v>272</v>
      </c>
      <c r="R123">
        <v>0</v>
      </c>
      <c r="S123">
        <v>0</v>
      </c>
      <c r="T123" t="s">
        <v>31</v>
      </c>
    </row>
    <row r="124" spans="1:20" x14ac:dyDescent="0.3">
      <c r="A124">
        <v>364</v>
      </c>
      <c r="B124" t="s">
        <v>271</v>
      </c>
      <c r="C124" t="s">
        <v>267</v>
      </c>
      <c r="D124" t="s">
        <v>31</v>
      </c>
      <c r="E124" t="s">
        <v>171</v>
      </c>
      <c r="F124" s="2">
        <v>45291</v>
      </c>
      <c r="G124">
        <v>2023</v>
      </c>
      <c r="H124" t="s">
        <v>44</v>
      </c>
      <c r="I124" t="s">
        <v>49</v>
      </c>
      <c r="J124">
        <v>2</v>
      </c>
      <c r="K124">
        <v>0</v>
      </c>
      <c r="L124">
        <v>48277</v>
      </c>
      <c r="M124">
        <v>0</v>
      </c>
      <c r="N124">
        <v>0</v>
      </c>
      <c r="O124" t="s">
        <v>131</v>
      </c>
      <c r="P124" t="s">
        <v>35</v>
      </c>
      <c r="Q124" t="s">
        <v>276</v>
      </c>
      <c r="R124">
        <v>0</v>
      </c>
      <c r="S124">
        <v>0</v>
      </c>
      <c r="T124" t="s">
        <v>31</v>
      </c>
    </row>
    <row r="125" spans="1:20" x14ac:dyDescent="0.3">
      <c r="A125">
        <v>364</v>
      </c>
      <c r="B125" t="s">
        <v>271</v>
      </c>
      <c r="C125" t="s">
        <v>267</v>
      </c>
      <c r="D125" t="s">
        <v>31</v>
      </c>
      <c r="E125" t="s">
        <v>32</v>
      </c>
      <c r="F125" s="2">
        <v>45473</v>
      </c>
      <c r="G125">
        <v>2024</v>
      </c>
      <c r="H125" t="s">
        <v>33</v>
      </c>
      <c r="I125" t="s">
        <v>51</v>
      </c>
      <c r="J125">
        <v>1</v>
      </c>
      <c r="K125">
        <v>31694</v>
      </c>
      <c r="L125">
        <v>42069</v>
      </c>
      <c r="M125">
        <v>1.013513513513514</v>
      </c>
      <c r="N125">
        <v>1.013513513513514</v>
      </c>
      <c r="O125" t="s">
        <v>35</v>
      </c>
      <c r="P125" t="s">
        <v>35</v>
      </c>
      <c r="Q125" t="s">
        <v>277</v>
      </c>
      <c r="R125">
        <v>0</v>
      </c>
      <c r="S125">
        <v>0</v>
      </c>
      <c r="T125" t="s">
        <v>31</v>
      </c>
    </row>
    <row r="126" spans="1:20" x14ac:dyDescent="0.3">
      <c r="A126">
        <v>364</v>
      </c>
      <c r="B126" t="s">
        <v>271</v>
      </c>
      <c r="C126" t="s">
        <v>267</v>
      </c>
      <c r="D126" t="s">
        <v>31</v>
      </c>
      <c r="E126" t="s">
        <v>32</v>
      </c>
      <c r="F126" s="2">
        <v>45657</v>
      </c>
      <c r="G126">
        <v>2024</v>
      </c>
      <c r="H126" t="s">
        <v>44</v>
      </c>
      <c r="I126" t="s">
        <v>53</v>
      </c>
      <c r="J126">
        <v>2</v>
      </c>
      <c r="K126">
        <v>47541</v>
      </c>
      <c r="L126">
        <v>46635</v>
      </c>
      <c r="M126">
        <v>0.98094276519214996</v>
      </c>
      <c r="N126">
        <v>0.98094276519214996</v>
      </c>
      <c r="O126" t="s">
        <v>35</v>
      </c>
      <c r="P126" t="s">
        <v>35</v>
      </c>
      <c r="Q126" t="s">
        <v>278</v>
      </c>
      <c r="R126">
        <v>0</v>
      </c>
      <c r="S126">
        <v>0</v>
      </c>
      <c r="T126" t="s">
        <v>31</v>
      </c>
    </row>
    <row r="127" spans="1:20" x14ac:dyDescent="0.3">
      <c r="A127">
        <v>367</v>
      </c>
      <c r="B127" t="s">
        <v>279</v>
      </c>
      <c r="C127" t="s">
        <v>267</v>
      </c>
      <c r="D127" t="s">
        <v>66</v>
      </c>
      <c r="E127" t="s">
        <v>32</v>
      </c>
      <c r="F127" s="2">
        <v>45291</v>
      </c>
      <c r="G127">
        <v>2023</v>
      </c>
      <c r="H127" t="s">
        <v>44</v>
      </c>
      <c r="I127" t="s">
        <v>49</v>
      </c>
      <c r="J127">
        <v>2</v>
      </c>
      <c r="K127">
        <v>5</v>
      </c>
      <c r="L127">
        <v>6.25</v>
      </c>
      <c r="M127">
        <v>1.25</v>
      </c>
      <c r="N127">
        <v>1.25</v>
      </c>
      <c r="O127" t="s">
        <v>58</v>
      </c>
      <c r="P127" t="s">
        <v>58</v>
      </c>
      <c r="Q127" t="s">
        <v>280</v>
      </c>
      <c r="R127">
        <v>2</v>
      </c>
      <c r="S127">
        <v>2</v>
      </c>
      <c r="T127" t="s">
        <v>31</v>
      </c>
    </row>
    <row r="128" spans="1:20" x14ac:dyDescent="0.3">
      <c r="A128">
        <v>367</v>
      </c>
      <c r="B128" t="s">
        <v>279</v>
      </c>
      <c r="C128" t="s">
        <v>267</v>
      </c>
      <c r="D128" t="s">
        <v>66</v>
      </c>
      <c r="E128" t="s">
        <v>32</v>
      </c>
      <c r="F128" s="2">
        <v>45657</v>
      </c>
      <c r="G128">
        <v>2024</v>
      </c>
      <c r="H128" t="s">
        <v>44</v>
      </c>
      <c r="I128" t="s">
        <v>53</v>
      </c>
      <c r="J128">
        <v>2</v>
      </c>
      <c r="K128">
        <v>5</v>
      </c>
      <c r="L128">
        <v>4.96</v>
      </c>
      <c r="M128">
        <v>0.99199999999999999</v>
      </c>
      <c r="N128">
        <v>0.99199999999999999</v>
      </c>
      <c r="O128" t="s">
        <v>58</v>
      </c>
      <c r="P128" t="s">
        <v>58</v>
      </c>
      <c r="Q128" t="s">
        <v>282</v>
      </c>
      <c r="R128">
        <v>2</v>
      </c>
      <c r="S128">
        <v>2</v>
      </c>
      <c r="T128" t="s">
        <v>31</v>
      </c>
    </row>
    <row r="129" spans="1:20" x14ac:dyDescent="0.3">
      <c r="A129">
        <v>369</v>
      </c>
      <c r="B129" t="s">
        <v>283</v>
      </c>
      <c r="C129" t="s">
        <v>267</v>
      </c>
      <c r="D129" t="s">
        <v>31</v>
      </c>
      <c r="E129" t="s">
        <v>32</v>
      </c>
      <c r="F129" s="2">
        <v>45107</v>
      </c>
      <c r="G129">
        <v>2023</v>
      </c>
      <c r="H129" t="s">
        <v>33</v>
      </c>
      <c r="I129" t="s">
        <v>47</v>
      </c>
      <c r="J129">
        <v>1</v>
      </c>
      <c r="K129">
        <v>0</v>
      </c>
      <c r="L129">
        <v>78</v>
      </c>
      <c r="O129" t="s">
        <v>284</v>
      </c>
      <c r="P129" t="s">
        <v>35</v>
      </c>
      <c r="Q129" t="s">
        <v>285</v>
      </c>
      <c r="R129">
        <v>0</v>
      </c>
      <c r="S129">
        <v>0</v>
      </c>
      <c r="T129" t="s">
        <v>31</v>
      </c>
    </row>
    <row r="130" spans="1:20" x14ac:dyDescent="0.3">
      <c r="A130">
        <v>369</v>
      </c>
      <c r="B130" t="s">
        <v>283</v>
      </c>
      <c r="C130" t="s">
        <v>267</v>
      </c>
      <c r="D130" t="s">
        <v>31</v>
      </c>
      <c r="E130" t="s">
        <v>32</v>
      </c>
      <c r="F130" s="2">
        <v>45291</v>
      </c>
      <c r="G130">
        <v>2023</v>
      </c>
      <c r="H130" t="s">
        <v>44</v>
      </c>
      <c r="I130" t="s">
        <v>49</v>
      </c>
      <c r="J130">
        <v>2</v>
      </c>
      <c r="K130">
        <v>0</v>
      </c>
      <c r="L130">
        <v>96</v>
      </c>
      <c r="O130" t="s">
        <v>284</v>
      </c>
      <c r="P130" t="s">
        <v>35</v>
      </c>
      <c r="Q130" t="s">
        <v>286</v>
      </c>
      <c r="R130">
        <v>0</v>
      </c>
      <c r="S130">
        <v>0</v>
      </c>
      <c r="T130" t="s">
        <v>31</v>
      </c>
    </row>
    <row r="131" spans="1:20" x14ac:dyDescent="0.3">
      <c r="A131">
        <v>369</v>
      </c>
      <c r="B131" t="s">
        <v>283</v>
      </c>
      <c r="C131" t="s">
        <v>267</v>
      </c>
      <c r="D131" t="s">
        <v>31</v>
      </c>
      <c r="E131" t="s">
        <v>32</v>
      </c>
      <c r="F131" s="2">
        <v>45473</v>
      </c>
      <c r="G131">
        <v>2024</v>
      </c>
      <c r="H131" t="s">
        <v>33</v>
      </c>
      <c r="I131" t="s">
        <v>51</v>
      </c>
      <c r="J131">
        <v>1</v>
      </c>
      <c r="K131">
        <v>80</v>
      </c>
      <c r="L131">
        <v>61</v>
      </c>
      <c r="M131">
        <v>0.76249999999999996</v>
      </c>
      <c r="N131">
        <v>0.76249999999999996</v>
      </c>
      <c r="O131" t="s">
        <v>35</v>
      </c>
      <c r="P131" t="s">
        <v>35</v>
      </c>
      <c r="Q131" t="s">
        <v>287</v>
      </c>
      <c r="R131">
        <v>0</v>
      </c>
      <c r="S131">
        <v>0</v>
      </c>
      <c r="T131" t="s">
        <v>31</v>
      </c>
    </row>
    <row r="132" spans="1:20" x14ac:dyDescent="0.3">
      <c r="A132">
        <v>369</v>
      </c>
      <c r="B132" t="s">
        <v>283</v>
      </c>
      <c r="C132" t="s">
        <v>267</v>
      </c>
      <c r="D132" t="s">
        <v>31</v>
      </c>
      <c r="E132" t="s">
        <v>32</v>
      </c>
      <c r="F132" s="2">
        <v>45657</v>
      </c>
      <c r="G132">
        <v>2024</v>
      </c>
      <c r="H132" t="s">
        <v>44</v>
      </c>
      <c r="I132" t="s">
        <v>53</v>
      </c>
      <c r="J132">
        <v>2</v>
      </c>
      <c r="K132">
        <v>108</v>
      </c>
      <c r="L132">
        <v>77</v>
      </c>
      <c r="M132">
        <v>0.71296296296296291</v>
      </c>
      <c r="N132">
        <v>0.71296296296296291</v>
      </c>
      <c r="O132" t="s">
        <v>35</v>
      </c>
      <c r="P132" t="s">
        <v>35</v>
      </c>
      <c r="Q132" t="s">
        <v>288</v>
      </c>
      <c r="R132">
        <v>0</v>
      </c>
      <c r="S132">
        <v>0</v>
      </c>
      <c r="T132" t="s">
        <v>31</v>
      </c>
    </row>
    <row r="133" spans="1:20" x14ac:dyDescent="0.3">
      <c r="A133">
        <v>376</v>
      </c>
      <c r="B133" t="s">
        <v>289</v>
      </c>
      <c r="C133" t="s">
        <v>142</v>
      </c>
      <c r="D133" t="s">
        <v>31</v>
      </c>
      <c r="E133" t="s">
        <v>32</v>
      </c>
      <c r="F133" s="2">
        <v>44742</v>
      </c>
      <c r="G133">
        <v>2022</v>
      </c>
      <c r="H133" t="s">
        <v>33</v>
      </c>
      <c r="I133" t="s">
        <v>34</v>
      </c>
      <c r="J133">
        <v>1</v>
      </c>
      <c r="K133">
        <v>10494</v>
      </c>
      <c r="L133">
        <v>14221</v>
      </c>
      <c r="M133">
        <v>1.3</v>
      </c>
      <c r="N133">
        <v>1.35515532685344</v>
      </c>
      <c r="O133" t="s">
        <v>143</v>
      </c>
      <c r="P133" t="s">
        <v>143</v>
      </c>
      <c r="Q133" t="s">
        <v>290</v>
      </c>
      <c r="R133">
        <v>0</v>
      </c>
      <c r="S133">
        <v>0</v>
      </c>
      <c r="T133" t="s">
        <v>31</v>
      </c>
    </row>
    <row r="134" spans="1:20" x14ac:dyDescent="0.3">
      <c r="A134">
        <v>376</v>
      </c>
      <c r="B134" t="s">
        <v>289</v>
      </c>
      <c r="C134" t="s">
        <v>142</v>
      </c>
      <c r="D134" t="s">
        <v>31</v>
      </c>
      <c r="E134" t="s">
        <v>32</v>
      </c>
      <c r="F134" s="2">
        <v>44925</v>
      </c>
      <c r="G134">
        <v>2022</v>
      </c>
      <c r="H134" t="s">
        <v>44</v>
      </c>
      <c r="I134" t="s">
        <v>45</v>
      </c>
      <c r="J134">
        <v>2</v>
      </c>
      <c r="K134">
        <v>5570</v>
      </c>
      <c r="L134">
        <v>9919</v>
      </c>
      <c r="M134">
        <v>1.3</v>
      </c>
      <c r="N134">
        <v>1.7807899461400361</v>
      </c>
      <c r="O134" t="s">
        <v>143</v>
      </c>
      <c r="P134" t="s">
        <v>143</v>
      </c>
      <c r="Q134" t="s">
        <v>291</v>
      </c>
      <c r="R134">
        <v>0</v>
      </c>
      <c r="S134">
        <v>0</v>
      </c>
      <c r="T134" t="s">
        <v>31</v>
      </c>
    </row>
    <row r="135" spans="1:20" x14ac:dyDescent="0.3">
      <c r="A135">
        <v>376</v>
      </c>
      <c r="B135" t="s">
        <v>289</v>
      </c>
      <c r="C135" t="s">
        <v>142</v>
      </c>
      <c r="D135" t="s">
        <v>31</v>
      </c>
      <c r="E135" t="s">
        <v>32</v>
      </c>
      <c r="F135" s="2">
        <v>45107</v>
      </c>
      <c r="G135">
        <v>2023</v>
      </c>
      <c r="H135" t="s">
        <v>33</v>
      </c>
      <c r="I135" t="s">
        <v>47</v>
      </c>
      <c r="J135">
        <v>1</v>
      </c>
      <c r="K135">
        <v>8796.2412700000004</v>
      </c>
      <c r="L135">
        <v>13169.941457999999</v>
      </c>
      <c r="M135">
        <v>1.3</v>
      </c>
      <c r="N135">
        <v>1.4972237633950209</v>
      </c>
      <c r="O135" t="s">
        <v>143</v>
      </c>
      <c r="P135" t="s">
        <v>143</v>
      </c>
      <c r="Q135" t="s">
        <v>292</v>
      </c>
      <c r="R135">
        <v>0</v>
      </c>
      <c r="S135">
        <v>0</v>
      </c>
      <c r="T135" t="s">
        <v>31</v>
      </c>
    </row>
    <row r="136" spans="1:20" x14ac:dyDescent="0.3">
      <c r="A136">
        <v>376</v>
      </c>
      <c r="B136" t="s">
        <v>289</v>
      </c>
      <c r="C136" t="s">
        <v>142</v>
      </c>
      <c r="D136" t="s">
        <v>31</v>
      </c>
      <c r="E136" t="s">
        <v>32</v>
      </c>
      <c r="F136" s="2">
        <v>45291</v>
      </c>
      <c r="G136">
        <v>2023</v>
      </c>
      <c r="H136" t="s">
        <v>44</v>
      </c>
      <c r="I136" t="s">
        <v>49</v>
      </c>
      <c r="J136">
        <v>2</v>
      </c>
      <c r="K136">
        <v>26073.47270271854</v>
      </c>
      <c r="L136">
        <v>26403.087925999949</v>
      </c>
      <c r="M136">
        <v>1.012641784507939</v>
      </c>
      <c r="N136">
        <v>1.012641784507939</v>
      </c>
      <c r="O136" t="s">
        <v>143</v>
      </c>
      <c r="P136" t="s">
        <v>143</v>
      </c>
      <c r="Q136" t="s">
        <v>293</v>
      </c>
      <c r="R136">
        <v>0</v>
      </c>
      <c r="S136">
        <v>0</v>
      </c>
      <c r="T136" t="s">
        <v>31</v>
      </c>
    </row>
    <row r="137" spans="1:20" x14ac:dyDescent="0.3">
      <c r="A137">
        <v>376</v>
      </c>
      <c r="B137" t="s">
        <v>289</v>
      </c>
      <c r="C137" t="s">
        <v>142</v>
      </c>
      <c r="D137" t="s">
        <v>31</v>
      </c>
      <c r="E137" t="s">
        <v>32</v>
      </c>
      <c r="F137" s="2">
        <v>45473</v>
      </c>
      <c r="G137">
        <v>2024</v>
      </c>
      <c r="H137" t="s">
        <v>33</v>
      </c>
      <c r="I137" t="s">
        <v>51</v>
      </c>
      <c r="J137">
        <v>1</v>
      </c>
      <c r="K137">
        <v>14136.961539</v>
      </c>
      <c r="L137">
        <v>14702.219810000001</v>
      </c>
      <c r="M137">
        <v>1.039984424477679</v>
      </c>
      <c r="N137">
        <v>1.039984424477679</v>
      </c>
      <c r="O137" t="s">
        <v>143</v>
      </c>
      <c r="P137" t="s">
        <v>143</v>
      </c>
      <c r="Q137" t="s">
        <v>294</v>
      </c>
      <c r="R137">
        <v>0</v>
      </c>
      <c r="S137">
        <v>0</v>
      </c>
      <c r="T137" t="s">
        <v>31</v>
      </c>
    </row>
    <row r="138" spans="1:20" x14ac:dyDescent="0.3">
      <c r="A138">
        <v>376</v>
      </c>
      <c r="B138" t="s">
        <v>289</v>
      </c>
      <c r="C138" t="s">
        <v>142</v>
      </c>
      <c r="D138" t="s">
        <v>31</v>
      </c>
      <c r="E138" t="s">
        <v>32</v>
      </c>
      <c r="F138" s="2">
        <v>45657</v>
      </c>
      <c r="G138">
        <v>2024</v>
      </c>
      <c r="H138" t="s">
        <v>44</v>
      </c>
      <c r="I138" t="s">
        <v>53</v>
      </c>
      <c r="J138">
        <v>2</v>
      </c>
      <c r="K138">
        <v>12873.146741834509</v>
      </c>
      <c r="L138">
        <v>14765.702302</v>
      </c>
      <c r="M138">
        <v>1.1470157684146609</v>
      </c>
      <c r="N138">
        <v>1.1470157684146609</v>
      </c>
      <c r="O138" t="s">
        <v>143</v>
      </c>
      <c r="P138" t="s">
        <v>143</v>
      </c>
      <c r="Q138" t="s">
        <v>295</v>
      </c>
      <c r="R138">
        <v>0</v>
      </c>
      <c r="S138">
        <v>0</v>
      </c>
      <c r="T138" t="s">
        <v>31</v>
      </c>
    </row>
    <row r="139" spans="1:20" x14ac:dyDescent="0.3">
      <c r="A139">
        <v>377</v>
      </c>
      <c r="B139" t="s">
        <v>296</v>
      </c>
      <c r="C139" t="s">
        <v>142</v>
      </c>
      <c r="D139" t="s">
        <v>31</v>
      </c>
      <c r="E139" t="s">
        <v>171</v>
      </c>
      <c r="F139" s="2">
        <v>45107</v>
      </c>
      <c r="G139">
        <v>2023</v>
      </c>
      <c r="H139" t="s">
        <v>33</v>
      </c>
      <c r="I139" t="s">
        <v>47</v>
      </c>
      <c r="J139">
        <v>1</v>
      </c>
      <c r="K139">
        <v>7200.908222</v>
      </c>
      <c r="L139">
        <v>1606.8681489999999</v>
      </c>
      <c r="M139">
        <v>1.3</v>
      </c>
      <c r="N139">
        <v>4.4813311076464686</v>
      </c>
      <c r="O139" t="s">
        <v>143</v>
      </c>
      <c r="P139" t="s">
        <v>143</v>
      </c>
      <c r="Q139" t="s">
        <v>297</v>
      </c>
      <c r="R139">
        <v>0</v>
      </c>
      <c r="S139">
        <v>0</v>
      </c>
      <c r="T139" t="s">
        <v>31</v>
      </c>
    </row>
    <row r="140" spans="1:20" x14ac:dyDescent="0.3">
      <c r="A140">
        <v>377</v>
      </c>
      <c r="B140" t="s">
        <v>296</v>
      </c>
      <c r="C140" t="s">
        <v>142</v>
      </c>
      <c r="D140" t="s">
        <v>31</v>
      </c>
      <c r="E140" t="s">
        <v>171</v>
      </c>
      <c r="F140" s="2">
        <v>45291</v>
      </c>
      <c r="G140">
        <v>2023</v>
      </c>
      <c r="H140" t="s">
        <v>44</v>
      </c>
      <c r="I140" t="s">
        <v>49</v>
      </c>
      <c r="J140">
        <v>2</v>
      </c>
      <c r="K140">
        <v>12518.005306706251</v>
      </c>
      <c r="L140">
        <v>7607.1384189999999</v>
      </c>
      <c r="M140">
        <v>1.3</v>
      </c>
      <c r="N140">
        <v>1.6455603430904591</v>
      </c>
      <c r="O140" t="s">
        <v>143</v>
      </c>
      <c r="P140" t="s">
        <v>143</v>
      </c>
      <c r="Q140" t="s">
        <v>298</v>
      </c>
      <c r="R140">
        <v>0</v>
      </c>
      <c r="S140">
        <v>0</v>
      </c>
      <c r="T140" t="s">
        <v>31</v>
      </c>
    </row>
    <row r="141" spans="1:20" x14ac:dyDescent="0.3">
      <c r="A141">
        <v>377</v>
      </c>
      <c r="B141" t="s">
        <v>296</v>
      </c>
      <c r="C141" t="s">
        <v>142</v>
      </c>
      <c r="D141" t="s">
        <v>31</v>
      </c>
      <c r="E141" t="s">
        <v>171</v>
      </c>
      <c r="F141" s="2">
        <v>45473</v>
      </c>
      <c r="G141">
        <v>2024</v>
      </c>
      <c r="H141" t="s">
        <v>33</v>
      </c>
      <c r="I141" t="s">
        <v>51</v>
      </c>
      <c r="J141">
        <v>1</v>
      </c>
      <c r="K141">
        <v>4468.4024010000003</v>
      </c>
      <c r="L141">
        <v>2155.4775049999998</v>
      </c>
      <c r="M141">
        <v>1.3</v>
      </c>
      <c r="N141">
        <v>2.0730452489690911</v>
      </c>
      <c r="O141" t="s">
        <v>143</v>
      </c>
      <c r="P141" t="s">
        <v>143</v>
      </c>
      <c r="Q141" t="s">
        <v>299</v>
      </c>
      <c r="R141">
        <v>0</v>
      </c>
      <c r="S141">
        <v>0</v>
      </c>
      <c r="T141" t="s">
        <v>31</v>
      </c>
    </row>
    <row r="142" spans="1:20" x14ac:dyDescent="0.3">
      <c r="A142">
        <v>377</v>
      </c>
      <c r="B142" t="s">
        <v>296</v>
      </c>
      <c r="C142" t="s">
        <v>142</v>
      </c>
      <c r="D142" t="s">
        <v>31</v>
      </c>
      <c r="E142" t="s">
        <v>171</v>
      </c>
      <c r="F142" s="2">
        <v>45657</v>
      </c>
      <c r="G142">
        <v>2024</v>
      </c>
      <c r="H142" t="s">
        <v>44</v>
      </c>
      <c r="I142" t="s">
        <v>53</v>
      </c>
      <c r="J142">
        <v>2</v>
      </c>
      <c r="K142">
        <v>9557.1950106811255</v>
      </c>
      <c r="L142">
        <v>11947.626618</v>
      </c>
      <c r="M142">
        <v>1.2501185342192269</v>
      </c>
      <c r="N142">
        <v>1.2501185342192269</v>
      </c>
      <c r="O142" t="s">
        <v>143</v>
      </c>
      <c r="P142" t="s">
        <v>143</v>
      </c>
      <c r="Q142" t="s">
        <v>300</v>
      </c>
      <c r="R142">
        <v>0</v>
      </c>
      <c r="S142">
        <v>0</v>
      </c>
      <c r="T142" t="s">
        <v>31</v>
      </c>
    </row>
    <row r="143" spans="1:20" x14ac:dyDescent="0.3">
      <c r="A143">
        <v>379</v>
      </c>
      <c r="B143" t="s">
        <v>301</v>
      </c>
      <c r="C143" t="s">
        <v>302</v>
      </c>
      <c r="D143" t="s">
        <v>31</v>
      </c>
      <c r="E143" t="s">
        <v>32</v>
      </c>
      <c r="F143" s="2">
        <v>44742</v>
      </c>
      <c r="G143">
        <v>2022</v>
      </c>
      <c r="H143" t="s">
        <v>33</v>
      </c>
      <c r="I143" t="s">
        <v>34</v>
      </c>
      <c r="J143">
        <v>1</v>
      </c>
      <c r="K143">
        <v>10808</v>
      </c>
      <c r="L143">
        <v>11013</v>
      </c>
      <c r="M143">
        <v>1.0189674315321979</v>
      </c>
      <c r="N143">
        <v>1.0189674315321979</v>
      </c>
      <c r="O143" t="s">
        <v>35</v>
      </c>
      <c r="P143" t="s">
        <v>35</v>
      </c>
      <c r="Q143" t="s">
        <v>303</v>
      </c>
      <c r="R143">
        <v>0</v>
      </c>
      <c r="S143">
        <v>0</v>
      </c>
      <c r="T143" t="s">
        <v>31</v>
      </c>
    </row>
    <row r="144" spans="1:20" x14ac:dyDescent="0.3">
      <c r="A144">
        <v>379</v>
      </c>
      <c r="B144" t="s">
        <v>301</v>
      </c>
      <c r="C144" t="s">
        <v>302</v>
      </c>
      <c r="D144" t="s">
        <v>31</v>
      </c>
      <c r="E144" t="s">
        <v>32</v>
      </c>
      <c r="F144" s="2">
        <v>44926</v>
      </c>
      <c r="G144">
        <v>2022</v>
      </c>
      <c r="H144" t="s">
        <v>44</v>
      </c>
      <c r="I144" t="s">
        <v>45</v>
      </c>
      <c r="J144">
        <v>2</v>
      </c>
      <c r="K144">
        <v>9192</v>
      </c>
      <c r="L144">
        <v>9678</v>
      </c>
      <c r="M144">
        <v>1.0528720626631849</v>
      </c>
      <c r="N144">
        <v>1.0528720626631849</v>
      </c>
      <c r="O144" t="s">
        <v>35</v>
      </c>
      <c r="P144" t="s">
        <v>35</v>
      </c>
      <c r="Q144" t="s">
        <v>304</v>
      </c>
      <c r="R144">
        <v>0</v>
      </c>
      <c r="S144">
        <v>0</v>
      </c>
      <c r="T144" t="s">
        <v>31</v>
      </c>
    </row>
    <row r="145" spans="1:20" x14ac:dyDescent="0.3">
      <c r="A145">
        <v>379</v>
      </c>
      <c r="B145" t="s">
        <v>301</v>
      </c>
      <c r="C145" t="s">
        <v>302</v>
      </c>
      <c r="D145" t="s">
        <v>31</v>
      </c>
      <c r="E145" t="s">
        <v>32</v>
      </c>
      <c r="F145" s="2">
        <v>45107</v>
      </c>
      <c r="G145">
        <v>2023</v>
      </c>
      <c r="H145" t="s">
        <v>33</v>
      </c>
      <c r="I145" t="s">
        <v>47</v>
      </c>
      <c r="J145">
        <v>1</v>
      </c>
      <c r="K145">
        <v>12130</v>
      </c>
      <c r="L145">
        <v>12382</v>
      </c>
      <c r="M145">
        <v>1.020774938169827</v>
      </c>
      <c r="N145">
        <v>1.020774938169827</v>
      </c>
      <c r="O145" t="s">
        <v>35</v>
      </c>
      <c r="P145" t="s">
        <v>35</v>
      </c>
      <c r="Q145" t="s">
        <v>305</v>
      </c>
      <c r="R145">
        <v>0</v>
      </c>
      <c r="S145">
        <v>0</v>
      </c>
      <c r="T145" t="s">
        <v>31</v>
      </c>
    </row>
    <row r="146" spans="1:20" x14ac:dyDescent="0.3">
      <c r="A146">
        <v>379</v>
      </c>
      <c r="B146" t="s">
        <v>301</v>
      </c>
      <c r="C146" t="s">
        <v>302</v>
      </c>
      <c r="D146" t="s">
        <v>31</v>
      </c>
      <c r="E146" t="s">
        <v>32</v>
      </c>
      <c r="F146" s="2">
        <v>45291</v>
      </c>
      <c r="G146">
        <v>2023</v>
      </c>
      <c r="H146" t="s">
        <v>44</v>
      </c>
      <c r="I146" t="s">
        <v>49</v>
      </c>
      <c r="J146">
        <v>2</v>
      </c>
      <c r="K146">
        <v>9876</v>
      </c>
      <c r="L146">
        <v>10604</v>
      </c>
      <c r="M146">
        <v>1.0737140542729851</v>
      </c>
      <c r="N146">
        <v>1.0737140542729851</v>
      </c>
      <c r="O146" t="s">
        <v>35</v>
      </c>
      <c r="P146" t="s">
        <v>35</v>
      </c>
      <c r="Q146" t="s">
        <v>306</v>
      </c>
      <c r="R146">
        <v>0</v>
      </c>
      <c r="S146">
        <v>0</v>
      </c>
      <c r="T146" t="s">
        <v>31</v>
      </c>
    </row>
    <row r="147" spans="1:20" x14ac:dyDescent="0.3">
      <c r="A147">
        <v>379</v>
      </c>
      <c r="B147" t="s">
        <v>301</v>
      </c>
      <c r="C147" t="s">
        <v>302</v>
      </c>
      <c r="D147" t="s">
        <v>31</v>
      </c>
      <c r="E147" t="s">
        <v>32</v>
      </c>
      <c r="F147" s="2">
        <v>45473</v>
      </c>
      <c r="G147">
        <v>2024</v>
      </c>
      <c r="H147" t="s">
        <v>33</v>
      </c>
      <c r="I147" t="s">
        <v>51</v>
      </c>
      <c r="J147">
        <v>1</v>
      </c>
      <c r="K147">
        <v>13590</v>
      </c>
      <c r="L147">
        <v>12987</v>
      </c>
      <c r="M147">
        <v>0.95562913907284763</v>
      </c>
      <c r="N147">
        <v>0.95562913907284763</v>
      </c>
      <c r="O147" t="s">
        <v>35</v>
      </c>
      <c r="P147" t="s">
        <v>35</v>
      </c>
      <c r="Q147" t="s">
        <v>307</v>
      </c>
      <c r="R147">
        <v>0</v>
      </c>
      <c r="S147">
        <v>0</v>
      </c>
      <c r="T147" t="s">
        <v>31</v>
      </c>
    </row>
    <row r="148" spans="1:20" x14ac:dyDescent="0.3">
      <c r="A148">
        <v>379</v>
      </c>
      <c r="B148" t="s">
        <v>301</v>
      </c>
      <c r="C148" t="s">
        <v>302</v>
      </c>
      <c r="D148" t="s">
        <v>31</v>
      </c>
      <c r="E148" t="s">
        <v>32</v>
      </c>
      <c r="F148" s="2">
        <v>45657</v>
      </c>
      <c r="G148">
        <v>2024</v>
      </c>
      <c r="H148" t="s">
        <v>44</v>
      </c>
      <c r="I148" t="s">
        <v>53</v>
      </c>
      <c r="J148">
        <v>2</v>
      </c>
      <c r="K148">
        <v>10675</v>
      </c>
      <c r="L148">
        <v>10569</v>
      </c>
      <c r="M148">
        <v>0.99007025761124123</v>
      </c>
      <c r="N148">
        <v>0.99007025761124123</v>
      </c>
      <c r="O148" t="s">
        <v>35</v>
      </c>
      <c r="P148" t="s">
        <v>35</v>
      </c>
      <c r="Q148" t="s">
        <v>308</v>
      </c>
      <c r="R148">
        <v>0</v>
      </c>
      <c r="S148">
        <v>0</v>
      </c>
      <c r="T148" t="s">
        <v>31</v>
      </c>
    </row>
    <row r="149" spans="1:20" x14ac:dyDescent="0.3">
      <c r="A149">
        <v>385</v>
      </c>
      <c r="B149" t="s">
        <v>309</v>
      </c>
      <c r="C149" t="s">
        <v>310</v>
      </c>
      <c r="D149" t="s">
        <v>31</v>
      </c>
      <c r="E149" t="s">
        <v>32</v>
      </c>
      <c r="F149" s="2">
        <v>44742</v>
      </c>
      <c r="G149">
        <v>2022</v>
      </c>
      <c r="H149" t="s">
        <v>33</v>
      </c>
      <c r="I149" t="s">
        <v>34</v>
      </c>
      <c r="J149">
        <v>1</v>
      </c>
      <c r="K149">
        <v>4345.5951990000003</v>
      </c>
      <c r="L149">
        <v>4697.0352290000001</v>
      </c>
      <c r="M149">
        <v>1.0808727030260139</v>
      </c>
      <c r="N149">
        <v>1.0808727030260139</v>
      </c>
      <c r="O149" t="s">
        <v>143</v>
      </c>
      <c r="P149" t="s">
        <v>143</v>
      </c>
      <c r="Q149" t="s">
        <v>311</v>
      </c>
      <c r="R149">
        <v>0</v>
      </c>
      <c r="S149">
        <v>0</v>
      </c>
      <c r="T149" t="s">
        <v>31</v>
      </c>
    </row>
    <row r="150" spans="1:20" x14ac:dyDescent="0.3">
      <c r="A150">
        <v>385</v>
      </c>
      <c r="B150" t="s">
        <v>309</v>
      </c>
      <c r="C150" t="s">
        <v>310</v>
      </c>
      <c r="D150" t="s">
        <v>31</v>
      </c>
      <c r="E150" t="s">
        <v>32</v>
      </c>
      <c r="F150" s="2">
        <v>44926</v>
      </c>
      <c r="G150">
        <v>2022</v>
      </c>
      <c r="H150" t="s">
        <v>44</v>
      </c>
      <c r="I150" t="s">
        <v>45</v>
      </c>
      <c r="J150">
        <v>2</v>
      </c>
      <c r="K150">
        <v>9015.4048010000006</v>
      </c>
      <c r="L150">
        <v>5002.9647709999999</v>
      </c>
      <c r="M150">
        <v>0.55493512287380198</v>
      </c>
      <c r="N150">
        <v>0.55493512287380198</v>
      </c>
      <c r="O150" t="s">
        <v>143</v>
      </c>
      <c r="P150" t="s">
        <v>143</v>
      </c>
      <c r="Q150" t="s">
        <v>315</v>
      </c>
      <c r="R150">
        <v>0</v>
      </c>
      <c r="S150">
        <v>0</v>
      </c>
      <c r="T150" t="s">
        <v>31</v>
      </c>
    </row>
    <row r="151" spans="1:20" x14ac:dyDescent="0.3">
      <c r="A151">
        <v>385</v>
      </c>
      <c r="B151" t="s">
        <v>309</v>
      </c>
      <c r="C151" t="s">
        <v>310</v>
      </c>
      <c r="D151" t="s">
        <v>31</v>
      </c>
      <c r="E151" t="s">
        <v>32</v>
      </c>
      <c r="F151" s="2">
        <v>45107</v>
      </c>
      <c r="G151">
        <v>2023</v>
      </c>
      <c r="H151" t="s">
        <v>33</v>
      </c>
      <c r="I151" t="s">
        <v>47</v>
      </c>
      <c r="J151">
        <v>1</v>
      </c>
      <c r="K151">
        <v>5315.2060000000001</v>
      </c>
      <c r="L151">
        <v>5473.8577590000004</v>
      </c>
      <c r="M151">
        <v>1.0298486566654239</v>
      </c>
      <c r="N151">
        <v>1.0298486566654239</v>
      </c>
      <c r="O151" t="s">
        <v>143</v>
      </c>
      <c r="P151" t="s">
        <v>143</v>
      </c>
      <c r="Q151" t="s">
        <v>316</v>
      </c>
      <c r="R151">
        <v>0</v>
      </c>
      <c r="S151">
        <v>0</v>
      </c>
      <c r="T151" t="s">
        <v>31</v>
      </c>
    </row>
    <row r="152" spans="1:20" x14ac:dyDescent="0.3">
      <c r="A152">
        <v>385</v>
      </c>
      <c r="B152" t="s">
        <v>309</v>
      </c>
      <c r="C152" t="s">
        <v>310</v>
      </c>
      <c r="D152" t="s">
        <v>31</v>
      </c>
      <c r="E152" t="s">
        <v>32</v>
      </c>
      <c r="F152" s="2">
        <v>45291</v>
      </c>
      <c r="G152">
        <v>2023</v>
      </c>
      <c r="H152" t="s">
        <v>44</v>
      </c>
      <c r="I152" t="s">
        <v>49</v>
      </c>
      <c r="J152">
        <v>2</v>
      </c>
      <c r="K152">
        <v>8782.5149999999994</v>
      </c>
      <c r="L152">
        <v>12224.295849</v>
      </c>
      <c r="M152">
        <v>1.3</v>
      </c>
      <c r="N152">
        <v>1.3918901190604289</v>
      </c>
      <c r="O152" t="s">
        <v>143</v>
      </c>
      <c r="P152" t="s">
        <v>143</v>
      </c>
      <c r="Q152" t="s">
        <v>317</v>
      </c>
      <c r="R152">
        <v>0</v>
      </c>
      <c r="S152">
        <v>0</v>
      </c>
      <c r="T152" t="s">
        <v>31</v>
      </c>
    </row>
    <row r="153" spans="1:20" x14ac:dyDescent="0.3">
      <c r="A153">
        <v>385</v>
      </c>
      <c r="B153" t="s">
        <v>309</v>
      </c>
      <c r="C153" t="s">
        <v>310</v>
      </c>
      <c r="D153" t="s">
        <v>31</v>
      </c>
      <c r="E153" t="s">
        <v>32</v>
      </c>
      <c r="F153" s="2">
        <v>45473</v>
      </c>
      <c r="G153">
        <v>2024</v>
      </c>
      <c r="H153" t="s">
        <v>33</v>
      </c>
      <c r="I153" t="s">
        <v>51</v>
      </c>
      <c r="J153">
        <v>1</v>
      </c>
      <c r="K153">
        <v>5441.4588450000001</v>
      </c>
      <c r="L153">
        <v>6182.8620629999996</v>
      </c>
      <c r="M153">
        <v>1.1362508178631641</v>
      </c>
      <c r="N153">
        <v>1.1362508178631641</v>
      </c>
      <c r="O153" t="s">
        <v>143</v>
      </c>
      <c r="P153" t="s">
        <v>143</v>
      </c>
      <c r="Q153" t="s">
        <v>318</v>
      </c>
      <c r="R153">
        <v>0</v>
      </c>
      <c r="S153">
        <v>0</v>
      </c>
      <c r="T153" t="s">
        <v>31</v>
      </c>
    </row>
    <row r="154" spans="1:20" x14ac:dyDescent="0.3">
      <c r="A154">
        <v>385</v>
      </c>
      <c r="B154" t="s">
        <v>309</v>
      </c>
      <c r="C154" t="s">
        <v>310</v>
      </c>
      <c r="D154" t="s">
        <v>31</v>
      </c>
      <c r="E154" t="s">
        <v>32</v>
      </c>
      <c r="F154" s="2">
        <v>45657</v>
      </c>
      <c r="G154">
        <v>2024</v>
      </c>
      <c r="H154" t="s">
        <v>44</v>
      </c>
      <c r="I154" t="s">
        <v>53</v>
      </c>
      <c r="J154">
        <v>2</v>
      </c>
      <c r="K154">
        <v>10066.034255</v>
      </c>
      <c r="L154">
        <v>7062.9723630000017</v>
      </c>
      <c r="M154">
        <v>0.70166385133168818</v>
      </c>
      <c r="N154">
        <v>0.70166385133168818</v>
      </c>
      <c r="O154" t="s">
        <v>143</v>
      </c>
      <c r="P154" t="s">
        <v>143</v>
      </c>
      <c r="Q154" t="s">
        <v>319</v>
      </c>
      <c r="R154">
        <v>0</v>
      </c>
      <c r="S154">
        <v>0</v>
      </c>
      <c r="T154" t="s">
        <v>31</v>
      </c>
    </row>
    <row r="155" spans="1:20" x14ac:dyDescent="0.3">
      <c r="A155">
        <v>423</v>
      </c>
      <c r="B155" t="s">
        <v>320</v>
      </c>
      <c r="C155" t="s">
        <v>83</v>
      </c>
      <c r="D155" t="s">
        <v>66</v>
      </c>
      <c r="E155" t="s">
        <v>32</v>
      </c>
      <c r="F155" s="2">
        <v>44926</v>
      </c>
      <c r="G155">
        <v>2022</v>
      </c>
      <c r="H155" t="s">
        <v>44</v>
      </c>
      <c r="I155" t="s">
        <v>45</v>
      </c>
      <c r="J155">
        <v>2</v>
      </c>
      <c r="K155">
        <v>8.8000000000000007</v>
      </c>
      <c r="L155">
        <v>7.8</v>
      </c>
      <c r="M155">
        <v>0.88636363636363624</v>
      </c>
      <c r="N155">
        <v>0.88636363636363624</v>
      </c>
      <c r="Q155" t="s">
        <v>321</v>
      </c>
      <c r="R155">
        <v>1</v>
      </c>
      <c r="S155">
        <v>1</v>
      </c>
      <c r="T155" t="s">
        <v>31</v>
      </c>
    </row>
    <row r="156" spans="1:20" x14ac:dyDescent="0.3">
      <c r="A156">
        <v>423</v>
      </c>
      <c r="B156" t="s">
        <v>320</v>
      </c>
      <c r="C156" t="s">
        <v>83</v>
      </c>
      <c r="D156" t="s">
        <v>66</v>
      </c>
      <c r="E156" t="s">
        <v>32</v>
      </c>
      <c r="F156" s="2">
        <v>45291</v>
      </c>
      <c r="G156">
        <v>2023</v>
      </c>
      <c r="H156" t="s">
        <v>44</v>
      </c>
      <c r="I156" t="s">
        <v>49</v>
      </c>
      <c r="J156">
        <v>2</v>
      </c>
      <c r="K156">
        <v>8.4</v>
      </c>
      <c r="L156">
        <v>7.9</v>
      </c>
      <c r="M156">
        <v>0.94047619047619047</v>
      </c>
      <c r="N156">
        <v>0.94047619047619047</v>
      </c>
      <c r="Q156" t="s">
        <v>323</v>
      </c>
      <c r="R156">
        <v>1</v>
      </c>
      <c r="S156">
        <v>1</v>
      </c>
      <c r="T156" t="s">
        <v>31</v>
      </c>
    </row>
    <row r="157" spans="1:20" x14ac:dyDescent="0.3">
      <c r="A157">
        <v>423</v>
      </c>
      <c r="B157" t="s">
        <v>320</v>
      </c>
      <c r="C157" t="s">
        <v>83</v>
      </c>
      <c r="D157" t="s">
        <v>66</v>
      </c>
      <c r="E157" t="s">
        <v>32</v>
      </c>
      <c r="F157" s="2">
        <v>45657</v>
      </c>
      <c r="G157">
        <v>2024</v>
      </c>
      <c r="H157" t="s">
        <v>44</v>
      </c>
      <c r="I157" t="s">
        <v>53</v>
      </c>
      <c r="J157">
        <v>2</v>
      </c>
      <c r="K157">
        <v>8.3000000000000007</v>
      </c>
      <c r="L157">
        <v>12.3</v>
      </c>
      <c r="M157">
        <v>1.3</v>
      </c>
      <c r="N157">
        <v>1.481927710843373</v>
      </c>
      <c r="Q157" t="s">
        <v>324</v>
      </c>
      <c r="R157">
        <v>0</v>
      </c>
      <c r="S157">
        <v>0</v>
      </c>
      <c r="T157" t="s">
        <v>31</v>
      </c>
    </row>
    <row r="158" spans="1:20" x14ac:dyDescent="0.3">
      <c r="A158">
        <v>424</v>
      </c>
      <c r="B158" t="s">
        <v>325</v>
      </c>
      <c r="C158" t="s">
        <v>83</v>
      </c>
      <c r="D158" t="s">
        <v>66</v>
      </c>
      <c r="E158" t="s">
        <v>32</v>
      </c>
      <c r="F158" s="2">
        <v>44926</v>
      </c>
      <c r="G158">
        <v>2022</v>
      </c>
      <c r="H158" t="s">
        <v>44</v>
      </c>
      <c r="I158" t="s">
        <v>45</v>
      </c>
      <c r="J158">
        <v>2</v>
      </c>
      <c r="K158">
        <v>6.5</v>
      </c>
      <c r="L158">
        <v>5</v>
      </c>
      <c r="M158">
        <v>0.76923076923076927</v>
      </c>
      <c r="N158">
        <v>0.76923076923076927</v>
      </c>
      <c r="Q158" t="s">
        <v>326</v>
      </c>
      <c r="R158">
        <v>0</v>
      </c>
      <c r="S158">
        <v>0</v>
      </c>
      <c r="T158" t="s">
        <v>31</v>
      </c>
    </row>
    <row r="159" spans="1:20" x14ac:dyDescent="0.3">
      <c r="A159">
        <v>424</v>
      </c>
      <c r="B159" t="s">
        <v>325</v>
      </c>
      <c r="C159" t="s">
        <v>83</v>
      </c>
      <c r="D159" t="s">
        <v>66</v>
      </c>
      <c r="E159" t="s">
        <v>32</v>
      </c>
      <c r="F159" s="2">
        <v>45291</v>
      </c>
      <c r="G159">
        <v>2023</v>
      </c>
      <c r="H159" t="s">
        <v>44</v>
      </c>
      <c r="I159" t="s">
        <v>49</v>
      </c>
      <c r="J159">
        <v>2</v>
      </c>
      <c r="K159">
        <v>6</v>
      </c>
      <c r="L159">
        <v>6</v>
      </c>
      <c r="M159">
        <v>1</v>
      </c>
      <c r="N159">
        <v>1</v>
      </c>
      <c r="Q159" t="s">
        <v>327</v>
      </c>
      <c r="R159">
        <v>0</v>
      </c>
      <c r="S159">
        <v>0</v>
      </c>
      <c r="T159" t="s">
        <v>31</v>
      </c>
    </row>
    <row r="160" spans="1:20" x14ac:dyDescent="0.3">
      <c r="A160">
        <v>424</v>
      </c>
      <c r="B160" t="s">
        <v>325</v>
      </c>
      <c r="C160" t="s">
        <v>83</v>
      </c>
      <c r="D160" t="s">
        <v>66</v>
      </c>
      <c r="E160" t="s">
        <v>32</v>
      </c>
      <c r="F160" s="2">
        <v>45657</v>
      </c>
      <c r="G160">
        <v>2024</v>
      </c>
      <c r="H160" t="s">
        <v>44</v>
      </c>
      <c r="I160" t="s">
        <v>53</v>
      </c>
      <c r="J160">
        <v>2</v>
      </c>
      <c r="K160">
        <v>7</v>
      </c>
      <c r="L160">
        <v>9</v>
      </c>
      <c r="M160">
        <v>1.285714285714286</v>
      </c>
      <c r="N160">
        <v>1.285714285714286</v>
      </c>
      <c r="Q160" t="s">
        <v>328</v>
      </c>
      <c r="R160">
        <v>0</v>
      </c>
      <c r="S160">
        <v>0</v>
      </c>
      <c r="T160" t="s">
        <v>31</v>
      </c>
    </row>
    <row r="161" spans="1:20" x14ac:dyDescent="0.3">
      <c r="A161">
        <v>460</v>
      </c>
      <c r="B161" t="s">
        <v>329</v>
      </c>
      <c r="C161" t="s">
        <v>130</v>
      </c>
      <c r="D161" t="s">
        <v>66</v>
      </c>
      <c r="E161" t="s">
        <v>32</v>
      </c>
      <c r="F161" s="2">
        <v>45657</v>
      </c>
      <c r="G161">
        <v>2024</v>
      </c>
      <c r="H161" t="s">
        <v>44</v>
      </c>
      <c r="I161" t="s">
        <v>53</v>
      </c>
      <c r="J161">
        <v>2</v>
      </c>
      <c r="K161">
        <v>80</v>
      </c>
      <c r="L161">
        <v>91.44</v>
      </c>
      <c r="M161">
        <v>1.143</v>
      </c>
      <c r="N161">
        <v>1.143</v>
      </c>
      <c r="Q161" t="s">
        <v>330</v>
      </c>
      <c r="R161">
        <v>0</v>
      </c>
      <c r="S161">
        <v>0</v>
      </c>
      <c r="T161" t="s">
        <v>31</v>
      </c>
    </row>
    <row r="162" spans="1:20" x14ac:dyDescent="0.3">
      <c r="A162">
        <v>463</v>
      </c>
      <c r="B162" t="s">
        <v>332</v>
      </c>
      <c r="C162" t="s">
        <v>130</v>
      </c>
      <c r="D162" t="s">
        <v>31</v>
      </c>
      <c r="E162" t="s">
        <v>32</v>
      </c>
      <c r="F162" s="2">
        <v>45473</v>
      </c>
      <c r="G162">
        <v>2024</v>
      </c>
      <c r="H162" t="s">
        <v>33</v>
      </c>
      <c r="I162" t="s">
        <v>51</v>
      </c>
      <c r="J162">
        <v>1</v>
      </c>
      <c r="K162">
        <v>100</v>
      </c>
      <c r="L162">
        <v>95</v>
      </c>
      <c r="M162">
        <v>0.95</v>
      </c>
      <c r="N162">
        <v>0.95</v>
      </c>
      <c r="Q162" t="s">
        <v>333</v>
      </c>
      <c r="R162">
        <v>0</v>
      </c>
      <c r="S162">
        <v>0</v>
      </c>
      <c r="T162" t="s">
        <v>31</v>
      </c>
    </row>
    <row r="163" spans="1:20" x14ac:dyDescent="0.3">
      <c r="A163">
        <v>463</v>
      </c>
      <c r="B163" t="s">
        <v>332</v>
      </c>
      <c r="C163" t="s">
        <v>130</v>
      </c>
      <c r="D163" t="s">
        <v>31</v>
      </c>
      <c r="E163" t="s">
        <v>32</v>
      </c>
      <c r="F163" s="2">
        <v>45657</v>
      </c>
      <c r="G163">
        <v>2024</v>
      </c>
      <c r="H163" t="s">
        <v>44</v>
      </c>
      <c r="I163" t="s">
        <v>53</v>
      </c>
      <c r="J163">
        <v>2</v>
      </c>
      <c r="K163">
        <v>100</v>
      </c>
      <c r="L163">
        <v>100</v>
      </c>
      <c r="M163">
        <v>1</v>
      </c>
      <c r="N163">
        <v>1</v>
      </c>
      <c r="Q163" t="s">
        <v>335</v>
      </c>
      <c r="R163">
        <v>0</v>
      </c>
      <c r="S163">
        <v>0</v>
      </c>
      <c r="T163" t="s">
        <v>31</v>
      </c>
    </row>
    <row r="164" spans="1:20" x14ac:dyDescent="0.3">
      <c r="A164">
        <v>465</v>
      </c>
      <c r="B164" t="s">
        <v>336</v>
      </c>
      <c r="C164" t="s">
        <v>260</v>
      </c>
      <c r="D164" t="s">
        <v>31</v>
      </c>
      <c r="E164" t="s">
        <v>32</v>
      </c>
      <c r="F164" s="2">
        <v>45473</v>
      </c>
      <c r="G164">
        <v>2024</v>
      </c>
      <c r="H164" t="s">
        <v>33</v>
      </c>
      <c r="I164" t="s">
        <v>51</v>
      </c>
      <c r="J164">
        <v>1</v>
      </c>
      <c r="K164">
        <v>70</v>
      </c>
      <c r="L164">
        <v>57.86</v>
      </c>
      <c r="M164">
        <v>0.82657142857142851</v>
      </c>
      <c r="N164">
        <v>0.82657142857142851</v>
      </c>
      <c r="Q164" t="s">
        <v>337</v>
      </c>
      <c r="R164">
        <v>0</v>
      </c>
      <c r="S164">
        <v>0</v>
      </c>
      <c r="T164" t="s">
        <v>31</v>
      </c>
    </row>
    <row r="165" spans="1:20" x14ac:dyDescent="0.3">
      <c r="A165">
        <v>465</v>
      </c>
      <c r="B165" t="s">
        <v>336</v>
      </c>
      <c r="C165" t="s">
        <v>260</v>
      </c>
      <c r="D165" t="s">
        <v>31</v>
      </c>
      <c r="E165" t="s">
        <v>32</v>
      </c>
      <c r="F165" s="2">
        <v>45657</v>
      </c>
      <c r="G165">
        <v>2024</v>
      </c>
      <c r="H165" t="s">
        <v>44</v>
      </c>
      <c r="I165" t="s">
        <v>53</v>
      </c>
      <c r="J165">
        <v>2</v>
      </c>
      <c r="K165">
        <v>100</v>
      </c>
      <c r="L165">
        <v>56.83</v>
      </c>
      <c r="M165">
        <v>0.56830000000000003</v>
      </c>
      <c r="N165">
        <v>0.56830000000000003</v>
      </c>
      <c r="Q165" t="s">
        <v>340</v>
      </c>
      <c r="R165">
        <v>0</v>
      </c>
      <c r="S165">
        <v>0</v>
      </c>
      <c r="T165" t="s">
        <v>31</v>
      </c>
    </row>
    <row r="166" spans="1:20" x14ac:dyDescent="0.3">
      <c r="A166">
        <v>466</v>
      </c>
      <c r="B166" t="s">
        <v>341</v>
      </c>
      <c r="C166" t="s">
        <v>342</v>
      </c>
      <c r="D166" t="s">
        <v>31</v>
      </c>
      <c r="E166" t="s">
        <v>32</v>
      </c>
      <c r="F166" s="2">
        <v>45473</v>
      </c>
      <c r="G166">
        <v>2024</v>
      </c>
      <c r="H166" t="s">
        <v>33</v>
      </c>
      <c r="I166" t="s">
        <v>51</v>
      </c>
      <c r="J166">
        <v>1</v>
      </c>
      <c r="K166">
        <v>50</v>
      </c>
      <c r="L166">
        <v>59.6</v>
      </c>
      <c r="M166">
        <v>1.1919999999999999</v>
      </c>
      <c r="N166">
        <v>1.1919999999999999</v>
      </c>
      <c r="Q166" t="s">
        <v>343</v>
      </c>
      <c r="R166">
        <v>0</v>
      </c>
      <c r="S166">
        <v>0</v>
      </c>
      <c r="T166" t="s">
        <v>31</v>
      </c>
    </row>
    <row r="167" spans="1:20" x14ac:dyDescent="0.3">
      <c r="A167">
        <v>466</v>
      </c>
      <c r="B167" t="s">
        <v>341</v>
      </c>
      <c r="C167" t="s">
        <v>342</v>
      </c>
      <c r="D167" t="s">
        <v>31</v>
      </c>
      <c r="E167" t="s">
        <v>32</v>
      </c>
      <c r="F167" s="2">
        <v>45657</v>
      </c>
      <c r="G167">
        <v>2024</v>
      </c>
      <c r="H167" t="s">
        <v>44</v>
      </c>
      <c r="I167" t="s">
        <v>53</v>
      </c>
      <c r="J167">
        <v>2</v>
      </c>
      <c r="K167">
        <v>50</v>
      </c>
      <c r="L167">
        <v>53.8</v>
      </c>
      <c r="M167">
        <v>1.0760000000000001</v>
      </c>
      <c r="N167">
        <v>1.0760000000000001</v>
      </c>
      <c r="Q167" t="s">
        <v>344</v>
      </c>
      <c r="R167">
        <v>0</v>
      </c>
      <c r="S167">
        <v>0</v>
      </c>
      <c r="T167" t="s">
        <v>31</v>
      </c>
    </row>
    <row r="168" spans="1:20" x14ac:dyDescent="0.3">
      <c r="A168">
        <v>472</v>
      </c>
      <c r="B168" t="s">
        <v>345</v>
      </c>
      <c r="C168" t="s">
        <v>260</v>
      </c>
      <c r="D168" t="s">
        <v>31</v>
      </c>
      <c r="E168" t="s">
        <v>32</v>
      </c>
      <c r="F168" s="2">
        <v>45473</v>
      </c>
      <c r="G168">
        <v>2024</v>
      </c>
      <c r="H168" t="s">
        <v>33</v>
      </c>
      <c r="I168" t="s">
        <v>51</v>
      </c>
      <c r="J168">
        <v>1</v>
      </c>
      <c r="K168">
        <v>100</v>
      </c>
      <c r="L168">
        <v>82.1</v>
      </c>
      <c r="M168">
        <v>0.82099999999999995</v>
      </c>
      <c r="N168">
        <v>0.82099999999999995</v>
      </c>
      <c r="Q168" t="s">
        <v>346</v>
      </c>
      <c r="R168">
        <v>0</v>
      </c>
      <c r="S168">
        <v>0</v>
      </c>
      <c r="T168" t="s">
        <v>31</v>
      </c>
    </row>
    <row r="169" spans="1:20" x14ac:dyDescent="0.3">
      <c r="A169">
        <v>472</v>
      </c>
      <c r="B169" t="s">
        <v>345</v>
      </c>
      <c r="C169" t="s">
        <v>260</v>
      </c>
      <c r="D169" t="s">
        <v>31</v>
      </c>
      <c r="E169" t="s">
        <v>32</v>
      </c>
      <c r="F169" s="2">
        <v>45657</v>
      </c>
      <c r="G169">
        <v>2024</v>
      </c>
      <c r="H169" t="s">
        <v>44</v>
      </c>
      <c r="I169" t="s">
        <v>53</v>
      </c>
      <c r="J169">
        <v>2</v>
      </c>
      <c r="K169">
        <v>100</v>
      </c>
      <c r="L169">
        <v>100</v>
      </c>
      <c r="M169">
        <v>1</v>
      </c>
      <c r="N169">
        <v>1</v>
      </c>
      <c r="Q169" t="s">
        <v>347</v>
      </c>
      <c r="R169">
        <v>0</v>
      </c>
      <c r="S169">
        <v>0</v>
      </c>
      <c r="T169" t="s">
        <v>31</v>
      </c>
    </row>
    <row r="170" spans="1:20" x14ac:dyDescent="0.3">
      <c r="A170">
        <v>476</v>
      </c>
      <c r="B170" t="s">
        <v>348</v>
      </c>
      <c r="C170" t="s">
        <v>349</v>
      </c>
      <c r="D170" t="s">
        <v>31</v>
      </c>
      <c r="E170" t="s">
        <v>32</v>
      </c>
      <c r="F170" s="2">
        <v>45473</v>
      </c>
      <c r="G170">
        <v>2024</v>
      </c>
      <c r="H170" t="s">
        <v>33</v>
      </c>
      <c r="I170" t="s">
        <v>51</v>
      </c>
      <c r="J170">
        <v>1</v>
      </c>
      <c r="K170">
        <v>15</v>
      </c>
      <c r="L170">
        <v>15</v>
      </c>
      <c r="M170">
        <v>1</v>
      </c>
      <c r="N170">
        <v>1</v>
      </c>
      <c r="Q170" t="s">
        <v>350</v>
      </c>
      <c r="R170">
        <v>0</v>
      </c>
      <c r="S170">
        <v>0</v>
      </c>
      <c r="T170" t="s">
        <v>31</v>
      </c>
    </row>
    <row r="171" spans="1:20" x14ac:dyDescent="0.3">
      <c r="A171">
        <v>476</v>
      </c>
      <c r="B171" t="s">
        <v>348</v>
      </c>
      <c r="C171" t="s">
        <v>349</v>
      </c>
      <c r="D171" t="s">
        <v>31</v>
      </c>
      <c r="E171" t="s">
        <v>32</v>
      </c>
      <c r="F171" s="2">
        <v>45657</v>
      </c>
      <c r="G171">
        <v>2024</v>
      </c>
      <c r="H171" t="s">
        <v>44</v>
      </c>
      <c r="I171" t="s">
        <v>53</v>
      </c>
      <c r="J171">
        <v>2</v>
      </c>
      <c r="K171">
        <v>15</v>
      </c>
      <c r="L171">
        <v>15</v>
      </c>
      <c r="M171">
        <v>1</v>
      </c>
      <c r="N171">
        <v>1</v>
      </c>
      <c r="Q171" t="s">
        <v>352</v>
      </c>
      <c r="R171">
        <v>0</v>
      </c>
      <c r="S171">
        <v>0</v>
      </c>
      <c r="T171" t="s">
        <v>31</v>
      </c>
    </row>
    <row r="172" spans="1:20" x14ac:dyDescent="0.3">
      <c r="A172">
        <v>14.1</v>
      </c>
      <c r="B172" t="s">
        <v>353</v>
      </c>
      <c r="C172" t="s">
        <v>30</v>
      </c>
      <c r="D172" t="s">
        <v>31</v>
      </c>
      <c r="E172" t="s">
        <v>32</v>
      </c>
      <c r="F172" s="2">
        <v>44742</v>
      </c>
      <c r="G172">
        <v>2022</v>
      </c>
      <c r="H172" t="s">
        <v>33</v>
      </c>
      <c r="I172" t="s">
        <v>34</v>
      </c>
      <c r="J172">
        <v>1</v>
      </c>
      <c r="K172">
        <v>7541</v>
      </c>
      <c r="L172">
        <v>7651</v>
      </c>
      <c r="M172">
        <v>1.0145869248110331</v>
      </c>
      <c r="N172">
        <v>1.0145869248110331</v>
      </c>
      <c r="O172" t="s">
        <v>35</v>
      </c>
      <c r="P172" t="s">
        <v>35</v>
      </c>
      <c r="Q172" t="s">
        <v>354</v>
      </c>
      <c r="R172">
        <v>0</v>
      </c>
      <c r="S172">
        <v>0</v>
      </c>
      <c r="T172" t="s">
        <v>31</v>
      </c>
    </row>
    <row r="173" spans="1:20" x14ac:dyDescent="0.3">
      <c r="A173">
        <v>14.1</v>
      </c>
      <c r="B173" t="s">
        <v>353</v>
      </c>
      <c r="C173" t="s">
        <v>30</v>
      </c>
      <c r="D173" t="s">
        <v>31</v>
      </c>
      <c r="E173" t="s">
        <v>32</v>
      </c>
      <c r="F173" s="2">
        <v>44926</v>
      </c>
      <c r="G173">
        <v>2022</v>
      </c>
      <c r="H173" t="s">
        <v>44</v>
      </c>
      <c r="I173" t="s">
        <v>45</v>
      </c>
      <c r="J173">
        <v>2</v>
      </c>
      <c r="K173">
        <v>6730</v>
      </c>
      <c r="L173">
        <v>7539</v>
      </c>
      <c r="M173">
        <v>1.1202080237741461</v>
      </c>
      <c r="N173">
        <v>1.1202080237741461</v>
      </c>
      <c r="O173" t="s">
        <v>35</v>
      </c>
      <c r="P173" t="s">
        <v>35</v>
      </c>
      <c r="Q173" t="s">
        <v>355</v>
      </c>
      <c r="R173">
        <v>0</v>
      </c>
      <c r="S173">
        <v>0</v>
      </c>
      <c r="T173" t="s">
        <v>31</v>
      </c>
    </row>
    <row r="174" spans="1:20" x14ac:dyDescent="0.3">
      <c r="A174">
        <v>14.1</v>
      </c>
      <c r="B174" t="s">
        <v>353</v>
      </c>
      <c r="C174" t="s">
        <v>30</v>
      </c>
      <c r="D174" t="s">
        <v>31</v>
      </c>
      <c r="E174" t="s">
        <v>32</v>
      </c>
      <c r="F174" s="2">
        <v>45107</v>
      </c>
      <c r="G174">
        <v>2023</v>
      </c>
      <c r="H174" t="s">
        <v>33</v>
      </c>
      <c r="I174" t="s">
        <v>47</v>
      </c>
      <c r="J174">
        <v>1</v>
      </c>
      <c r="K174">
        <v>7822</v>
      </c>
      <c r="L174">
        <v>7912</v>
      </c>
      <c r="M174">
        <v>1.0115060086934291</v>
      </c>
      <c r="N174">
        <v>1.0115060086934291</v>
      </c>
      <c r="O174" t="s">
        <v>35</v>
      </c>
      <c r="P174" t="s">
        <v>35</v>
      </c>
      <c r="Q174" t="s">
        <v>356</v>
      </c>
      <c r="R174">
        <v>0</v>
      </c>
      <c r="S174">
        <v>0</v>
      </c>
      <c r="T174" t="s">
        <v>31</v>
      </c>
    </row>
    <row r="175" spans="1:20" x14ac:dyDescent="0.3">
      <c r="A175">
        <v>14.1</v>
      </c>
      <c r="B175" t="s">
        <v>353</v>
      </c>
      <c r="C175" t="s">
        <v>186</v>
      </c>
      <c r="D175" t="s">
        <v>31</v>
      </c>
      <c r="E175" t="s">
        <v>32</v>
      </c>
      <c r="F175" s="2">
        <v>45291</v>
      </c>
      <c r="G175">
        <v>2023</v>
      </c>
      <c r="H175" t="s">
        <v>44</v>
      </c>
      <c r="I175" t="s">
        <v>49</v>
      </c>
      <c r="J175">
        <v>2</v>
      </c>
      <c r="K175">
        <v>7620</v>
      </c>
      <c r="L175">
        <v>8066</v>
      </c>
      <c r="M175">
        <v>1.058530183727034</v>
      </c>
      <c r="N175">
        <v>1.058530183727034</v>
      </c>
      <c r="O175" t="s">
        <v>35</v>
      </c>
      <c r="P175" t="s">
        <v>35</v>
      </c>
      <c r="Q175" t="s">
        <v>357</v>
      </c>
      <c r="R175">
        <v>0</v>
      </c>
      <c r="S175">
        <v>0</v>
      </c>
      <c r="T175" t="s">
        <v>31</v>
      </c>
    </row>
    <row r="176" spans="1:20" x14ac:dyDescent="0.3">
      <c r="A176">
        <v>14.1</v>
      </c>
      <c r="B176" t="s">
        <v>353</v>
      </c>
      <c r="C176" t="s">
        <v>186</v>
      </c>
      <c r="D176" t="s">
        <v>31</v>
      </c>
      <c r="E176" t="s">
        <v>32</v>
      </c>
      <c r="F176" s="2">
        <v>45473</v>
      </c>
      <c r="G176">
        <v>2024</v>
      </c>
      <c r="H176" t="s">
        <v>33</v>
      </c>
      <c r="I176" t="s">
        <v>51</v>
      </c>
      <c r="J176">
        <v>1</v>
      </c>
      <c r="K176">
        <v>8168</v>
      </c>
      <c r="L176">
        <v>8424</v>
      </c>
      <c r="M176">
        <v>1.031341821743389</v>
      </c>
      <c r="N176">
        <v>1.031341821743389</v>
      </c>
      <c r="O176" t="s">
        <v>35</v>
      </c>
      <c r="P176" t="s">
        <v>35</v>
      </c>
      <c r="Q176" t="s">
        <v>358</v>
      </c>
      <c r="R176">
        <v>0</v>
      </c>
      <c r="S176">
        <v>0</v>
      </c>
      <c r="T176" t="s">
        <v>31</v>
      </c>
    </row>
    <row r="177" spans="1:20" x14ac:dyDescent="0.3">
      <c r="A177">
        <v>14.2</v>
      </c>
      <c r="B177" t="s">
        <v>359</v>
      </c>
      <c r="C177" t="s">
        <v>30</v>
      </c>
      <c r="D177" t="s">
        <v>31</v>
      </c>
      <c r="E177" t="s">
        <v>32</v>
      </c>
      <c r="F177" s="2">
        <v>44742</v>
      </c>
      <c r="G177">
        <v>2022</v>
      </c>
      <c r="H177" t="s">
        <v>33</v>
      </c>
      <c r="I177" t="s">
        <v>34</v>
      </c>
      <c r="J177">
        <v>1</v>
      </c>
      <c r="K177">
        <v>42889</v>
      </c>
      <c r="L177">
        <v>43359</v>
      </c>
      <c r="M177">
        <v>1.010958520832848</v>
      </c>
      <c r="N177">
        <v>1.010958520832848</v>
      </c>
      <c r="O177" t="s">
        <v>35</v>
      </c>
      <c r="P177" t="s">
        <v>35</v>
      </c>
      <c r="Q177" t="s">
        <v>360</v>
      </c>
      <c r="R177">
        <v>0</v>
      </c>
      <c r="S177">
        <v>0</v>
      </c>
      <c r="T177" t="s">
        <v>31</v>
      </c>
    </row>
    <row r="178" spans="1:20" x14ac:dyDescent="0.3">
      <c r="A178">
        <v>14.2</v>
      </c>
      <c r="B178" t="s">
        <v>359</v>
      </c>
      <c r="C178" t="s">
        <v>30</v>
      </c>
      <c r="D178" t="s">
        <v>31</v>
      </c>
      <c r="E178" t="s">
        <v>32</v>
      </c>
      <c r="F178" s="2">
        <v>44926</v>
      </c>
      <c r="G178">
        <v>2022</v>
      </c>
      <c r="H178" t="s">
        <v>44</v>
      </c>
      <c r="I178" t="s">
        <v>45</v>
      </c>
      <c r="J178">
        <v>2</v>
      </c>
      <c r="K178">
        <v>42274</v>
      </c>
      <c r="L178">
        <v>42699</v>
      </c>
      <c r="M178">
        <v>1.0100534607560201</v>
      </c>
      <c r="N178">
        <v>1.0100534607560201</v>
      </c>
      <c r="O178" t="s">
        <v>35</v>
      </c>
      <c r="P178" t="s">
        <v>35</v>
      </c>
      <c r="Q178" t="s">
        <v>361</v>
      </c>
      <c r="R178">
        <v>0</v>
      </c>
      <c r="S178">
        <v>0</v>
      </c>
      <c r="T178" t="s">
        <v>31</v>
      </c>
    </row>
    <row r="179" spans="1:20" x14ac:dyDescent="0.3">
      <c r="A179">
        <v>14.2</v>
      </c>
      <c r="B179" t="s">
        <v>359</v>
      </c>
      <c r="C179" t="s">
        <v>30</v>
      </c>
      <c r="D179" t="s">
        <v>31</v>
      </c>
      <c r="E179" t="s">
        <v>32</v>
      </c>
      <c r="F179" s="2">
        <v>45107</v>
      </c>
      <c r="G179">
        <v>2023</v>
      </c>
      <c r="H179" t="s">
        <v>33</v>
      </c>
      <c r="I179" t="s">
        <v>47</v>
      </c>
      <c r="J179">
        <v>1</v>
      </c>
      <c r="K179">
        <v>44355</v>
      </c>
      <c r="L179">
        <v>43561</v>
      </c>
      <c r="M179">
        <v>0.98209897418554837</v>
      </c>
      <c r="N179">
        <v>0.98209897418554837</v>
      </c>
      <c r="O179" t="s">
        <v>35</v>
      </c>
      <c r="P179" t="s">
        <v>35</v>
      </c>
      <c r="Q179" t="s">
        <v>362</v>
      </c>
      <c r="R179">
        <v>0</v>
      </c>
      <c r="S179">
        <v>0</v>
      </c>
      <c r="T179" t="s">
        <v>31</v>
      </c>
    </row>
    <row r="180" spans="1:20" x14ac:dyDescent="0.3">
      <c r="A180">
        <v>14.2</v>
      </c>
      <c r="B180" t="s">
        <v>359</v>
      </c>
      <c r="C180" t="s">
        <v>186</v>
      </c>
      <c r="D180" t="s">
        <v>31</v>
      </c>
      <c r="E180" t="s">
        <v>32</v>
      </c>
      <c r="F180" s="2">
        <v>45291</v>
      </c>
      <c r="G180">
        <v>2023</v>
      </c>
      <c r="H180" t="s">
        <v>44</v>
      </c>
      <c r="I180" t="s">
        <v>49</v>
      </c>
      <c r="J180">
        <v>2</v>
      </c>
      <c r="K180">
        <v>44067</v>
      </c>
      <c r="L180">
        <v>43308</v>
      </c>
      <c r="M180">
        <v>0.98277622710872081</v>
      </c>
      <c r="N180">
        <v>0.98277622710872081</v>
      </c>
      <c r="O180" t="s">
        <v>35</v>
      </c>
      <c r="P180" t="s">
        <v>35</v>
      </c>
      <c r="Q180" t="s">
        <v>363</v>
      </c>
      <c r="R180">
        <v>0</v>
      </c>
      <c r="S180">
        <v>0</v>
      </c>
      <c r="T180" t="s">
        <v>31</v>
      </c>
    </row>
    <row r="181" spans="1:20" x14ac:dyDescent="0.3">
      <c r="A181">
        <v>14.2</v>
      </c>
      <c r="B181" t="s">
        <v>359</v>
      </c>
      <c r="C181" t="s">
        <v>186</v>
      </c>
      <c r="D181" t="s">
        <v>31</v>
      </c>
      <c r="E181" t="s">
        <v>32</v>
      </c>
      <c r="F181" s="2">
        <v>45473</v>
      </c>
      <c r="G181">
        <v>2024</v>
      </c>
      <c r="H181" t="s">
        <v>33</v>
      </c>
      <c r="I181" t="s">
        <v>51</v>
      </c>
      <c r="J181">
        <v>1</v>
      </c>
      <c r="K181">
        <v>44235</v>
      </c>
      <c r="L181">
        <v>44161</v>
      </c>
      <c r="M181">
        <v>0.99832711653667905</v>
      </c>
      <c r="N181">
        <v>1.0007686047563069</v>
      </c>
      <c r="O181" t="s">
        <v>35</v>
      </c>
      <c r="P181" t="s">
        <v>35</v>
      </c>
      <c r="Q181" t="s">
        <v>364</v>
      </c>
      <c r="R181">
        <v>0</v>
      </c>
      <c r="S181">
        <v>0</v>
      </c>
      <c r="T181" t="s">
        <v>31</v>
      </c>
    </row>
    <row r="182" spans="1:20" x14ac:dyDescent="0.3">
      <c r="A182">
        <v>14.3</v>
      </c>
      <c r="B182" t="s">
        <v>365</v>
      </c>
      <c r="C182" t="s">
        <v>186</v>
      </c>
      <c r="D182" t="s">
        <v>31</v>
      </c>
      <c r="E182" t="s">
        <v>32</v>
      </c>
      <c r="F182" s="2">
        <v>44742</v>
      </c>
      <c r="G182">
        <v>2022</v>
      </c>
      <c r="H182" t="s">
        <v>33</v>
      </c>
      <c r="I182" t="s">
        <v>34</v>
      </c>
      <c r="J182">
        <v>1</v>
      </c>
      <c r="K182">
        <v>48022</v>
      </c>
      <c r="L182">
        <v>48614</v>
      </c>
      <c r="M182">
        <v>1.012327683145225</v>
      </c>
      <c r="N182">
        <v>1.012327683145225</v>
      </c>
      <c r="O182" t="s">
        <v>35</v>
      </c>
      <c r="P182" t="s">
        <v>35</v>
      </c>
      <c r="Q182" t="s">
        <v>366</v>
      </c>
      <c r="R182">
        <v>0</v>
      </c>
      <c r="S182">
        <v>0</v>
      </c>
      <c r="T182" t="s">
        <v>31</v>
      </c>
    </row>
    <row r="183" spans="1:20" x14ac:dyDescent="0.3">
      <c r="A183">
        <v>14.3</v>
      </c>
      <c r="B183" t="s">
        <v>365</v>
      </c>
      <c r="C183" t="s">
        <v>186</v>
      </c>
      <c r="D183" t="s">
        <v>31</v>
      </c>
      <c r="E183" t="s">
        <v>32</v>
      </c>
      <c r="F183" s="2">
        <v>44926</v>
      </c>
      <c r="G183">
        <v>2022</v>
      </c>
      <c r="H183" t="s">
        <v>44</v>
      </c>
      <c r="I183" t="s">
        <v>45</v>
      </c>
      <c r="J183">
        <v>2</v>
      </c>
      <c r="K183">
        <v>46674</v>
      </c>
      <c r="L183">
        <v>47631</v>
      </c>
      <c r="M183">
        <v>1.020503920812444</v>
      </c>
      <c r="N183">
        <v>1.020503920812444</v>
      </c>
      <c r="O183" t="s">
        <v>35</v>
      </c>
      <c r="P183" t="s">
        <v>35</v>
      </c>
      <c r="Q183" t="s">
        <v>367</v>
      </c>
      <c r="R183">
        <v>0</v>
      </c>
      <c r="S183">
        <v>0</v>
      </c>
      <c r="T183" t="s">
        <v>31</v>
      </c>
    </row>
    <row r="184" spans="1:20" x14ac:dyDescent="0.3">
      <c r="A184">
        <v>14.3</v>
      </c>
      <c r="B184" t="s">
        <v>365</v>
      </c>
      <c r="C184" t="s">
        <v>186</v>
      </c>
      <c r="D184" t="s">
        <v>31</v>
      </c>
      <c r="E184" t="s">
        <v>32</v>
      </c>
      <c r="F184" s="2">
        <v>45107</v>
      </c>
      <c r="G184">
        <v>2023</v>
      </c>
      <c r="H184" t="s">
        <v>33</v>
      </c>
      <c r="I184" t="s">
        <v>47</v>
      </c>
      <c r="J184">
        <v>1</v>
      </c>
      <c r="K184">
        <v>49451</v>
      </c>
      <c r="L184">
        <v>48483</v>
      </c>
      <c r="M184">
        <v>0.98042506723827627</v>
      </c>
      <c r="N184">
        <v>0.98042506723827627</v>
      </c>
      <c r="O184" t="s">
        <v>35</v>
      </c>
      <c r="P184" t="s">
        <v>35</v>
      </c>
      <c r="Q184" t="s">
        <v>368</v>
      </c>
      <c r="R184">
        <v>0</v>
      </c>
      <c r="S184">
        <v>0</v>
      </c>
      <c r="T184" t="s">
        <v>31</v>
      </c>
    </row>
    <row r="185" spans="1:20" x14ac:dyDescent="0.3">
      <c r="A185">
        <v>14.3</v>
      </c>
      <c r="B185" t="s">
        <v>365</v>
      </c>
      <c r="C185" t="s">
        <v>186</v>
      </c>
      <c r="D185" t="s">
        <v>31</v>
      </c>
      <c r="E185" t="s">
        <v>32</v>
      </c>
      <c r="F185" s="2">
        <v>45291</v>
      </c>
      <c r="G185">
        <v>2023</v>
      </c>
      <c r="H185" t="s">
        <v>44</v>
      </c>
      <c r="I185" t="s">
        <v>49</v>
      </c>
      <c r="J185">
        <v>2</v>
      </c>
      <c r="K185">
        <v>48891</v>
      </c>
      <c r="L185">
        <v>48047</v>
      </c>
      <c r="M185">
        <v>0.98273710907938061</v>
      </c>
      <c r="N185">
        <v>0.98273710907938061</v>
      </c>
      <c r="O185" t="s">
        <v>35</v>
      </c>
      <c r="P185" t="s">
        <v>35</v>
      </c>
      <c r="Q185" t="s">
        <v>369</v>
      </c>
      <c r="R185">
        <v>0</v>
      </c>
      <c r="S185">
        <v>0</v>
      </c>
      <c r="T185" t="s">
        <v>31</v>
      </c>
    </row>
    <row r="186" spans="1:20" x14ac:dyDescent="0.3">
      <c r="A186">
        <v>14.3</v>
      </c>
      <c r="B186" t="s">
        <v>365</v>
      </c>
      <c r="C186" t="s">
        <v>186</v>
      </c>
      <c r="D186" t="s">
        <v>31</v>
      </c>
      <c r="E186" t="s">
        <v>32</v>
      </c>
      <c r="F186" s="2">
        <v>45473</v>
      </c>
      <c r="G186">
        <v>2024</v>
      </c>
      <c r="H186" t="s">
        <v>33</v>
      </c>
      <c r="I186" t="s">
        <v>51</v>
      </c>
      <c r="J186">
        <v>1</v>
      </c>
      <c r="K186">
        <v>49310</v>
      </c>
      <c r="L186">
        <v>49100</v>
      </c>
      <c r="M186">
        <v>0.99574122895964312</v>
      </c>
      <c r="N186">
        <v>0.99574122895964312</v>
      </c>
      <c r="O186" t="s">
        <v>35</v>
      </c>
      <c r="P186" t="s">
        <v>35</v>
      </c>
      <c r="Q186" t="s">
        <v>370</v>
      </c>
      <c r="R186">
        <v>0</v>
      </c>
      <c r="S186">
        <v>0</v>
      </c>
      <c r="T186" t="s">
        <v>31</v>
      </c>
    </row>
    <row r="187" spans="1:20" x14ac:dyDescent="0.3">
      <c r="A187">
        <v>14.4</v>
      </c>
      <c r="B187" t="s">
        <v>371</v>
      </c>
      <c r="C187" t="s">
        <v>186</v>
      </c>
      <c r="D187" t="s">
        <v>31</v>
      </c>
      <c r="E187" t="s">
        <v>32</v>
      </c>
      <c r="F187" s="2">
        <v>44742</v>
      </c>
      <c r="G187">
        <v>2022</v>
      </c>
      <c r="H187" t="s">
        <v>33</v>
      </c>
      <c r="I187" t="s">
        <v>34</v>
      </c>
      <c r="J187">
        <v>1</v>
      </c>
      <c r="K187">
        <v>2408</v>
      </c>
      <c r="L187">
        <v>2398</v>
      </c>
      <c r="M187">
        <v>0.99584717607973416</v>
      </c>
      <c r="N187">
        <v>0.99584717607973416</v>
      </c>
      <c r="O187" t="s">
        <v>35</v>
      </c>
      <c r="P187" t="s">
        <v>35</v>
      </c>
      <c r="Q187" t="s">
        <v>372</v>
      </c>
      <c r="R187">
        <v>0</v>
      </c>
      <c r="S187">
        <v>0</v>
      </c>
      <c r="T187" t="s">
        <v>31</v>
      </c>
    </row>
    <row r="188" spans="1:20" x14ac:dyDescent="0.3">
      <c r="A188">
        <v>14.4</v>
      </c>
      <c r="B188" t="s">
        <v>371</v>
      </c>
      <c r="C188" t="s">
        <v>186</v>
      </c>
      <c r="D188" t="s">
        <v>31</v>
      </c>
      <c r="E188" t="s">
        <v>32</v>
      </c>
      <c r="F188" s="2">
        <v>44925</v>
      </c>
      <c r="G188">
        <v>2022</v>
      </c>
      <c r="H188" t="s">
        <v>44</v>
      </c>
      <c r="I188" t="s">
        <v>45</v>
      </c>
      <c r="J188">
        <v>2</v>
      </c>
      <c r="K188">
        <v>2230</v>
      </c>
      <c r="L188">
        <v>2610</v>
      </c>
      <c r="M188">
        <v>1.170403587443946</v>
      </c>
      <c r="N188">
        <v>1.170403587443946</v>
      </c>
      <c r="O188" t="s">
        <v>35</v>
      </c>
      <c r="P188" t="s">
        <v>35</v>
      </c>
      <c r="Q188" t="s">
        <v>373</v>
      </c>
      <c r="R188">
        <v>0</v>
      </c>
      <c r="S188">
        <v>0</v>
      </c>
      <c r="T188" t="s">
        <v>31</v>
      </c>
    </row>
    <row r="189" spans="1:20" x14ac:dyDescent="0.3">
      <c r="A189">
        <v>14.4</v>
      </c>
      <c r="B189" t="s">
        <v>371</v>
      </c>
      <c r="C189" t="s">
        <v>186</v>
      </c>
      <c r="D189" t="s">
        <v>31</v>
      </c>
      <c r="E189" t="s">
        <v>32</v>
      </c>
      <c r="F189" s="2">
        <v>45107</v>
      </c>
      <c r="G189">
        <v>2023</v>
      </c>
      <c r="H189" t="s">
        <v>33</v>
      </c>
      <c r="I189" t="s">
        <v>47</v>
      </c>
      <c r="J189">
        <v>1</v>
      </c>
      <c r="K189">
        <v>2726</v>
      </c>
      <c r="L189">
        <v>2990</v>
      </c>
      <c r="M189">
        <v>1.096845194424064</v>
      </c>
      <c r="N189">
        <v>1.096845194424064</v>
      </c>
      <c r="O189" t="s">
        <v>35</v>
      </c>
      <c r="P189" t="s">
        <v>35</v>
      </c>
      <c r="Q189" t="s">
        <v>374</v>
      </c>
      <c r="R189">
        <v>0</v>
      </c>
      <c r="S189">
        <v>0</v>
      </c>
      <c r="T189" t="s">
        <v>31</v>
      </c>
    </row>
    <row r="190" spans="1:20" x14ac:dyDescent="0.3">
      <c r="A190">
        <v>14.4</v>
      </c>
      <c r="B190" t="s">
        <v>371</v>
      </c>
      <c r="C190" t="s">
        <v>186</v>
      </c>
      <c r="D190" t="s">
        <v>31</v>
      </c>
      <c r="E190" t="s">
        <v>32</v>
      </c>
      <c r="F190" s="2">
        <v>45291</v>
      </c>
      <c r="G190">
        <v>2023</v>
      </c>
      <c r="H190" t="s">
        <v>44</v>
      </c>
      <c r="I190" t="s">
        <v>49</v>
      </c>
      <c r="J190">
        <v>2</v>
      </c>
      <c r="K190">
        <v>2796</v>
      </c>
      <c r="L190">
        <v>3328</v>
      </c>
      <c r="M190">
        <v>1.1902718168812589</v>
      </c>
      <c r="N190">
        <v>1.1902718168812589</v>
      </c>
      <c r="O190" t="s">
        <v>35</v>
      </c>
      <c r="P190" t="s">
        <v>35</v>
      </c>
      <c r="Q190" t="s">
        <v>375</v>
      </c>
      <c r="R190">
        <v>0</v>
      </c>
      <c r="S190">
        <v>0</v>
      </c>
      <c r="T190" t="s">
        <v>31</v>
      </c>
    </row>
    <row r="191" spans="1:20" x14ac:dyDescent="0.3">
      <c r="A191">
        <v>14.4</v>
      </c>
      <c r="B191" t="s">
        <v>371</v>
      </c>
      <c r="C191" t="s">
        <v>186</v>
      </c>
      <c r="D191" t="s">
        <v>31</v>
      </c>
      <c r="E191" t="s">
        <v>32</v>
      </c>
      <c r="F191" s="2">
        <v>45473</v>
      </c>
      <c r="G191">
        <v>2024</v>
      </c>
      <c r="H191" t="s">
        <v>33</v>
      </c>
      <c r="I191" t="s">
        <v>51</v>
      </c>
      <c r="J191">
        <v>1</v>
      </c>
      <c r="K191">
        <v>3093</v>
      </c>
      <c r="L191">
        <v>3485</v>
      </c>
      <c r="M191">
        <v>1.1267377950210149</v>
      </c>
      <c r="N191">
        <v>1.1267377950210149</v>
      </c>
      <c r="O191" t="s">
        <v>35</v>
      </c>
      <c r="P191" t="s">
        <v>35</v>
      </c>
      <c r="Q191" t="s">
        <v>376</v>
      </c>
      <c r="R191">
        <v>0</v>
      </c>
      <c r="S191">
        <v>0</v>
      </c>
      <c r="T191" t="s">
        <v>31</v>
      </c>
    </row>
    <row r="192" spans="1:20" x14ac:dyDescent="0.3">
      <c r="A192">
        <v>386.1</v>
      </c>
      <c r="B192" t="s">
        <v>471</v>
      </c>
      <c r="C192" t="s">
        <v>310</v>
      </c>
      <c r="D192" t="s">
        <v>31</v>
      </c>
      <c r="E192" t="s">
        <v>32</v>
      </c>
      <c r="F192" s="2">
        <v>45107</v>
      </c>
      <c r="G192">
        <v>2023</v>
      </c>
      <c r="H192" t="s">
        <v>33</v>
      </c>
      <c r="I192" t="s">
        <v>47</v>
      </c>
      <c r="J192">
        <v>1</v>
      </c>
      <c r="K192">
        <v>240.869</v>
      </c>
      <c r="L192">
        <v>883.81096500000001</v>
      </c>
      <c r="M192">
        <v>1.3</v>
      </c>
      <c r="N192">
        <v>3.6692599089131441</v>
      </c>
      <c r="Q192" t="s">
        <v>378</v>
      </c>
      <c r="R192">
        <v>0</v>
      </c>
      <c r="S192">
        <v>0</v>
      </c>
      <c r="T192" t="s">
        <v>31</v>
      </c>
    </row>
    <row r="193" spans="1:20" x14ac:dyDescent="0.3">
      <c r="A193">
        <v>386.1</v>
      </c>
      <c r="B193" t="s">
        <v>471</v>
      </c>
      <c r="C193" t="s">
        <v>310</v>
      </c>
      <c r="D193" t="s">
        <v>31</v>
      </c>
      <c r="E193" t="s">
        <v>32</v>
      </c>
      <c r="F193" s="2">
        <v>45291</v>
      </c>
      <c r="G193">
        <v>2023</v>
      </c>
      <c r="H193" t="s">
        <v>44</v>
      </c>
      <c r="I193" t="s">
        <v>49</v>
      </c>
      <c r="J193">
        <v>2</v>
      </c>
      <c r="K193">
        <v>1116.9090000000001</v>
      </c>
      <c r="L193">
        <v>2896.1173829999998</v>
      </c>
      <c r="M193">
        <v>1.3</v>
      </c>
      <c r="N193">
        <v>2.5929752405970401</v>
      </c>
      <c r="Q193" t="s">
        <v>379</v>
      </c>
      <c r="R193">
        <v>0</v>
      </c>
      <c r="S193">
        <v>0</v>
      </c>
      <c r="T193" t="s">
        <v>31</v>
      </c>
    </row>
    <row r="194" spans="1:20" x14ac:dyDescent="0.3">
      <c r="A194">
        <v>386.1</v>
      </c>
      <c r="B194" t="s">
        <v>471</v>
      </c>
      <c r="C194" t="s">
        <v>310</v>
      </c>
      <c r="D194" t="s">
        <v>31</v>
      </c>
      <c r="E194" t="s">
        <v>32</v>
      </c>
      <c r="F194" s="2">
        <v>45473</v>
      </c>
      <c r="G194">
        <v>2024</v>
      </c>
      <c r="H194" t="s">
        <v>33</v>
      </c>
      <c r="I194" t="s">
        <v>51</v>
      </c>
      <c r="J194">
        <v>1</v>
      </c>
      <c r="K194">
        <v>817.70707000000004</v>
      </c>
      <c r="L194">
        <v>1076.3764839999999</v>
      </c>
      <c r="M194">
        <v>1.3</v>
      </c>
      <c r="N194">
        <v>1.3163350587148519</v>
      </c>
      <c r="O194" t="s">
        <v>143</v>
      </c>
      <c r="P194" t="s">
        <v>143</v>
      </c>
      <c r="Q194" t="s">
        <v>380</v>
      </c>
      <c r="R194">
        <v>0</v>
      </c>
      <c r="S194">
        <v>0</v>
      </c>
      <c r="T194" t="s">
        <v>31</v>
      </c>
    </row>
    <row r="195" spans="1:20" x14ac:dyDescent="0.3">
      <c r="A195">
        <v>386.1</v>
      </c>
      <c r="B195" t="s">
        <v>471</v>
      </c>
      <c r="C195" t="s">
        <v>310</v>
      </c>
      <c r="D195" t="s">
        <v>31</v>
      </c>
      <c r="E195" t="s">
        <v>32</v>
      </c>
      <c r="F195" s="2">
        <v>45657</v>
      </c>
      <c r="G195">
        <v>2024</v>
      </c>
      <c r="H195" t="s">
        <v>44</v>
      </c>
      <c r="I195" t="s">
        <v>53</v>
      </c>
      <c r="J195">
        <v>2</v>
      </c>
      <c r="K195">
        <v>2606.5003262</v>
      </c>
      <c r="L195">
        <v>3617.8366059999998</v>
      </c>
      <c r="M195">
        <v>1.3</v>
      </c>
      <c r="N195">
        <v>1.3880054299760709</v>
      </c>
      <c r="O195" t="s">
        <v>143</v>
      </c>
      <c r="P195" t="s">
        <v>143</v>
      </c>
      <c r="Q195" t="s">
        <v>381</v>
      </c>
      <c r="R195">
        <v>0</v>
      </c>
      <c r="S195">
        <v>0</v>
      </c>
      <c r="T195" t="s">
        <v>31</v>
      </c>
    </row>
    <row r="196" spans="1:20" x14ac:dyDescent="0.3">
      <c r="A196">
        <v>386.2</v>
      </c>
      <c r="B196" t="s">
        <v>472</v>
      </c>
      <c r="C196" t="s">
        <v>310</v>
      </c>
      <c r="D196" t="s">
        <v>31</v>
      </c>
      <c r="E196" t="s">
        <v>32</v>
      </c>
      <c r="F196" s="2">
        <v>45107</v>
      </c>
      <c r="G196">
        <v>2023</v>
      </c>
      <c r="H196" t="s">
        <v>33</v>
      </c>
      <c r="I196" t="s">
        <v>47</v>
      </c>
      <c r="J196">
        <v>1</v>
      </c>
      <c r="K196">
        <v>2268.5070000000001</v>
      </c>
      <c r="L196">
        <v>2406.8934370000002</v>
      </c>
      <c r="M196">
        <v>1.0610033105474219</v>
      </c>
      <c r="N196">
        <v>1.0610033105474219</v>
      </c>
      <c r="Q196" t="s">
        <v>383</v>
      </c>
      <c r="R196">
        <v>0</v>
      </c>
      <c r="S196">
        <v>0</v>
      </c>
      <c r="T196" t="s">
        <v>31</v>
      </c>
    </row>
    <row r="197" spans="1:20" x14ac:dyDescent="0.3">
      <c r="A197">
        <v>386.2</v>
      </c>
      <c r="B197" t="s">
        <v>472</v>
      </c>
      <c r="C197" t="s">
        <v>310</v>
      </c>
      <c r="D197" t="s">
        <v>31</v>
      </c>
      <c r="E197" t="s">
        <v>32</v>
      </c>
      <c r="F197" s="2">
        <v>45291</v>
      </c>
      <c r="G197">
        <v>2023</v>
      </c>
      <c r="H197" t="s">
        <v>44</v>
      </c>
      <c r="I197" t="s">
        <v>49</v>
      </c>
      <c r="J197">
        <v>2</v>
      </c>
      <c r="K197">
        <v>4813.4959999999992</v>
      </c>
      <c r="L197">
        <v>7461.524879999999</v>
      </c>
      <c r="M197">
        <v>1.3</v>
      </c>
      <c r="N197">
        <v>1.5501259126422871</v>
      </c>
      <c r="Q197" t="s">
        <v>384</v>
      </c>
      <c r="R197">
        <v>0</v>
      </c>
      <c r="S197">
        <v>0</v>
      </c>
      <c r="T197" t="s">
        <v>31</v>
      </c>
    </row>
    <row r="198" spans="1:20" x14ac:dyDescent="0.3">
      <c r="A198">
        <v>386.2</v>
      </c>
      <c r="B198" t="s">
        <v>472</v>
      </c>
      <c r="C198" t="s">
        <v>310</v>
      </c>
      <c r="D198" t="s">
        <v>31</v>
      </c>
      <c r="E198" t="s">
        <v>32</v>
      </c>
      <c r="F198" s="2">
        <v>45473</v>
      </c>
      <c r="G198">
        <v>2024</v>
      </c>
      <c r="H198" t="s">
        <v>33</v>
      </c>
      <c r="I198" t="s">
        <v>51</v>
      </c>
      <c r="J198">
        <v>1</v>
      </c>
      <c r="K198">
        <v>2674.9657400000001</v>
      </c>
      <c r="L198">
        <v>2915.5557789999998</v>
      </c>
      <c r="M198">
        <v>1.089941353417109</v>
      </c>
      <c r="N198">
        <v>1.089941353417109</v>
      </c>
      <c r="O198" t="s">
        <v>143</v>
      </c>
      <c r="P198" t="s">
        <v>143</v>
      </c>
      <c r="Q198" t="s">
        <v>385</v>
      </c>
      <c r="R198">
        <v>0</v>
      </c>
      <c r="S198">
        <v>0</v>
      </c>
      <c r="T198" t="s">
        <v>31</v>
      </c>
    </row>
    <row r="199" spans="1:20" x14ac:dyDescent="0.3">
      <c r="A199">
        <v>386.2</v>
      </c>
      <c r="B199" t="s">
        <v>472</v>
      </c>
      <c r="C199" t="s">
        <v>310</v>
      </c>
      <c r="D199" t="s">
        <v>31</v>
      </c>
      <c r="E199" t="s">
        <v>32</v>
      </c>
      <c r="F199" s="2">
        <v>45657</v>
      </c>
      <c r="G199">
        <v>2024</v>
      </c>
      <c r="H199" t="s">
        <v>44</v>
      </c>
      <c r="I199" t="s">
        <v>53</v>
      </c>
      <c r="J199">
        <v>2</v>
      </c>
      <c r="K199">
        <v>5036.1600211000004</v>
      </c>
      <c r="L199">
        <v>1255.13023</v>
      </c>
      <c r="M199">
        <v>1.089941353417109</v>
      </c>
      <c r="N199">
        <v>1.089941353417109</v>
      </c>
      <c r="O199" t="s">
        <v>143</v>
      </c>
      <c r="P199" t="s">
        <v>143</v>
      </c>
      <c r="Q199" t="s">
        <v>386</v>
      </c>
      <c r="R199">
        <v>0</v>
      </c>
      <c r="S199">
        <v>0</v>
      </c>
      <c r="T199" t="s">
        <v>31</v>
      </c>
    </row>
    <row r="200" spans="1:20" x14ac:dyDescent="0.3">
      <c r="A200">
        <v>386.3</v>
      </c>
      <c r="B200" t="s">
        <v>387</v>
      </c>
      <c r="C200" t="s">
        <v>310</v>
      </c>
      <c r="D200" t="s">
        <v>31</v>
      </c>
      <c r="E200" t="s">
        <v>32</v>
      </c>
      <c r="F200" s="2">
        <v>45107</v>
      </c>
      <c r="G200">
        <v>2023</v>
      </c>
      <c r="H200" t="s">
        <v>33</v>
      </c>
      <c r="I200" t="s">
        <v>47</v>
      </c>
      <c r="J200">
        <v>1</v>
      </c>
      <c r="K200">
        <v>2805.83</v>
      </c>
      <c r="L200">
        <v>2183.1533570000001</v>
      </c>
      <c r="M200">
        <v>0.77807755886849883</v>
      </c>
      <c r="N200">
        <v>0.77807755886849883</v>
      </c>
      <c r="Q200" t="s">
        <v>388</v>
      </c>
      <c r="R200">
        <v>0</v>
      </c>
      <c r="S200">
        <v>0</v>
      </c>
      <c r="T200" t="s">
        <v>31</v>
      </c>
    </row>
    <row r="201" spans="1:20" x14ac:dyDescent="0.3">
      <c r="A201">
        <v>386.3</v>
      </c>
      <c r="B201" t="s">
        <v>387</v>
      </c>
      <c r="C201" t="s">
        <v>310</v>
      </c>
      <c r="D201" t="s">
        <v>31</v>
      </c>
      <c r="E201" t="s">
        <v>32</v>
      </c>
      <c r="F201" s="2">
        <v>45291</v>
      </c>
      <c r="G201">
        <v>2023</v>
      </c>
      <c r="H201" t="s">
        <v>44</v>
      </c>
      <c r="I201" t="s">
        <v>49</v>
      </c>
      <c r="J201">
        <v>2</v>
      </c>
      <c r="K201">
        <v>2852.11</v>
      </c>
      <c r="L201">
        <v>1865.5805049999999</v>
      </c>
      <c r="M201">
        <v>0.65410538338282886</v>
      </c>
      <c r="N201">
        <v>0.65410538338282886</v>
      </c>
      <c r="Q201" t="s">
        <v>389</v>
      </c>
      <c r="R201">
        <v>0</v>
      </c>
      <c r="S201">
        <v>0</v>
      </c>
      <c r="T201" t="s">
        <v>31</v>
      </c>
    </row>
    <row r="202" spans="1:20" x14ac:dyDescent="0.3">
      <c r="A202">
        <v>386.3</v>
      </c>
      <c r="B202" t="s">
        <v>387</v>
      </c>
      <c r="C202" t="s">
        <v>310</v>
      </c>
      <c r="D202" t="s">
        <v>31</v>
      </c>
      <c r="E202" t="s">
        <v>32</v>
      </c>
      <c r="F202" s="2">
        <v>45473</v>
      </c>
      <c r="G202">
        <v>2024</v>
      </c>
      <c r="H202" t="s">
        <v>33</v>
      </c>
      <c r="I202" t="s">
        <v>51</v>
      </c>
      <c r="J202">
        <v>1</v>
      </c>
      <c r="K202">
        <v>1948.7860350000001</v>
      </c>
      <c r="L202">
        <v>2190.9297999999999</v>
      </c>
      <c r="M202">
        <v>1.1242536433713719</v>
      </c>
      <c r="N202">
        <v>1.1242536433713719</v>
      </c>
      <c r="O202" t="s">
        <v>143</v>
      </c>
      <c r="P202" t="s">
        <v>143</v>
      </c>
      <c r="Q202" t="s">
        <v>390</v>
      </c>
      <c r="R202">
        <v>0</v>
      </c>
      <c r="S202">
        <v>0</v>
      </c>
      <c r="T202" t="s">
        <v>31</v>
      </c>
    </row>
    <row r="203" spans="1:20" x14ac:dyDescent="0.3">
      <c r="A203">
        <v>386.3</v>
      </c>
      <c r="B203" t="s">
        <v>387</v>
      </c>
      <c r="C203" t="s">
        <v>310</v>
      </c>
      <c r="D203" t="s">
        <v>31</v>
      </c>
      <c r="E203" t="s">
        <v>32</v>
      </c>
      <c r="F203" s="2">
        <v>45657</v>
      </c>
      <c r="G203">
        <v>2024</v>
      </c>
      <c r="H203" t="s">
        <v>44</v>
      </c>
      <c r="I203" t="s">
        <v>53</v>
      </c>
      <c r="J203">
        <v>2</v>
      </c>
      <c r="K203">
        <v>2423.3739076999991</v>
      </c>
      <c r="L203">
        <v>2187.3099499999998</v>
      </c>
      <c r="M203">
        <v>1.1242536433713719</v>
      </c>
      <c r="N203">
        <v>1.1242536433713719</v>
      </c>
      <c r="O203" t="s">
        <v>143</v>
      </c>
      <c r="P203" t="s">
        <v>143</v>
      </c>
      <c r="Q203" t="s">
        <v>391</v>
      </c>
      <c r="R203">
        <v>0</v>
      </c>
      <c r="S203">
        <v>0</v>
      </c>
      <c r="T203" t="s">
        <v>31</v>
      </c>
    </row>
    <row r="204" spans="1:20" x14ac:dyDescent="0.3">
      <c r="A204">
        <v>77</v>
      </c>
      <c r="B204" t="s">
        <v>55</v>
      </c>
      <c r="C204" t="s">
        <v>56</v>
      </c>
      <c r="D204" t="s">
        <v>57</v>
      </c>
      <c r="E204" t="s">
        <v>32</v>
      </c>
      <c r="F204" s="2">
        <v>45473</v>
      </c>
      <c r="G204">
        <v>2024</v>
      </c>
      <c r="H204" t="s">
        <v>33</v>
      </c>
      <c r="I204" t="s">
        <v>51</v>
      </c>
      <c r="J204">
        <v>1</v>
      </c>
      <c r="K204">
        <v>97</v>
      </c>
      <c r="L204">
        <v>98.331666666666663</v>
      </c>
      <c r="M204">
        <v>1.01372852233677</v>
      </c>
      <c r="N204">
        <v>1.01372852233677</v>
      </c>
      <c r="O204" t="s">
        <v>58</v>
      </c>
      <c r="P204" t="s">
        <v>58</v>
      </c>
      <c r="Q204" t="s">
        <v>392</v>
      </c>
      <c r="R204">
        <v>0</v>
      </c>
      <c r="S204">
        <v>1</v>
      </c>
      <c r="T204" t="s">
        <v>31</v>
      </c>
    </row>
    <row r="205" spans="1:20" x14ac:dyDescent="0.3">
      <c r="A205">
        <v>77</v>
      </c>
      <c r="B205" t="s">
        <v>55</v>
      </c>
      <c r="C205" t="s">
        <v>56</v>
      </c>
      <c r="D205" t="s">
        <v>57</v>
      </c>
      <c r="E205" t="s">
        <v>32</v>
      </c>
      <c r="F205" s="2">
        <v>45657</v>
      </c>
      <c r="G205">
        <v>2024</v>
      </c>
      <c r="H205" t="s">
        <v>44</v>
      </c>
      <c r="I205" t="s">
        <v>53</v>
      </c>
      <c r="J205">
        <v>2</v>
      </c>
      <c r="K205">
        <v>97</v>
      </c>
      <c r="L205">
        <v>96.533333333333346</v>
      </c>
      <c r="M205">
        <v>0.99518900343642624</v>
      </c>
      <c r="N205">
        <v>0.99518900343642624</v>
      </c>
      <c r="O205" t="s">
        <v>58</v>
      </c>
      <c r="P205" t="s">
        <v>58</v>
      </c>
      <c r="Q205" t="s">
        <v>393</v>
      </c>
      <c r="R205">
        <v>0</v>
      </c>
      <c r="S205">
        <v>1</v>
      </c>
      <c r="T205" t="s">
        <v>31</v>
      </c>
    </row>
    <row r="206" spans="1:20" x14ac:dyDescent="0.3">
      <c r="A206">
        <v>96</v>
      </c>
      <c r="B206" t="s">
        <v>70</v>
      </c>
      <c r="C206" t="s">
        <v>71</v>
      </c>
      <c r="D206" t="s">
        <v>31</v>
      </c>
      <c r="E206" t="s">
        <v>32</v>
      </c>
      <c r="F206" s="2">
        <v>45657</v>
      </c>
      <c r="G206">
        <v>2024</v>
      </c>
      <c r="H206" t="s">
        <v>44</v>
      </c>
      <c r="I206" t="s">
        <v>53</v>
      </c>
      <c r="J206">
        <v>2</v>
      </c>
      <c r="K206">
        <v>336</v>
      </c>
      <c r="L206">
        <v>597</v>
      </c>
      <c r="M206">
        <v>1.3</v>
      </c>
      <c r="N206">
        <v>1.776785714285714</v>
      </c>
      <c r="O206" t="s">
        <v>35</v>
      </c>
      <c r="P206" t="s">
        <v>35</v>
      </c>
      <c r="Q206" t="s">
        <v>394</v>
      </c>
      <c r="R206">
        <v>0</v>
      </c>
      <c r="S206">
        <v>0</v>
      </c>
      <c r="T206" t="s">
        <v>31</v>
      </c>
    </row>
    <row r="207" spans="1:20" x14ac:dyDescent="0.3">
      <c r="A207">
        <v>97</v>
      </c>
      <c r="B207" t="s">
        <v>82</v>
      </c>
      <c r="C207" t="s">
        <v>83</v>
      </c>
      <c r="D207" t="s">
        <v>31</v>
      </c>
      <c r="E207" t="s">
        <v>32</v>
      </c>
      <c r="F207" s="2">
        <v>45473</v>
      </c>
      <c r="G207">
        <v>2024</v>
      </c>
      <c r="H207" t="s">
        <v>33</v>
      </c>
      <c r="I207" t="s">
        <v>51</v>
      </c>
      <c r="J207">
        <v>1</v>
      </c>
      <c r="K207">
        <v>0</v>
      </c>
      <c r="L207">
        <v>0</v>
      </c>
      <c r="Q207" t="s">
        <v>395</v>
      </c>
      <c r="R207">
        <v>0</v>
      </c>
      <c r="S207">
        <v>0</v>
      </c>
      <c r="T207" t="s">
        <v>31</v>
      </c>
    </row>
    <row r="208" spans="1:20" x14ac:dyDescent="0.3">
      <c r="A208">
        <v>97</v>
      </c>
      <c r="B208" t="s">
        <v>82</v>
      </c>
      <c r="C208" t="s">
        <v>83</v>
      </c>
      <c r="D208" t="s">
        <v>31</v>
      </c>
      <c r="E208" t="s">
        <v>32</v>
      </c>
      <c r="F208" s="2">
        <v>45657</v>
      </c>
      <c r="G208">
        <v>2024</v>
      </c>
      <c r="H208" t="s">
        <v>44</v>
      </c>
      <c r="I208" t="s">
        <v>53</v>
      </c>
      <c r="J208">
        <v>2</v>
      </c>
      <c r="K208">
        <v>0</v>
      </c>
      <c r="L208">
        <v>0</v>
      </c>
      <c r="Q208" t="s">
        <v>396</v>
      </c>
      <c r="R208">
        <v>0</v>
      </c>
      <c r="S208">
        <v>0</v>
      </c>
      <c r="T208" t="s">
        <v>31</v>
      </c>
    </row>
    <row r="209" spans="1:20" x14ac:dyDescent="0.3">
      <c r="A209">
        <v>98</v>
      </c>
      <c r="B209" t="s">
        <v>91</v>
      </c>
      <c r="C209" t="s">
        <v>83</v>
      </c>
      <c r="D209" t="s">
        <v>31</v>
      </c>
      <c r="E209" t="s">
        <v>32</v>
      </c>
      <c r="F209" s="2">
        <v>45473</v>
      </c>
      <c r="G209">
        <v>2024</v>
      </c>
      <c r="H209" t="s">
        <v>33</v>
      </c>
      <c r="I209" t="s">
        <v>47</v>
      </c>
      <c r="J209">
        <v>1</v>
      </c>
      <c r="K209">
        <v>0</v>
      </c>
      <c r="L209">
        <v>0</v>
      </c>
      <c r="Q209" t="s">
        <v>397</v>
      </c>
      <c r="R209">
        <v>0</v>
      </c>
      <c r="S209">
        <v>0</v>
      </c>
      <c r="T209" t="s">
        <v>31</v>
      </c>
    </row>
    <row r="210" spans="1:20" x14ac:dyDescent="0.3">
      <c r="A210">
        <v>98</v>
      </c>
      <c r="B210" t="s">
        <v>91</v>
      </c>
      <c r="C210" t="s">
        <v>83</v>
      </c>
      <c r="D210" t="s">
        <v>31</v>
      </c>
      <c r="E210" t="s">
        <v>32</v>
      </c>
      <c r="F210" s="2">
        <v>45657</v>
      </c>
      <c r="G210">
        <v>2024</v>
      </c>
      <c r="H210" t="s">
        <v>44</v>
      </c>
      <c r="I210" t="s">
        <v>53</v>
      </c>
      <c r="J210">
        <v>2</v>
      </c>
      <c r="K210">
        <v>5</v>
      </c>
      <c r="L210">
        <v>5</v>
      </c>
      <c r="M210">
        <v>1</v>
      </c>
      <c r="N210">
        <v>1</v>
      </c>
      <c r="O210" t="s">
        <v>35</v>
      </c>
      <c r="P210" t="s">
        <v>35</v>
      </c>
      <c r="Q210" t="s">
        <v>398</v>
      </c>
      <c r="R210">
        <v>0</v>
      </c>
      <c r="S210">
        <v>0</v>
      </c>
      <c r="T210" t="s">
        <v>31</v>
      </c>
    </row>
    <row r="211" spans="1:20" x14ac:dyDescent="0.3">
      <c r="A211">
        <v>14.1</v>
      </c>
      <c r="B211" t="s">
        <v>353</v>
      </c>
      <c r="C211" t="s">
        <v>186</v>
      </c>
      <c r="D211" t="s">
        <v>31</v>
      </c>
      <c r="E211" t="s">
        <v>32</v>
      </c>
      <c r="F211" s="2">
        <v>45657</v>
      </c>
      <c r="G211">
        <v>2024</v>
      </c>
      <c r="H211" t="s">
        <v>44</v>
      </c>
      <c r="I211" t="s">
        <v>53</v>
      </c>
      <c r="J211">
        <v>2</v>
      </c>
      <c r="K211">
        <v>7912</v>
      </c>
      <c r="L211">
        <v>8165</v>
      </c>
      <c r="M211">
        <v>1.031976744186047</v>
      </c>
      <c r="N211">
        <v>1.031976744186047</v>
      </c>
      <c r="O211" t="s">
        <v>35</v>
      </c>
      <c r="P211" t="s">
        <v>35</v>
      </c>
      <c r="Q211" t="s">
        <v>399</v>
      </c>
      <c r="R211">
        <v>0</v>
      </c>
      <c r="S211">
        <v>0</v>
      </c>
      <c r="T211" t="s">
        <v>31</v>
      </c>
    </row>
    <row r="212" spans="1:20" x14ac:dyDescent="0.3">
      <c r="A212">
        <v>14.2</v>
      </c>
      <c r="B212" t="s">
        <v>359</v>
      </c>
      <c r="C212" t="s">
        <v>186</v>
      </c>
      <c r="D212" t="s">
        <v>31</v>
      </c>
      <c r="E212" t="s">
        <v>32</v>
      </c>
      <c r="F212" s="2">
        <v>45657</v>
      </c>
      <c r="G212">
        <v>2024</v>
      </c>
      <c r="H212" t="s">
        <v>44</v>
      </c>
      <c r="I212" t="s">
        <v>53</v>
      </c>
      <c r="J212">
        <v>2</v>
      </c>
      <c r="K212">
        <v>43204</v>
      </c>
      <c r="L212">
        <v>43840</v>
      </c>
      <c r="M212">
        <v>1.0147208591797059</v>
      </c>
      <c r="N212">
        <v>1.0007686047563069</v>
      </c>
      <c r="O212" t="s">
        <v>35</v>
      </c>
      <c r="P212" t="s">
        <v>35</v>
      </c>
      <c r="Q212" t="s">
        <v>400</v>
      </c>
      <c r="R212">
        <v>0</v>
      </c>
      <c r="S212">
        <v>0</v>
      </c>
      <c r="T212" t="s">
        <v>31</v>
      </c>
    </row>
    <row r="213" spans="1:20" x14ac:dyDescent="0.3">
      <c r="A213">
        <v>14.3</v>
      </c>
      <c r="B213" t="s">
        <v>365</v>
      </c>
      <c r="C213" t="s">
        <v>186</v>
      </c>
      <c r="D213" t="s">
        <v>31</v>
      </c>
      <c r="E213" t="s">
        <v>32</v>
      </c>
      <c r="F213" s="2">
        <v>45657</v>
      </c>
      <c r="G213">
        <v>2024</v>
      </c>
      <c r="H213" t="s">
        <v>44</v>
      </c>
      <c r="I213" t="s">
        <v>53</v>
      </c>
      <c r="J213">
        <v>2</v>
      </c>
      <c r="K213">
        <v>48061</v>
      </c>
      <c r="L213">
        <v>48339</v>
      </c>
      <c r="M213">
        <v>1.005784315765381</v>
      </c>
      <c r="N213">
        <v>1.005784315765381</v>
      </c>
      <c r="O213" t="s">
        <v>35</v>
      </c>
      <c r="P213" t="s">
        <v>35</v>
      </c>
      <c r="Q213" t="s">
        <v>401</v>
      </c>
      <c r="R213">
        <v>0</v>
      </c>
      <c r="S213">
        <v>0</v>
      </c>
      <c r="T213" t="s">
        <v>31</v>
      </c>
    </row>
    <row r="214" spans="1:20" x14ac:dyDescent="0.3">
      <c r="A214">
        <v>14.4</v>
      </c>
      <c r="B214" t="s">
        <v>371</v>
      </c>
      <c r="C214" t="s">
        <v>186</v>
      </c>
      <c r="D214" t="s">
        <v>31</v>
      </c>
      <c r="E214" t="s">
        <v>32</v>
      </c>
      <c r="F214" s="2">
        <v>45657</v>
      </c>
      <c r="G214">
        <v>2024</v>
      </c>
      <c r="H214" t="s">
        <v>44</v>
      </c>
      <c r="I214" t="s">
        <v>53</v>
      </c>
      <c r="J214">
        <v>2</v>
      </c>
      <c r="K214">
        <v>3055</v>
      </c>
      <c r="L214">
        <v>3666</v>
      </c>
      <c r="M214">
        <v>1.2</v>
      </c>
      <c r="N214">
        <v>1.2</v>
      </c>
      <c r="O214" t="s">
        <v>35</v>
      </c>
      <c r="P214" t="s">
        <v>35</v>
      </c>
      <c r="Q214" t="s">
        <v>402</v>
      </c>
      <c r="R214">
        <v>0</v>
      </c>
      <c r="S214">
        <v>0</v>
      </c>
      <c r="T214" t="s">
        <v>31</v>
      </c>
    </row>
    <row r="215" spans="1:20" x14ac:dyDescent="0.3">
      <c r="A215">
        <v>194</v>
      </c>
      <c r="B215" t="s">
        <v>121</v>
      </c>
      <c r="C215" t="s">
        <v>30</v>
      </c>
      <c r="D215" t="s">
        <v>31</v>
      </c>
      <c r="E215" t="s">
        <v>32</v>
      </c>
      <c r="F215" s="2">
        <v>45657</v>
      </c>
      <c r="G215">
        <v>2024</v>
      </c>
      <c r="H215" t="s">
        <v>44</v>
      </c>
      <c r="I215" t="s">
        <v>53</v>
      </c>
      <c r="J215">
        <v>2</v>
      </c>
      <c r="K215">
        <v>81</v>
      </c>
      <c r="L215">
        <v>89</v>
      </c>
      <c r="M215">
        <v>1.098765432098765</v>
      </c>
      <c r="N215">
        <v>1.098765432098765</v>
      </c>
      <c r="O215" t="s">
        <v>58</v>
      </c>
      <c r="P215" t="s">
        <v>58</v>
      </c>
      <c r="Q215" t="s">
        <v>403</v>
      </c>
      <c r="R215">
        <v>0</v>
      </c>
      <c r="S215">
        <v>0</v>
      </c>
      <c r="T215" t="s">
        <v>31</v>
      </c>
    </row>
    <row r="216" spans="1:20" x14ac:dyDescent="0.3">
      <c r="A216">
        <v>476</v>
      </c>
      <c r="B216" t="s">
        <v>348</v>
      </c>
      <c r="C216" t="s">
        <v>349</v>
      </c>
      <c r="D216" t="s">
        <v>31</v>
      </c>
      <c r="E216" t="s">
        <v>32</v>
      </c>
      <c r="F216" s="2">
        <v>45838</v>
      </c>
      <c r="G216">
        <v>2025</v>
      </c>
      <c r="H216" t="s">
        <v>33</v>
      </c>
      <c r="I216" t="s">
        <v>404</v>
      </c>
      <c r="J216">
        <v>1</v>
      </c>
      <c r="K216">
        <v>6</v>
      </c>
      <c r="L216">
        <v>6</v>
      </c>
      <c r="M216">
        <v>1</v>
      </c>
      <c r="N216">
        <v>1</v>
      </c>
      <c r="O216" t="s">
        <v>35</v>
      </c>
      <c r="P216" t="s">
        <v>35</v>
      </c>
      <c r="Q216" t="s">
        <v>405</v>
      </c>
      <c r="R216">
        <v>0</v>
      </c>
      <c r="S216">
        <v>0</v>
      </c>
      <c r="T216" t="s">
        <v>31</v>
      </c>
    </row>
    <row r="217" spans="1:20" x14ac:dyDescent="0.3">
      <c r="A217">
        <v>148</v>
      </c>
      <c r="B217" t="s">
        <v>104</v>
      </c>
      <c r="C217" t="s">
        <v>105</v>
      </c>
      <c r="D217" t="s">
        <v>31</v>
      </c>
      <c r="E217" t="s">
        <v>32</v>
      </c>
      <c r="F217" s="2">
        <v>45838</v>
      </c>
      <c r="G217">
        <v>2025</v>
      </c>
      <c r="H217" t="s">
        <v>33</v>
      </c>
      <c r="I217" t="s">
        <v>404</v>
      </c>
      <c r="J217">
        <v>1</v>
      </c>
      <c r="K217">
        <v>4</v>
      </c>
      <c r="L217">
        <v>4.08</v>
      </c>
      <c r="M217">
        <v>1.02</v>
      </c>
      <c r="N217">
        <v>1.02</v>
      </c>
      <c r="O217" t="s">
        <v>58</v>
      </c>
      <c r="P217" t="s">
        <v>58</v>
      </c>
      <c r="Q217" t="s">
        <v>406</v>
      </c>
      <c r="R217">
        <v>0</v>
      </c>
      <c r="S217">
        <v>1</v>
      </c>
      <c r="T217" t="s">
        <v>31</v>
      </c>
    </row>
    <row r="218" spans="1:20" x14ac:dyDescent="0.3">
      <c r="A218">
        <v>339</v>
      </c>
      <c r="B218" t="s">
        <v>255</v>
      </c>
      <c r="C218" t="s">
        <v>256</v>
      </c>
      <c r="D218" t="s">
        <v>66</v>
      </c>
      <c r="E218" t="s">
        <v>32</v>
      </c>
      <c r="F218" s="2">
        <v>45838</v>
      </c>
      <c r="G218">
        <v>2025</v>
      </c>
      <c r="H218" t="s">
        <v>33</v>
      </c>
      <c r="I218" t="s">
        <v>404</v>
      </c>
      <c r="J218">
        <v>1</v>
      </c>
      <c r="K218">
        <v>30</v>
      </c>
      <c r="L218">
        <v>33.299999999999997</v>
      </c>
      <c r="M218">
        <v>1.1100000000000001</v>
      </c>
      <c r="N218">
        <v>1.1100000000000001</v>
      </c>
      <c r="O218" t="s">
        <v>58</v>
      </c>
      <c r="P218" t="s">
        <v>58</v>
      </c>
      <c r="Q218" t="s">
        <v>407</v>
      </c>
      <c r="R218">
        <v>0</v>
      </c>
      <c r="S218">
        <v>1</v>
      </c>
      <c r="T218" t="s">
        <v>31</v>
      </c>
    </row>
    <row r="219" spans="1:20" x14ac:dyDescent="0.3">
      <c r="A219">
        <v>325</v>
      </c>
      <c r="B219" t="s">
        <v>224</v>
      </c>
      <c r="C219" t="s">
        <v>216</v>
      </c>
      <c r="D219" t="s">
        <v>31</v>
      </c>
      <c r="E219" t="s">
        <v>32</v>
      </c>
      <c r="F219" s="2">
        <v>45838</v>
      </c>
      <c r="G219">
        <v>2025</v>
      </c>
      <c r="H219" t="s">
        <v>33</v>
      </c>
      <c r="I219" t="s">
        <v>404</v>
      </c>
      <c r="J219">
        <v>1</v>
      </c>
      <c r="K219">
        <v>8</v>
      </c>
      <c r="L219">
        <v>8</v>
      </c>
      <c r="M219">
        <v>1</v>
      </c>
      <c r="N219">
        <v>1</v>
      </c>
      <c r="O219" t="s">
        <v>35</v>
      </c>
      <c r="P219" t="s">
        <v>35</v>
      </c>
      <c r="Q219" t="s">
        <v>408</v>
      </c>
      <c r="R219">
        <v>0</v>
      </c>
      <c r="S219">
        <v>0</v>
      </c>
      <c r="T219" t="s">
        <v>31</v>
      </c>
    </row>
    <row r="220" spans="1:20" x14ac:dyDescent="0.3">
      <c r="A220">
        <v>323</v>
      </c>
      <c r="B220" t="s">
        <v>215</v>
      </c>
      <c r="C220" t="s">
        <v>216</v>
      </c>
      <c r="D220" t="s">
        <v>31</v>
      </c>
      <c r="E220" t="s">
        <v>32</v>
      </c>
      <c r="F220" s="2">
        <v>45838</v>
      </c>
      <c r="G220">
        <v>2025</v>
      </c>
      <c r="H220" t="s">
        <v>33</v>
      </c>
      <c r="I220" t="s">
        <v>404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35</v>
      </c>
      <c r="P220" t="s">
        <v>35</v>
      </c>
      <c r="Q220" t="s">
        <v>409</v>
      </c>
      <c r="R220">
        <v>0</v>
      </c>
      <c r="S220">
        <v>0</v>
      </c>
      <c r="T220" t="s">
        <v>31</v>
      </c>
    </row>
    <row r="221" spans="1:20" x14ac:dyDescent="0.3">
      <c r="A221">
        <v>276</v>
      </c>
      <c r="B221" t="s">
        <v>201</v>
      </c>
      <c r="C221" t="s">
        <v>202</v>
      </c>
      <c r="D221" t="s">
        <v>31</v>
      </c>
      <c r="E221" t="s">
        <v>171</v>
      </c>
      <c r="F221" s="2">
        <v>45838</v>
      </c>
      <c r="G221">
        <v>2025</v>
      </c>
      <c r="H221" t="s">
        <v>33</v>
      </c>
      <c r="I221" t="s">
        <v>404</v>
      </c>
      <c r="J221">
        <v>1</v>
      </c>
      <c r="K221">
        <v>81</v>
      </c>
      <c r="L221">
        <v>84.18</v>
      </c>
      <c r="M221">
        <v>1.0392592592592591</v>
      </c>
      <c r="N221">
        <v>1.0392592592592591</v>
      </c>
      <c r="O221" t="s">
        <v>35</v>
      </c>
      <c r="P221" t="s">
        <v>245</v>
      </c>
      <c r="Q221" t="s">
        <v>410</v>
      </c>
      <c r="R221">
        <v>0</v>
      </c>
      <c r="S221">
        <v>1</v>
      </c>
      <c r="T221" t="s">
        <v>31</v>
      </c>
    </row>
    <row r="222" spans="1:20" x14ac:dyDescent="0.3">
      <c r="A222">
        <v>14</v>
      </c>
      <c r="B222" t="s">
        <v>29</v>
      </c>
      <c r="C222" t="s">
        <v>186</v>
      </c>
      <c r="D222" t="s">
        <v>31</v>
      </c>
      <c r="E222" t="s">
        <v>32</v>
      </c>
      <c r="F222" s="2">
        <v>45838</v>
      </c>
      <c r="G222">
        <v>2025</v>
      </c>
      <c r="H222" t="s">
        <v>33</v>
      </c>
      <c r="I222" t="s">
        <v>404</v>
      </c>
      <c r="J222">
        <v>1</v>
      </c>
      <c r="K222">
        <v>53635</v>
      </c>
      <c r="L222">
        <v>56505</v>
      </c>
      <c r="M222">
        <v>1.053509834995805</v>
      </c>
      <c r="N222">
        <v>1.053509834995805</v>
      </c>
      <c r="O222" t="s">
        <v>35</v>
      </c>
      <c r="P222" t="s">
        <v>35</v>
      </c>
      <c r="Q222" t="s">
        <v>411</v>
      </c>
      <c r="R222">
        <v>0</v>
      </c>
      <c r="S222">
        <v>0</v>
      </c>
      <c r="T222" t="s">
        <v>31</v>
      </c>
    </row>
    <row r="223" spans="1:20" x14ac:dyDescent="0.3">
      <c r="A223">
        <v>379</v>
      </c>
      <c r="B223" t="s">
        <v>301</v>
      </c>
      <c r="C223" t="s">
        <v>302</v>
      </c>
      <c r="D223" t="s">
        <v>31</v>
      </c>
      <c r="E223" t="s">
        <v>32</v>
      </c>
      <c r="F223" s="2">
        <v>45838</v>
      </c>
      <c r="G223">
        <v>2025</v>
      </c>
      <c r="H223" t="s">
        <v>33</v>
      </c>
      <c r="I223" t="s">
        <v>404</v>
      </c>
      <c r="J223">
        <v>1</v>
      </c>
      <c r="K223">
        <v>13609</v>
      </c>
      <c r="L223">
        <v>14141</v>
      </c>
      <c r="M223">
        <v>1.039091777500184</v>
      </c>
      <c r="N223">
        <v>1.039091777500184</v>
      </c>
      <c r="O223" t="s">
        <v>35</v>
      </c>
      <c r="P223" t="s">
        <v>35</v>
      </c>
      <c r="Q223" t="s">
        <v>412</v>
      </c>
      <c r="R223">
        <v>0</v>
      </c>
      <c r="S223">
        <v>0</v>
      </c>
      <c r="T223" t="s">
        <v>31</v>
      </c>
    </row>
    <row r="224" spans="1:20" x14ac:dyDescent="0.3">
      <c r="A224">
        <v>274</v>
      </c>
      <c r="B224" t="s">
        <v>193</v>
      </c>
      <c r="C224" t="s">
        <v>194</v>
      </c>
      <c r="D224" t="s">
        <v>31</v>
      </c>
      <c r="E224" t="s">
        <v>32</v>
      </c>
      <c r="F224" s="2">
        <v>45838</v>
      </c>
      <c r="G224">
        <v>2025</v>
      </c>
      <c r="H224" t="s">
        <v>33</v>
      </c>
      <c r="I224" t="s">
        <v>404</v>
      </c>
      <c r="J224">
        <v>1</v>
      </c>
      <c r="K224">
        <v>40026</v>
      </c>
      <c r="L224">
        <v>42364</v>
      </c>
      <c r="M224">
        <v>1.058412032179084</v>
      </c>
      <c r="N224">
        <v>1.058412032179084</v>
      </c>
      <c r="O224" t="s">
        <v>35</v>
      </c>
      <c r="P224" t="s">
        <v>35</v>
      </c>
      <c r="Q224" t="s">
        <v>413</v>
      </c>
      <c r="R224">
        <v>0</v>
      </c>
      <c r="S224">
        <v>0</v>
      </c>
      <c r="T224" t="s">
        <v>31</v>
      </c>
    </row>
    <row r="225" spans="1:20" x14ac:dyDescent="0.3">
      <c r="A225">
        <v>14.1</v>
      </c>
      <c r="B225" t="s">
        <v>353</v>
      </c>
      <c r="C225" t="s">
        <v>186</v>
      </c>
      <c r="D225" t="s">
        <v>31</v>
      </c>
      <c r="E225" t="s">
        <v>32</v>
      </c>
      <c r="F225" s="2">
        <v>45838</v>
      </c>
      <c r="G225">
        <v>2025</v>
      </c>
      <c r="H225" t="s">
        <v>33</v>
      </c>
      <c r="I225" t="s">
        <v>404</v>
      </c>
      <c r="J225">
        <v>1</v>
      </c>
      <c r="K225">
        <v>8471</v>
      </c>
      <c r="L225">
        <v>8743</v>
      </c>
      <c r="M225">
        <v>1.0321095502301969</v>
      </c>
      <c r="N225">
        <v>1.0321095502301969</v>
      </c>
      <c r="O225" t="s">
        <v>35</v>
      </c>
      <c r="P225" t="s">
        <v>35</v>
      </c>
      <c r="Q225" t="s">
        <v>414</v>
      </c>
      <c r="R225">
        <v>0</v>
      </c>
      <c r="S225">
        <v>0</v>
      </c>
      <c r="T225" t="s">
        <v>31</v>
      </c>
    </row>
    <row r="226" spans="1:20" x14ac:dyDescent="0.3">
      <c r="A226">
        <v>14.2</v>
      </c>
      <c r="B226" t="s">
        <v>359</v>
      </c>
      <c r="C226" t="s">
        <v>186</v>
      </c>
      <c r="D226" t="s">
        <v>31</v>
      </c>
      <c r="E226" t="s">
        <v>32</v>
      </c>
      <c r="F226" s="2">
        <v>45838</v>
      </c>
      <c r="G226">
        <v>2025</v>
      </c>
      <c r="H226" t="s">
        <v>33</v>
      </c>
      <c r="I226" t="s">
        <v>404</v>
      </c>
      <c r="J226">
        <v>1</v>
      </c>
      <c r="K226">
        <v>45164</v>
      </c>
      <c r="L226">
        <v>47762</v>
      </c>
      <c r="M226">
        <v>1.0575236914356569</v>
      </c>
      <c r="N226">
        <v>1.0575236914356569</v>
      </c>
      <c r="O226" t="s">
        <v>35</v>
      </c>
      <c r="P226" t="s">
        <v>35</v>
      </c>
      <c r="Q226" t="s">
        <v>415</v>
      </c>
      <c r="R226">
        <v>0</v>
      </c>
      <c r="S226">
        <v>0</v>
      </c>
      <c r="T226" t="s">
        <v>31</v>
      </c>
    </row>
    <row r="227" spans="1:20" x14ac:dyDescent="0.3">
      <c r="A227">
        <v>14.3</v>
      </c>
      <c r="B227" t="s">
        <v>365</v>
      </c>
      <c r="C227" t="s">
        <v>186</v>
      </c>
      <c r="D227" t="s">
        <v>31</v>
      </c>
      <c r="E227" t="s">
        <v>32</v>
      </c>
      <c r="F227" s="2">
        <v>45838</v>
      </c>
      <c r="G227">
        <v>2025</v>
      </c>
      <c r="H227" t="s">
        <v>33</v>
      </c>
      <c r="I227" t="s">
        <v>404</v>
      </c>
      <c r="J227">
        <v>1</v>
      </c>
      <c r="K227">
        <v>49641</v>
      </c>
      <c r="L227">
        <v>52096</v>
      </c>
      <c r="M227">
        <v>1.0494550875284541</v>
      </c>
      <c r="N227">
        <v>1.0494550875284541</v>
      </c>
      <c r="O227" t="s">
        <v>35</v>
      </c>
      <c r="P227" t="s">
        <v>35</v>
      </c>
      <c r="Q227" t="s">
        <v>416</v>
      </c>
      <c r="R227">
        <v>0</v>
      </c>
      <c r="S227">
        <v>0</v>
      </c>
      <c r="T227" t="s">
        <v>31</v>
      </c>
    </row>
    <row r="228" spans="1:20" x14ac:dyDescent="0.3">
      <c r="A228">
        <v>14.4</v>
      </c>
      <c r="B228" t="s">
        <v>371</v>
      </c>
      <c r="C228" t="s">
        <v>186</v>
      </c>
      <c r="D228" t="s">
        <v>31</v>
      </c>
      <c r="E228" t="s">
        <v>32</v>
      </c>
      <c r="F228" s="2">
        <v>45838</v>
      </c>
      <c r="G228">
        <v>2025</v>
      </c>
      <c r="H228" t="s">
        <v>33</v>
      </c>
      <c r="I228" t="s">
        <v>404</v>
      </c>
      <c r="J228">
        <v>1</v>
      </c>
      <c r="K228">
        <v>3994</v>
      </c>
      <c r="L228">
        <v>4409</v>
      </c>
      <c r="M228">
        <v>1.103905858788182</v>
      </c>
      <c r="N228">
        <v>1.103905858788182</v>
      </c>
      <c r="O228" t="s">
        <v>35</v>
      </c>
      <c r="P228" t="s">
        <v>35</v>
      </c>
      <c r="Q228" t="s">
        <v>417</v>
      </c>
      <c r="R228">
        <v>0</v>
      </c>
      <c r="S228">
        <v>0</v>
      </c>
      <c r="T228" t="s">
        <v>31</v>
      </c>
    </row>
    <row r="229" spans="1:20" x14ac:dyDescent="0.3">
      <c r="A229">
        <v>98</v>
      </c>
      <c r="B229" t="s">
        <v>91</v>
      </c>
      <c r="C229" t="s">
        <v>83</v>
      </c>
      <c r="D229" t="s">
        <v>31</v>
      </c>
      <c r="E229" t="s">
        <v>32</v>
      </c>
      <c r="F229" s="2">
        <v>45838</v>
      </c>
      <c r="G229">
        <v>2025</v>
      </c>
      <c r="H229" t="s">
        <v>33</v>
      </c>
      <c r="I229" t="s">
        <v>404</v>
      </c>
      <c r="J229">
        <v>1</v>
      </c>
      <c r="K229">
        <v>10</v>
      </c>
      <c r="L229">
        <v>10</v>
      </c>
      <c r="M229">
        <v>1</v>
      </c>
      <c r="N229">
        <v>1</v>
      </c>
      <c r="O229" t="s">
        <v>35</v>
      </c>
      <c r="P229" t="s">
        <v>35</v>
      </c>
      <c r="Q229" t="s">
        <v>418</v>
      </c>
      <c r="R229">
        <v>0</v>
      </c>
      <c r="S229">
        <v>0</v>
      </c>
      <c r="T229" t="s">
        <v>31</v>
      </c>
    </row>
    <row r="230" spans="1:20" x14ac:dyDescent="0.3">
      <c r="A230">
        <v>194</v>
      </c>
      <c r="B230" t="s">
        <v>121</v>
      </c>
      <c r="C230" t="s">
        <v>30</v>
      </c>
      <c r="D230" t="s">
        <v>31</v>
      </c>
      <c r="E230" t="s">
        <v>32</v>
      </c>
      <c r="F230" s="2">
        <v>45838</v>
      </c>
      <c r="G230">
        <v>2025</v>
      </c>
      <c r="H230" t="s">
        <v>33</v>
      </c>
      <c r="I230" t="s">
        <v>404</v>
      </c>
      <c r="J230">
        <v>1</v>
      </c>
      <c r="K230">
        <v>80</v>
      </c>
      <c r="L230">
        <v>90</v>
      </c>
      <c r="M230">
        <v>1.125</v>
      </c>
      <c r="N230">
        <v>1.125</v>
      </c>
      <c r="O230" t="s">
        <v>58</v>
      </c>
      <c r="P230" t="s">
        <v>58</v>
      </c>
      <c r="Q230" t="s">
        <v>419</v>
      </c>
      <c r="R230">
        <v>0</v>
      </c>
      <c r="S230">
        <v>0</v>
      </c>
      <c r="T230" t="s">
        <v>31</v>
      </c>
    </row>
    <row r="231" spans="1:20" x14ac:dyDescent="0.3">
      <c r="A231">
        <v>193</v>
      </c>
      <c r="B231" t="s">
        <v>110</v>
      </c>
      <c r="C231" t="s">
        <v>30</v>
      </c>
      <c r="D231" t="s">
        <v>31</v>
      </c>
      <c r="E231" t="s">
        <v>32</v>
      </c>
      <c r="F231" s="2">
        <v>45838</v>
      </c>
      <c r="G231">
        <v>2025</v>
      </c>
      <c r="H231" t="s">
        <v>33</v>
      </c>
      <c r="I231" t="s">
        <v>404</v>
      </c>
      <c r="J231">
        <v>1</v>
      </c>
      <c r="K231">
        <v>93</v>
      </c>
      <c r="L231">
        <v>96.21</v>
      </c>
      <c r="M231">
        <v>1.034516129032258</v>
      </c>
      <c r="N231">
        <v>1.034516129032258</v>
      </c>
      <c r="O231" t="s">
        <v>58</v>
      </c>
      <c r="P231" t="s">
        <v>58</v>
      </c>
      <c r="Q231" t="s">
        <v>420</v>
      </c>
      <c r="R231">
        <v>1</v>
      </c>
      <c r="S231">
        <v>1</v>
      </c>
      <c r="T231" t="s">
        <v>31</v>
      </c>
    </row>
    <row r="232" spans="1:20" x14ac:dyDescent="0.3">
      <c r="A232">
        <v>245</v>
      </c>
      <c r="B232" t="s">
        <v>185</v>
      </c>
      <c r="C232" t="s">
        <v>186</v>
      </c>
      <c r="D232" t="s">
        <v>31</v>
      </c>
      <c r="E232" t="s">
        <v>32</v>
      </c>
      <c r="F232" s="2">
        <v>45838</v>
      </c>
      <c r="G232">
        <v>2025</v>
      </c>
      <c r="H232" t="s">
        <v>33</v>
      </c>
      <c r="I232" t="s">
        <v>404</v>
      </c>
      <c r="J232">
        <v>1</v>
      </c>
      <c r="K232">
        <v>85.7</v>
      </c>
      <c r="L232">
        <v>86.5</v>
      </c>
      <c r="M232">
        <v>1.009334889148191</v>
      </c>
      <c r="N232">
        <v>1.009334889148191</v>
      </c>
      <c r="O232" t="s">
        <v>58</v>
      </c>
      <c r="P232" t="s">
        <v>58</v>
      </c>
      <c r="Q232" t="s">
        <v>421</v>
      </c>
      <c r="R232">
        <v>1</v>
      </c>
      <c r="S232">
        <v>1</v>
      </c>
      <c r="T232" t="s">
        <v>31</v>
      </c>
    </row>
    <row r="233" spans="1:20" x14ac:dyDescent="0.3">
      <c r="A233">
        <v>205</v>
      </c>
      <c r="B233" t="s">
        <v>161</v>
      </c>
      <c r="C233" t="s">
        <v>142</v>
      </c>
      <c r="D233" t="s">
        <v>31</v>
      </c>
      <c r="E233" t="s">
        <v>32</v>
      </c>
      <c r="F233" s="2">
        <v>45838</v>
      </c>
      <c r="G233">
        <v>2025</v>
      </c>
      <c r="H233" t="s">
        <v>33</v>
      </c>
      <c r="I233" t="s">
        <v>404</v>
      </c>
      <c r="J233">
        <v>1</v>
      </c>
      <c r="K233">
        <v>4817.8363419999996</v>
      </c>
      <c r="L233">
        <v>8976.1202028999996</v>
      </c>
      <c r="M233">
        <v>1.3</v>
      </c>
      <c r="N233">
        <v>1.8631019332578229</v>
      </c>
      <c r="O233" t="s">
        <v>143</v>
      </c>
      <c r="P233" t="s">
        <v>143</v>
      </c>
      <c r="Q233" t="s">
        <v>422</v>
      </c>
      <c r="R233">
        <v>0</v>
      </c>
      <c r="S233">
        <v>0</v>
      </c>
      <c r="T233" t="s">
        <v>31</v>
      </c>
    </row>
    <row r="234" spans="1:20" x14ac:dyDescent="0.3">
      <c r="A234">
        <v>204</v>
      </c>
      <c r="B234" t="s">
        <v>154</v>
      </c>
      <c r="C234" t="s">
        <v>142</v>
      </c>
      <c r="D234" t="s">
        <v>31</v>
      </c>
      <c r="E234" t="s">
        <v>32</v>
      </c>
      <c r="F234" s="2">
        <v>45838</v>
      </c>
      <c r="G234">
        <v>2025</v>
      </c>
      <c r="H234" t="s">
        <v>33</v>
      </c>
      <c r="I234" t="s">
        <v>404</v>
      </c>
      <c r="J234">
        <v>1</v>
      </c>
      <c r="K234">
        <v>23623.074006999999</v>
      </c>
      <c r="L234">
        <v>20526.599049</v>
      </c>
      <c r="M234">
        <v>0.86892159093763788</v>
      </c>
      <c r="N234">
        <v>0.86892159093763788</v>
      </c>
      <c r="O234" t="s">
        <v>143</v>
      </c>
      <c r="P234" t="s">
        <v>143</v>
      </c>
      <c r="Q234" t="s">
        <v>423</v>
      </c>
      <c r="R234">
        <v>0</v>
      </c>
      <c r="S234">
        <v>0</v>
      </c>
      <c r="T234" t="s">
        <v>31</v>
      </c>
    </row>
    <row r="235" spans="1:20" x14ac:dyDescent="0.3">
      <c r="A235">
        <v>364</v>
      </c>
      <c r="B235" t="s">
        <v>271</v>
      </c>
      <c r="C235" t="s">
        <v>267</v>
      </c>
      <c r="D235" t="s">
        <v>31</v>
      </c>
      <c r="E235" t="s">
        <v>32</v>
      </c>
      <c r="F235" s="2">
        <v>45838</v>
      </c>
      <c r="G235">
        <v>2025</v>
      </c>
      <c r="H235" t="s">
        <v>33</v>
      </c>
      <c r="I235" t="s">
        <v>404</v>
      </c>
      <c r="J235">
        <v>1</v>
      </c>
      <c r="K235">
        <v>33279</v>
      </c>
      <c r="L235">
        <v>131244</v>
      </c>
      <c r="M235">
        <v>1.3</v>
      </c>
      <c r="N235">
        <v>3.9437483097448842</v>
      </c>
      <c r="O235" t="s">
        <v>35</v>
      </c>
      <c r="P235" t="s">
        <v>35</v>
      </c>
      <c r="Q235" t="s">
        <v>424</v>
      </c>
      <c r="R235">
        <v>0</v>
      </c>
      <c r="S235">
        <v>0</v>
      </c>
      <c r="T235" t="s">
        <v>31</v>
      </c>
    </row>
    <row r="236" spans="1:20" x14ac:dyDescent="0.3">
      <c r="A236">
        <v>376</v>
      </c>
      <c r="B236" t="s">
        <v>473</v>
      </c>
      <c r="C236" t="s">
        <v>142</v>
      </c>
      <c r="D236" t="s">
        <v>31</v>
      </c>
      <c r="E236" t="s">
        <v>32</v>
      </c>
      <c r="F236" s="2">
        <v>45838</v>
      </c>
      <c r="G236">
        <v>2025</v>
      </c>
      <c r="H236" t="s">
        <v>33</v>
      </c>
      <c r="I236" t="s">
        <v>404</v>
      </c>
      <c r="J236">
        <v>1</v>
      </c>
      <c r="K236">
        <v>18705.796225999999</v>
      </c>
      <c r="L236">
        <v>22048.226769000001</v>
      </c>
      <c r="M236">
        <v>1.178684216518632</v>
      </c>
      <c r="N236">
        <v>1.178684216518632</v>
      </c>
      <c r="O236" t="s">
        <v>143</v>
      </c>
      <c r="P236" t="s">
        <v>143</v>
      </c>
      <c r="Q236" t="s">
        <v>425</v>
      </c>
      <c r="R236">
        <v>0</v>
      </c>
      <c r="S236">
        <v>0</v>
      </c>
      <c r="T236" t="s">
        <v>31</v>
      </c>
    </row>
    <row r="237" spans="1:20" x14ac:dyDescent="0.3">
      <c r="A237">
        <v>203</v>
      </c>
      <c r="B237" t="s">
        <v>141</v>
      </c>
      <c r="C237" t="s">
        <v>142</v>
      </c>
      <c r="D237" t="s">
        <v>31</v>
      </c>
      <c r="E237" t="s">
        <v>32</v>
      </c>
      <c r="F237" s="2">
        <v>45838</v>
      </c>
      <c r="G237">
        <v>2025</v>
      </c>
      <c r="H237" t="s">
        <v>33</v>
      </c>
      <c r="I237" t="s">
        <v>404</v>
      </c>
      <c r="J237">
        <v>1</v>
      </c>
      <c r="K237">
        <v>149950.76733</v>
      </c>
      <c r="L237">
        <v>167595.14529690001</v>
      </c>
      <c r="M237">
        <v>1.1176678071147821</v>
      </c>
      <c r="N237">
        <v>1.1176678071147821</v>
      </c>
      <c r="O237" t="s">
        <v>143</v>
      </c>
      <c r="P237" t="s">
        <v>143</v>
      </c>
      <c r="Q237" t="s">
        <v>426</v>
      </c>
      <c r="R237">
        <v>0</v>
      </c>
      <c r="S237">
        <v>0</v>
      </c>
      <c r="T237" t="s">
        <v>31</v>
      </c>
    </row>
    <row r="238" spans="1:20" x14ac:dyDescent="0.3">
      <c r="A238">
        <v>207</v>
      </c>
      <c r="B238" t="s">
        <v>170</v>
      </c>
      <c r="C238" t="s">
        <v>142</v>
      </c>
      <c r="D238" t="s">
        <v>31</v>
      </c>
      <c r="E238" t="s">
        <v>171</v>
      </c>
      <c r="F238" s="2">
        <v>45838</v>
      </c>
      <c r="G238">
        <v>2025</v>
      </c>
      <c r="H238" t="s">
        <v>33</v>
      </c>
      <c r="I238" t="s">
        <v>404</v>
      </c>
      <c r="J238">
        <v>1</v>
      </c>
      <c r="K238">
        <v>131244.07283600001</v>
      </c>
      <c r="L238">
        <v>145546.91852800001</v>
      </c>
      <c r="M238">
        <v>1.108978983834741</v>
      </c>
      <c r="N238">
        <v>1.108978983834741</v>
      </c>
      <c r="O238" t="s">
        <v>143</v>
      </c>
      <c r="P238" t="s">
        <v>143</v>
      </c>
      <c r="Q238" t="s">
        <v>427</v>
      </c>
      <c r="R238">
        <v>0</v>
      </c>
      <c r="S238">
        <v>0</v>
      </c>
      <c r="T238" t="s">
        <v>31</v>
      </c>
    </row>
    <row r="239" spans="1:20" x14ac:dyDescent="0.3">
      <c r="A239">
        <v>369</v>
      </c>
      <c r="B239" t="s">
        <v>283</v>
      </c>
      <c r="C239" t="s">
        <v>267</v>
      </c>
      <c r="D239" t="s">
        <v>31</v>
      </c>
      <c r="E239" t="s">
        <v>32</v>
      </c>
      <c r="F239" s="2">
        <v>45838</v>
      </c>
      <c r="G239">
        <v>2025</v>
      </c>
      <c r="H239" t="s">
        <v>33</v>
      </c>
      <c r="I239" t="s">
        <v>404</v>
      </c>
      <c r="J239">
        <v>1</v>
      </c>
      <c r="K239">
        <v>81</v>
      </c>
      <c r="L239">
        <v>72</v>
      </c>
      <c r="M239">
        <v>0.88888888888888884</v>
      </c>
      <c r="N239">
        <v>0.88888888888888884</v>
      </c>
      <c r="O239" t="s">
        <v>35</v>
      </c>
      <c r="P239" t="s">
        <v>35</v>
      </c>
      <c r="Q239" t="s">
        <v>428</v>
      </c>
      <c r="R239">
        <v>0</v>
      </c>
      <c r="S239">
        <v>0</v>
      </c>
      <c r="T239" t="s">
        <v>31</v>
      </c>
    </row>
    <row r="240" spans="1:20" x14ac:dyDescent="0.3">
      <c r="A240">
        <v>331</v>
      </c>
      <c r="B240" t="s">
        <v>231</v>
      </c>
      <c r="C240" t="s">
        <v>232</v>
      </c>
      <c r="D240" t="s">
        <v>66</v>
      </c>
      <c r="E240" t="s">
        <v>32</v>
      </c>
      <c r="F240" s="2">
        <v>45838</v>
      </c>
      <c r="G240">
        <v>2025</v>
      </c>
      <c r="H240" t="s">
        <v>33</v>
      </c>
      <c r="I240" t="s">
        <v>404</v>
      </c>
      <c r="J240">
        <v>1</v>
      </c>
      <c r="L240">
        <v>82</v>
      </c>
      <c r="O240" t="s">
        <v>429</v>
      </c>
      <c r="P240" t="s">
        <v>58</v>
      </c>
      <c r="Q240" t="s">
        <v>430</v>
      </c>
      <c r="R240">
        <v>0</v>
      </c>
      <c r="S240">
        <v>0</v>
      </c>
      <c r="T240" t="s">
        <v>31</v>
      </c>
    </row>
    <row r="241" spans="1:20" x14ac:dyDescent="0.3">
      <c r="A241">
        <v>332</v>
      </c>
      <c r="B241" t="s">
        <v>239</v>
      </c>
      <c r="C241" t="s">
        <v>130</v>
      </c>
      <c r="D241" t="s">
        <v>31</v>
      </c>
      <c r="E241" t="s">
        <v>171</v>
      </c>
      <c r="F241" s="2">
        <v>45838</v>
      </c>
      <c r="G241">
        <v>2025</v>
      </c>
      <c r="H241" t="s">
        <v>33</v>
      </c>
      <c r="I241" t="s">
        <v>404</v>
      </c>
      <c r="J241">
        <v>1</v>
      </c>
      <c r="K241">
        <v>1.4</v>
      </c>
      <c r="L241">
        <v>0.85</v>
      </c>
      <c r="M241">
        <v>1.3</v>
      </c>
      <c r="N241">
        <v>1.6470588235294119</v>
      </c>
      <c r="O241" t="s">
        <v>245</v>
      </c>
      <c r="P241" t="s">
        <v>245</v>
      </c>
      <c r="Q241" t="s">
        <v>431</v>
      </c>
      <c r="R241">
        <v>2</v>
      </c>
      <c r="S241">
        <v>2</v>
      </c>
      <c r="T241" t="s">
        <v>31</v>
      </c>
    </row>
    <row r="242" spans="1:20" x14ac:dyDescent="0.3">
      <c r="A242">
        <v>202</v>
      </c>
      <c r="B242" t="s">
        <v>137</v>
      </c>
      <c r="C242" t="s">
        <v>130</v>
      </c>
      <c r="D242" t="s">
        <v>66</v>
      </c>
      <c r="E242" t="s">
        <v>32</v>
      </c>
      <c r="F242" s="2">
        <v>45838</v>
      </c>
      <c r="G242">
        <v>2025</v>
      </c>
      <c r="H242" t="s">
        <v>33</v>
      </c>
      <c r="I242" t="s">
        <v>404</v>
      </c>
      <c r="J242">
        <v>1</v>
      </c>
      <c r="K242">
        <v>68.7</v>
      </c>
      <c r="L242">
        <v>81</v>
      </c>
      <c r="M242">
        <v>1.179039301310044</v>
      </c>
      <c r="N242">
        <v>1.179039301310044</v>
      </c>
      <c r="O242" t="s">
        <v>245</v>
      </c>
      <c r="P242" t="s">
        <v>245</v>
      </c>
      <c r="Q242" t="s">
        <v>432</v>
      </c>
      <c r="R242">
        <v>1</v>
      </c>
      <c r="S242">
        <v>1</v>
      </c>
      <c r="T242" t="s">
        <v>31</v>
      </c>
    </row>
    <row r="243" spans="1:20" x14ac:dyDescent="0.3">
      <c r="A243">
        <v>77</v>
      </c>
      <c r="B243" t="s">
        <v>55</v>
      </c>
      <c r="C243" t="s">
        <v>56</v>
      </c>
      <c r="D243" t="s">
        <v>57</v>
      </c>
      <c r="E243" t="s">
        <v>32</v>
      </c>
      <c r="F243" s="2">
        <v>45838</v>
      </c>
      <c r="G243">
        <v>2025</v>
      </c>
      <c r="H243" t="s">
        <v>33</v>
      </c>
      <c r="I243" t="s">
        <v>404</v>
      </c>
      <c r="J243">
        <v>1</v>
      </c>
      <c r="K243">
        <v>97</v>
      </c>
      <c r="L243">
        <v>94.65</v>
      </c>
      <c r="M243">
        <v>0.97577319587628875</v>
      </c>
      <c r="N243">
        <v>0.97577319587628875</v>
      </c>
      <c r="O243" t="s">
        <v>58</v>
      </c>
      <c r="P243" t="s">
        <v>58</v>
      </c>
      <c r="Q243" t="s">
        <v>433</v>
      </c>
      <c r="R243">
        <v>0</v>
      </c>
      <c r="S243">
        <v>1</v>
      </c>
      <c r="T243" t="s">
        <v>31</v>
      </c>
    </row>
    <row r="244" spans="1:20" x14ac:dyDescent="0.3">
      <c r="A244">
        <v>277</v>
      </c>
      <c r="B244" t="s">
        <v>210</v>
      </c>
      <c r="C244" t="s">
        <v>202</v>
      </c>
      <c r="D244" t="s">
        <v>31</v>
      </c>
      <c r="E244" t="s">
        <v>171</v>
      </c>
      <c r="F244" s="2">
        <v>45838</v>
      </c>
      <c r="G244">
        <v>2025</v>
      </c>
      <c r="H244" t="s">
        <v>33</v>
      </c>
      <c r="I244" t="s">
        <v>404</v>
      </c>
      <c r="J244">
        <v>1</v>
      </c>
      <c r="K244">
        <v>71</v>
      </c>
      <c r="L244">
        <v>69.39</v>
      </c>
      <c r="M244">
        <v>0.97732394366197184</v>
      </c>
      <c r="N244">
        <v>0.97732394366197184</v>
      </c>
      <c r="O244" t="s">
        <v>35</v>
      </c>
      <c r="P244" t="s">
        <v>245</v>
      </c>
      <c r="Q244" t="s">
        <v>434</v>
      </c>
      <c r="R244">
        <v>1</v>
      </c>
      <c r="S244">
        <v>1</v>
      </c>
      <c r="T244" t="s">
        <v>31</v>
      </c>
    </row>
    <row r="245" spans="1:20" x14ac:dyDescent="0.3">
      <c r="A245">
        <v>525</v>
      </c>
      <c r="B245" t="s">
        <v>435</v>
      </c>
      <c r="C245" t="s">
        <v>310</v>
      </c>
      <c r="D245" t="s">
        <v>31</v>
      </c>
      <c r="E245" t="s">
        <v>32</v>
      </c>
      <c r="F245" s="2">
        <v>45838</v>
      </c>
      <c r="G245">
        <v>2025</v>
      </c>
      <c r="H245" t="s">
        <v>33</v>
      </c>
      <c r="I245" t="s">
        <v>404</v>
      </c>
      <c r="J245">
        <v>1</v>
      </c>
      <c r="K245">
        <v>6845.8773119999996</v>
      </c>
      <c r="L245">
        <v>8790.9481190000006</v>
      </c>
      <c r="M245">
        <v>1.284122942663686</v>
      </c>
      <c r="N245">
        <v>1.284122942663686</v>
      </c>
      <c r="O245" t="s">
        <v>143</v>
      </c>
      <c r="P245" t="s">
        <v>143</v>
      </c>
      <c r="Q245" t="s">
        <v>436</v>
      </c>
      <c r="R245">
        <v>0</v>
      </c>
      <c r="S245">
        <v>0</v>
      </c>
      <c r="T245" t="s">
        <v>31</v>
      </c>
    </row>
    <row r="246" spans="1:20" x14ac:dyDescent="0.3">
      <c r="A246">
        <v>525.1</v>
      </c>
      <c r="B246" t="s">
        <v>437</v>
      </c>
      <c r="C246" t="s">
        <v>310</v>
      </c>
      <c r="D246" t="s">
        <v>31</v>
      </c>
      <c r="E246" t="s">
        <v>32</v>
      </c>
      <c r="F246" s="2">
        <v>45838</v>
      </c>
      <c r="G246">
        <v>2025</v>
      </c>
      <c r="H246" t="s">
        <v>33</v>
      </c>
      <c r="I246" t="s">
        <v>404</v>
      </c>
      <c r="J246">
        <v>1</v>
      </c>
      <c r="K246">
        <v>1392.56187</v>
      </c>
      <c r="L246">
        <v>1610.582185</v>
      </c>
      <c r="M246">
        <v>1.1565605950419999</v>
      </c>
      <c r="N246">
        <v>1.1565605950419999</v>
      </c>
      <c r="O246" t="s">
        <v>143</v>
      </c>
      <c r="P246" t="s">
        <v>143</v>
      </c>
      <c r="Q246" t="s">
        <v>438</v>
      </c>
      <c r="R246">
        <v>0</v>
      </c>
      <c r="S246">
        <v>0</v>
      </c>
      <c r="T246" t="s">
        <v>31</v>
      </c>
    </row>
    <row r="247" spans="1:20" x14ac:dyDescent="0.3">
      <c r="A247">
        <v>525.20000000000005</v>
      </c>
      <c r="B247" t="s">
        <v>439</v>
      </c>
      <c r="C247" t="s">
        <v>310</v>
      </c>
      <c r="D247" t="s">
        <v>31</v>
      </c>
      <c r="E247" t="s">
        <v>32</v>
      </c>
      <c r="F247" s="2">
        <v>45838</v>
      </c>
      <c r="G247">
        <v>2025</v>
      </c>
      <c r="H247" t="s">
        <v>33</v>
      </c>
      <c r="I247" t="s">
        <v>404</v>
      </c>
      <c r="J247">
        <v>1</v>
      </c>
      <c r="K247">
        <v>2655.6515559999998</v>
      </c>
      <c r="L247">
        <v>3358.9061839999999</v>
      </c>
      <c r="M247">
        <v>1.264814345244621</v>
      </c>
      <c r="N247">
        <v>1.264814345244621</v>
      </c>
      <c r="O247" t="s">
        <v>143</v>
      </c>
      <c r="P247" t="s">
        <v>143</v>
      </c>
      <c r="Q247" t="s">
        <v>440</v>
      </c>
      <c r="R247">
        <v>0</v>
      </c>
      <c r="S247">
        <v>0</v>
      </c>
      <c r="T247" t="s">
        <v>31</v>
      </c>
    </row>
    <row r="248" spans="1:20" x14ac:dyDescent="0.3">
      <c r="A248">
        <v>525.29999999999995</v>
      </c>
      <c r="B248" t="s">
        <v>441</v>
      </c>
      <c r="C248" t="s">
        <v>310</v>
      </c>
      <c r="D248" t="s">
        <v>31</v>
      </c>
      <c r="E248" t="s">
        <v>32</v>
      </c>
      <c r="F248" s="2">
        <v>45838</v>
      </c>
      <c r="G248">
        <v>2025</v>
      </c>
      <c r="H248" t="s">
        <v>33</v>
      </c>
      <c r="I248" t="s">
        <v>404</v>
      </c>
      <c r="J248">
        <v>1</v>
      </c>
      <c r="K248">
        <v>2797.6638859999998</v>
      </c>
      <c r="L248">
        <v>3821.45975</v>
      </c>
      <c r="M248">
        <v>1.3</v>
      </c>
      <c r="N248">
        <v>1.365946699002426</v>
      </c>
      <c r="O248" t="s">
        <v>143</v>
      </c>
      <c r="P248" t="s">
        <v>143</v>
      </c>
      <c r="Q248" t="s">
        <v>442</v>
      </c>
      <c r="R248">
        <v>0</v>
      </c>
      <c r="S248">
        <v>0</v>
      </c>
      <c r="T248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80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</v>
      </c>
      <c r="B2" t="s">
        <v>29</v>
      </c>
      <c r="C2" t="s">
        <v>37</v>
      </c>
      <c r="D2" t="s">
        <v>186</v>
      </c>
      <c r="E2" t="s">
        <v>31</v>
      </c>
      <c r="F2" t="s">
        <v>32</v>
      </c>
      <c r="G2" s="2">
        <v>44926</v>
      </c>
      <c r="H2">
        <v>2022</v>
      </c>
      <c r="I2" t="s">
        <v>44</v>
      </c>
      <c r="J2" t="s">
        <v>45</v>
      </c>
      <c r="K2">
        <v>50430</v>
      </c>
      <c r="L2">
        <v>50241</v>
      </c>
      <c r="M2">
        <v>0.99625223081499104</v>
      </c>
      <c r="N2">
        <v>0.99625223081499104</v>
      </c>
      <c r="O2" t="s">
        <v>35</v>
      </c>
      <c r="P2" t="s">
        <v>35</v>
      </c>
      <c r="Q2" t="s">
        <v>46</v>
      </c>
      <c r="R2">
        <v>0</v>
      </c>
      <c r="S2">
        <v>0</v>
      </c>
      <c r="T2" t="s">
        <v>443</v>
      </c>
    </row>
    <row r="3" spans="1:20" x14ac:dyDescent="0.3">
      <c r="A3">
        <v>14</v>
      </c>
      <c r="B3" t="s">
        <v>29</v>
      </c>
      <c r="C3" t="s">
        <v>37</v>
      </c>
      <c r="D3" t="s">
        <v>186</v>
      </c>
      <c r="E3" t="s">
        <v>31</v>
      </c>
      <c r="F3" t="s">
        <v>32</v>
      </c>
      <c r="G3" s="2">
        <v>45291</v>
      </c>
      <c r="H3">
        <v>2023</v>
      </c>
      <c r="I3" t="s">
        <v>44</v>
      </c>
      <c r="J3" t="s">
        <v>49</v>
      </c>
      <c r="K3">
        <v>51687</v>
      </c>
      <c r="L3">
        <v>51375</v>
      </c>
      <c r="M3">
        <v>0.99396366591212493</v>
      </c>
      <c r="N3">
        <v>0.99396366591212493</v>
      </c>
      <c r="O3" t="s">
        <v>35</v>
      </c>
      <c r="P3" t="s">
        <v>35</v>
      </c>
      <c r="Q3" t="s">
        <v>50</v>
      </c>
      <c r="R3">
        <v>0</v>
      </c>
      <c r="S3">
        <v>0</v>
      </c>
      <c r="T3" t="s">
        <v>443</v>
      </c>
    </row>
    <row r="4" spans="1:20" x14ac:dyDescent="0.3">
      <c r="A4">
        <v>14</v>
      </c>
      <c r="B4" t="s">
        <v>29</v>
      </c>
      <c r="C4" t="s">
        <v>37</v>
      </c>
      <c r="D4" t="s">
        <v>186</v>
      </c>
      <c r="E4" t="s">
        <v>31</v>
      </c>
      <c r="F4" t="s">
        <v>32</v>
      </c>
      <c r="G4" s="2">
        <v>45657</v>
      </c>
      <c r="H4">
        <v>2024</v>
      </c>
      <c r="I4" t="s">
        <v>44</v>
      </c>
      <c r="J4" t="s">
        <v>53</v>
      </c>
      <c r="K4">
        <v>51116.334115206948</v>
      </c>
      <c r="L4">
        <v>52005</v>
      </c>
      <c r="M4">
        <v>1.017385164647961</v>
      </c>
      <c r="N4">
        <v>1.017385164647961</v>
      </c>
      <c r="O4" t="s">
        <v>35</v>
      </c>
      <c r="P4" t="s">
        <v>35</v>
      </c>
      <c r="Q4" t="s">
        <v>54</v>
      </c>
      <c r="R4">
        <v>0</v>
      </c>
      <c r="S4">
        <v>0</v>
      </c>
      <c r="T4" t="s">
        <v>443</v>
      </c>
    </row>
    <row r="5" spans="1:20" x14ac:dyDescent="0.3">
      <c r="A5">
        <v>77</v>
      </c>
      <c r="B5" t="s">
        <v>55</v>
      </c>
      <c r="C5" t="s">
        <v>37</v>
      </c>
      <c r="D5" t="s">
        <v>56</v>
      </c>
      <c r="E5" t="s">
        <v>57</v>
      </c>
      <c r="F5" t="s">
        <v>32</v>
      </c>
      <c r="G5" s="2">
        <v>44926</v>
      </c>
      <c r="H5">
        <v>2022</v>
      </c>
      <c r="I5" t="s">
        <v>44</v>
      </c>
      <c r="J5" t="s">
        <v>45</v>
      </c>
      <c r="K5">
        <v>97</v>
      </c>
      <c r="L5">
        <v>97.899999999999991</v>
      </c>
      <c r="M5">
        <v>1.0092783505154641</v>
      </c>
      <c r="N5">
        <v>1.0092783505154641</v>
      </c>
      <c r="O5" t="s">
        <v>58</v>
      </c>
      <c r="P5" t="s">
        <v>58</v>
      </c>
      <c r="Q5" t="s">
        <v>67</v>
      </c>
      <c r="R5">
        <v>0</v>
      </c>
      <c r="S5">
        <v>1</v>
      </c>
      <c r="T5" t="s">
        <v>443</v>
      </c>
    </row>
    <row r="6" spans="1:20" x14ac:dyDescent="0.3">
      <c r="A6">
        <v>77</v>
      </c>
      <c r="B6" t="s">
        <v>55</v>
      </c>
      <c r="C6" t="s">
        <v>37</v>
      </c>
      <c r="D6" t="s">
        <v>56</v>
      </c>
      <c r="E6" t="s">
        <v>57</v>
      </c>
      <c r="F6" t="s">
        <v>32</v>
      </c>
      <c r="G6" s="2">
        <v>45291</v>
      </c>
      <c r="H6">
        <v>2023</v>
      </c>
      <c r="I6" t="s">
        <v>44</v>
      </c>
      <c r="J6" t="s">
        <v>49</v>
      </c>
      <c r="K6">
        <v>97</v>
      </c>
      <c r="L6">
        <v>97.633333333333326</v>
      </c>
      <c r="M6">
        <v>1.0065292096219931</v>
      </c>
      <c r="N6">
        <v>1.0065292096219931</v>
      </c>
      <c r="O6" t="s">
        <v>58</v>
      </c>
      <c r="P6" t="s">
        <v>58</v>
      </c>
      <c r="Q6" t="s">
        <v>69</v>
      </c>
      <c r="R6">
        <v>0</v>
      </c>
      <c r="S6">
        <v>1</v>
      </c>
      <c r="T6" t="s">
        <v>443</v>
      </c>
    </row>
    <row r="7" spans="1:20" x14ac:dyDescent="0.3">
      <c r="A7">
        <v>77</v>
      </c>
      <c r="B7" t="s">
        <v>55</v>
      </c>
      <c r="C7" t="s">
        <v>37</v>
      </c>
      <c r="D7" t="s">
        <v>56</v>
      </c>
      <c r="E7" t="s">
        <v>57</v>
      </c>
      <c r="F7" t="s">
        <v>32</v>
      </c>
      <c r="G7" s="2">
        <v>45657</v>
      </c>
      <c r="H7">
        <v>2024</v>
      </c>
      <c r="I7" t="s">
        <v>44</v>
      </c>
      <c r="J7" t="s">
        <v>53</v>
      </c>
      <c r="K7">
        <v>97</v>
      </c>
      <c r="L7">
        <v>97.432500000000005</v>
      </c>
      <c r="M7">
        <v>1.004458762886598</v>
      </c>
      <c r="N7">
        <v>1.004458762886598</v>
      </c>
      <c r="O7" t="s">
        <v>58</v>
      </c>
      <c r="P7" t="s">
        <v>58</v>
      </c>
      <c r="Q7" t="s">
        <v>393</v>
      </c>
      <c r="R7">
        <v>0</v>
      </c>
      <c r="S7">
        <v>1</v>
      </c>
      <c r="T7" t="s">
        <v>443</v>
      </c>
    </row>
    <row r="8" spans="1:20" x14ac:dyDescent="0.3">
      <c r="A8">
        <v>96</v>
      </c>
      <c r="B8" t="s">
        <v>70</v>
      </c>
      <c r="C8" t="s">
        <v>37</v>
      </c>
      <c r="D8" t="s">
        <v>71</v>
      </c>
      <c r="E8" t="s">
        <v>31</v>
      </c>
      <c r="F8" t="s">
        <v>32</v>
      </c>
      <c r="G8" s="2">
        <v>44926</v>
      </c>
      <c r="H8">
        <v>2022</v>
      </c>
      <c r="I8" t="s">
        <v>44</v>
      </c>
      <c r="J8" t="s">
        <v>45</v>
      </c>
      <c r="K8">
        <v>509</v>
      </c>
      <c r="L8">
        <v>565</v>
      </c>
      <c r="M8">
        <v>1.1100196463654219</v>
      </c>
      <c r="N8">
        <v>1.1100196463654219</v>
      </c>
      <c r="O8" t="s">
        <v>35</v>
      </c>
      <c r="P8" t="s">
        <v>35</v>
      </c>
      <c r="Q8" t="s">
        <v>72</v>
      </c>
      <c r="R8">
        <v>0</v>
      </c>
      <c r="S8">
        <v>0</v>
      </c>
      <c r="T8" t="s">
        <v>443</v>
      </c>
    </row>
    <row r="9" spans="1:20" x14ac:dyDescent="0.3">
      <c r="A9">
        <v>96</v>
      </c>
      <c r="B9" t="s">
        <v>70</v>
      </c>
      <c r="C9" t="s">
        <v>37</v>
      </c>
      <c r="D9" t="s">
        <v>71</v>
      </c>
      <c r="E9" t="s">
        <v>31</v>
      </c>
      <c r="F9" t="s">
        <v>32</v>
      </c>
      <c r="G9" s="2">
        <v>45291</v>
      </c>
      <c r="H9">
        <v>2023</v>
      </c>
      <c r="I9" t="s">
        <v>44</v>
      </c>
      <c r="J9" t="s">
        <v>49</v>
      </c>
      <c r="K9">
        <v>611</v>
      </c>
      <c r="L9">
        <v>705</v>
      </c>
      <c r="M9">
        <v>1.153846153846154</v>
      </c>
      <c r="N9">
        <v>1.153846153846154</v>
      </c>
      <c r="O9" t="s">
        <v>35</v>
      </c>
      <c r="P9" t="s">
        <v>35</v>
      </c>
      <c r="Q9" t="s">
        <v>80</v>
      </c>
      <c r="R9">
        <v>0</v>
      </c>
      <c r="S9">
        <v>0</v>
      </c>
      <c r="T9" t="s">
        <v>443</v>
      </c>
    </row>
    <row r="10" spans="1:20" x14ac:dyDescent="0.3">
      <c r="A10">
        <v>96</v>
      </c>
      <c r="B10" t="s">
        <v>70</v>
      </c>
      <c r="C10" t="s">
        <v>37</v>
      </c>
      <c r="D10" t="s">
        <v>71</v>
      </c>
      <c r="E10" t="s">
        <v>31</v>
      </c>
      <c r="F10" t="s">
        <v>32</v>
      </c>
      <c r="G10" s="2">
        <v>45657</v>
      </c>
      <c r="H10">
        <v>2024</v>
      </c>
      <c r="I10" t="s">
        <v>44</v>
      </c>
      <c r="J10" t="s">
        <v>53</v>
      </c>
      <c r="K10">
        <v>672</v>
      </c>
      <c r="L10">
        <v>740</v>
      </c>
      <c r="M10">
        <v>1.1011904761904761</v>
      </c>
      <c r="N10">
        <v>1.1011904761904761</v>
      </c>
      <c r="O10" t="s">
        <v>35</v>
      </c>
      <c r="P10" t="s">
        <v>35</v>
      </c>
      <c r="Q10" t="s">
        <v>394</v>
      </c>
      <c r="R10">
        <v>0</v>
      </c>
      <c r="S10">
        <v>0</v>
      </c>
      <c r="T10" t="s">
        <v>443</v>
      </c>
    </row>
    <row r="11" spans="1:20" x14ac:dyDescent="0.3">
      <c r="A11">
        <v>97</v>
      </c>
      <c r="B11" t="s">
        <v>82</v>
      </c>
      <c r="C11" t="s">
        <v>37</v>
      </c>
      <c r="D11" t="s">
        <v>83</v>
      </c>
      <c r="E11" t="s">
        <v>31</v>
      </c>
      <c r="F11" t="s">
        <v>32</v>
      </c>
      <c r="G11" s="2">
        <v>44926</v>
      </c>
      <c r="H11">
        <v>2022</v>
      </c>
      <c r="I11" t="s">
        <v>44</v>
      </c>
      <c r="J11" t="s">
        <v>45</v>
      </c>
      <c r="K11">
        <v>2</v>
      </c>
      <c r="L11">
        <v>2</v>
      </c>
      <c r="M11">
        <v>1</v>
      </c>
      <c r="N11">
        <v>1</v>
      </c>
      <c r="O11" t="s">
        <v>35</v>
      </c>
      <c r="P11" t="s">
        <v>35</v>
      </c>
      <c r="Q11" t="s">
        <v>88</v>
      </c>
      <c r="R11">
        <v>0</v>
      </c>
      <c r="S11">
        <v>0</v>
      </c>
      <c r="T11" t="s">
        <v>443</v>
      </c>
    </row>
    <row r="12" spans="1:20" x14ac:dyDescent="0.3">
      <c r="A12">
        <v>97</v>
      </c>
      <c r="B12" t="s">
        <v>82</v>
      </c>
      <c r="C12" t="s">
        <v>37</v>
      </c>
      <c r="D12" t="s">
        <v>83</v>
      </c>
      <c r="E12" t="s">
        <v>31</v>
      </c>
      <c r="F12" t="s">
        <v>32</v>
      </c>
      <c r="G12" s="2">
        <v>45291</v>
      </c>
      <c r="H12">
        <v>2023</v>
      </c>
      <c r="I12" t="s">
        <v>44</v>
      </c>
      <c r="J12" t="s">
        <v>49</v>
      </c>
      <c r="K12">
        <v>0</v>
      </c>
      <c r="L12">
        <v>0</v>
      </c>
      <c r="O12" t="s">
        <v>35</v>
      </c>
      <c r="P12" t="s">
        <v>35</v>
      </c>
      <c r="Q12" t="s">
        <v>90</v>
      </c>
      <c r="R12">
        <v>0</v>
      </c>
      <c r="S12">
        <v>0</v>
      </c>
      <c r="T12" t="s">
        <v>443</v>
      </c>
    </row>
    <row r="13" spans="1:20" x14ac:dyDescent="0.3">
      <c r="A13">
        <v>97</v>
      </c>
      <c r="B13" t="s">
        <v>82</v>
      </c>
      <c r="C13" t="s">
        <v>37</v>
      </c>
      <c r="D13" t="s">
        <v>83</v>
      </c>
      <c r="E13" t="s">
        <v>31</v>
      </c>
      <c r="F13" t="s">
        <v>32</v>
      </c>
      <c r="G13" s="2">
        <v>45657</v>
      </c>
      <c r="H13">
        <v>2024</v>
      </c>
      <c r="I13" t="s">
        <v>44</v>
      </c>
      <c r="J13" t="s">
        <v>53</v>
      </c>
      <c r="K13">
        <v>0</v>
      </c>
      <c r="L13">
        <v>0</v>
      </c>
      <c r="O13" t="s">
        <v>35</v>
      </c>
      <c r="P13" t="s">
        <v>35</v>
      </c>
      <c r="Q13" t="s">
        <v>396</v>
      </c>
      <c r="R13">
        <v>0</v>
      </c>
      <c r="S13">
        <v>0</v>
      </c>
      <c r="T13" t="s">
        <v>443</v>
      </c>
    </row>
    <row r="14" spans="1:20" x14ac:dyDescent="0.3">
      <c r="A14">
        <v>98</v>
      </c>
      <c r="B14" t="s">
        <v>91</v>
      </c>
      <c r="C14" t="s">
        <v>37</v>
      </c>
      <c r="D14" t="s">
        <v>83</v>
      </c>
      <c r="E14" t="s">
        <v>31</v>
      </c>
      <c r="F14" t="s">
        <v>32</v>
      </c>
      <c r="G14" s="2">
        <v>44926</v>
      </c>
      <c r="H14">
        <v>2022</v>
      </c>
      <c r="I14" t="s">
        <v>44</v>
      </c>
      <c r="J14" t="s">
        <v>45</v>
      </c>
      <c r="K14">
        <v>2</v>
      </c>
      <c r="L14">
        <v>2</v>
      </c>
      <c r="M14">
        <v>1</v>
      </c>
      <c r="N14">
        <v>1</v>
      </c>
      <c r="O14" t="s">
        <v>35</v>
      </c>
      <c r="P14" t="s">
        <v>35</v>
      </c>
      <c r="Q14" t="s">
        <v>93</v>
      </c>
      <c r="R14">
        <v>0</v>
      </c>
      <c r="S14">
        <v>0</v>
      </c>
      <c r="T14" t="s">
        <v>443</v>
      </c>
    </row>
    <row r="15" spans="1:20" x14ac:dyDescent="0.3">
      <c r="A15">
        <v>98</v>
      </c>
      <c r="B15" t="s">
        <v>91</v>
      </c>
      <c r="C15" t="s">
        <v>37</v>
      </c>
      <c r="D15" t="s">
        <v>83</v>
      </c>
      <c r="E15" t="s">
        <v>31</v>
      </c>
      <c r="F15" t="s">
        <v>32</v>
      </c>
      <c r="G15" s="2">
        <v>45291</v>
      </c>
      <c r="H15">
        <v>2023</v>
      </c>
      <c r="I15" t="s">
        <v>44</v>
      </c>
      <c r="J15" t="s">
        <v>49</v>
      </c>
      <c r="K15">
        <v>1</v>
      </c>
      <c r="L15">
        <v>1</v>
      </c>
      <c r="M15">
        <v>1</v>
      </c>
      <c r="N15">
        <v>1</v>
      </c>
      <c r="O15" t="s">
        <v>35</v>
      </c>
      <c r="P15" t="s">
        <v>35</v>
      </c>
      <c r="Q15" t="s">
        <v>95</v>
      </c>
      <c r="R15">
        <v>0</v>
      </c>
      <c r="S15">
        <v>0</v>
      </c>
      <c r="T15" t="s">
        <v>443</v>
      </c>
    </row>
    <row r="16" spans="1:20" x14ac:dyDescent="0.3">
      <c r="A16">
        <v>98</v>
      </c>
      <c r="B16" t="s">
        <v>91</v>
      </c>
      <c r="C16" t="s">
        <v>37</v>
      </c>
      <c r="D16" t="s">
        <v>83</v>
      </c>
      <c r="E16" t="s">
        <v>31</v>
      </c>
      <c r="F16" t="s">
        <v>32</v>
      </c>
      <c r="G16" s="2">
        <v>45657</v>
      </c>
      <c r="H16">
        <v>2024</v>
      </c>
      <c r="I16" t="s">
        <v>44</v>
      </c>
      <c r="J16" t="s">
        <v>53</v>
      </c>
      <c r="K16">
        <v>5</v>
      </c>
      <c r="L16">
        <v>5</v>
      </c>
      <c r="M16">
        <v>1</v>
      </c>
      <c r="N16">
        <v>1</v>
      </c>
      <c r="O16" t="s">
        <v>35</v>
      </c>
      <c r="P16" t="s">
        <v>35</v>
      </c>
      <c r="Q16" t="s">
        <v>398</v>
      </c>
      <c r="R16">
        <v>0</v>
      </c>
      <c r="S16">
        <v>0</v>
      </c>
      <c r="T16" t="s">
        <v>443</v>
      </c>
    </row>
    <row r="17" spans="1:20" x14ac:dyDescent="0.3">
      <c r="A17">
        <v>109</v>
      </c>
      <c r="B17" t="s">
        <v>469</v>
      </c>
      <c r="C17" t="s">
        <v>37</v>
      </c>
      <c r="D17" t="s">
        <v>99</v>
      </c>
      <c r="E17" t="s">
        <v>66</v>
      </c>
      <c r="F17" t="s">
        <v>32</v>
      </c>
      <c r="G17" s="2">
        <v>45657</v>
      </c>
      <c r="H17">
        <v>2024</v>
      </c>
      <c r="I17" t="s">
        <v>44</v>
      </c>
      <c r="J17" t="s">
        <v>53</v>
      </c>
      <c r="K17">
        <v>80</v>
      </c>
      <c r="L17">
        <v>85</v>
      </c>
      <c r="M17">
        <v>1.0625</v>
      </c>
      <c r="N17">
        <v>1.0625</v>
      </c>
      <c r="O17" t="s">
        <v>58</v>
      </c>
      <c r="P17" t="s">
        <v>58</v>
      </c>
      <c r="Q17" t="s">
        <v>103</v>
      </c>
      <c r="R17">
        <v>0</v>
      </c>
      <c r="S17">
        <v>0</v>
      </c>
      <c r="T17" t="s">
        <v>443</v>
      </c>
    </row>
    <row r="18" spans="1:20" x14ac:dyDescent="0.3">
      <c r="A18">
        <v>148</v>
      </c>
      <c r="B18" t="s">
        <v>104</v>
      </c>
      <c r="C18" t="s">
        <v>474</v>
      </c>
      <c r="D18" t="s">
        <v>105</v>
      </c>
      <c r="E18" t="s">
        <v>31</v>
      </c>
      <c r="F18" t="s">
        <v>32</v>
      </c>
      <c r="G18" s="2">
        <v>44926</v>
      </c>
      <c r="H18">
        <v>2022</v>
      </c>
      <c r="I18" t="s">
        <v>44</v>
      </c>
      <c r="J18" t="s">
        <v>45</v>
      </c>
      <c r="K18">
        <v>5</v>
      </c>
      <c r="L18">
        <v>4.66</v>
      </c>
      <c r="M18">
        <v>0.93200000000000005</v>
      </c>
      <c r="N18">
        <v>0.93200000000000005</v>
      </c>
      <c r="O18" t="s">
        <v>58</v>
      </c>
      <c r="P18" t="s">
        <v>58</v>
      </c>
      <c r="Q18" t="s">
        <v>444</v>
      </c>
      <c r="R18">
        <v>0</v>
      </c>
      <c r="S18">
        <v>1</v>
      </c>
      <c r="T18" t="s">
        <v>443</v>
      </c>
    </row>
    <row r="19" spans="1:20" x14ac:dyDescent="0.3">
      <c r="A19">
        <v>148</v>
      </c>
      <c r="B19" t="s">
        <v>104</v>
      </c>
      <c r="C19" t="s">
        <v>474</v>
      </c>
      <c r="D19" t="s">
        <v>105</v>
      </c>
      <c r="E19" t="s">
        <v>31</v>
      </c>
      <c r="F19" t="s">
        <v>32</v>
      </c>
      <c r="G19" s="2">
        <v>45291</v>
      </c>
      <c r="H19">
        <v>2023</v>
      </c>
      <c r="I19" t="s">
        <v>44</v>
      </c>
      <c r="J19" t="s">
        <v>49</v>
      </c>
      <c r="K19">
        <v>5</v>
      </c>
      <c r="L19">
        <v>5.71</v>
      </c>
      <c r="M19">
        <v>1.1419999999999999</v>
      </c>
      <c r="N19">
        <v>1.1419999999999999</v>
      </c>
      <c r="O19" t="s">
        <v>58</v>
      </c>
      <c r="P19" t="s">
        <v>58</v>
      </c>
      <c r="Q19" t="s">
        <v>107</v>
      </c>
      <c r="R19">
        <v>0</v>
      </c>
      <c r="S19">
        <v>1</v>
      </c>
      <c r="T19" t="s">
        <v>443</v>
      </c>
    </row>
    <row r="20" spans="1:20" x14ac:dyDescent="0.3">
      <c r="A20">
        <v>148</v>
      </c>
      <c r="B20" t="s">
        <v>104</v>
      </c>
      <c r="C20" t="s">
        <v>474</v>
      </c>
      <c r="D20" t="s">
        <v>105</v>
      </c>
      <c r="E20" t="s">
        <v>31</v>
      </c>
      <c r="F20" t="s">
        <v>32</v>
      </c>
      <c r="G20" s="2">
        <v>45657</v>
      </c>
      <c r="H20">
        <v>2024</v>
      </c>
      <c r="I20" t="s">
        <v>44</v>
      </c>
      <c r="J20" t="s">
        <v>53</v>
      </c>
      <c r="K20">
        <v>5</v>
      </c>
      <c r="L20">
        <v>6.3</v>
      </c>
      <c r="M20">
        <v>1.26</v>
      </c>
      <c r="N20">
        <v>1.26</v>
      </c>
      <c r="O20" t="s">
        <v>58</v>
      </c>
      <c r="P20" t="s">
        <v>58</v>
      </c>
      <c r="Q20" t="s">
        <v>109</v>
      </c>
      <c r="R20">
        <v>0</v>
      </c>
      <c r="S20">
        <v>1</v>
      </c>
      <c r="T20" t="s">
        <v>443</v>
      </c>
    </row>
    <row r="21" spans="1:20" x14ac:dyDescent="0.3">
      <c r="A21">
        <v>193</v>
      </c>
      <c r="B21" t="s">
        <v>110</v>
      </c>
      <c r="C21" t="s">
        <v>37</v>
      </c>
      <c r="D21" t="s">
        <v>30</v>
      </c>
      <c r="E21" t="s">
        <v>31</v>
      </c>
      <c r="F21" t="s">
        <v>32</v>
      </c>
      <c r="G21" s="2">
        <v>44926</v>
      </c>
      <c r="H21">
        <v>2022</v>
      </c>
      <c r="I21" t="s">
        <v>44</v>
      </c>
      <c r="J21" t="s">
        <v>45</v>
      </c>
      <c r="K21">
        <v>76</v>
      </c>
      <c r="L21">
        <v>92.4</v>
      </c>
      <c r="M21">
        <v>1.215789473684211</v>
      </c>
      <c r="N21">
        <v>1.215789473684211</v>
      </c>
      <c r="O21" t="s">
        <v>58</v>
      </c>
      <c r="P21" t="s">
        <v>58</v>
      </c>
      <c r="Q21" t="s">
        <v>116</v>
      </c>
      <c r="R21">
        <v>1</v>
      </c>
      <c r="S21">
        <v>1</v>
      </c>
      <c r="T21" t="s">
        <v>443</v>
      </c>
    </row>
    <row r="22" spans="1:20" x14ac:dyDescent="0.3">
      <c r="A22">
        <v>193</v>
      </c>
      <c r="B22" t="s">
        <v>110</v>
      </c>
      <c r="C22" t="s">
        <v>37</v>
      </c>
      <c r="D22" t="s">
        <v>30</v>
      </c>
      <c r="E22" t="s">
        <v>31</v>
      </c>
      <c r="F22" t="s">
        <v>32</v>
      </c>
      <c r="G22" s="2">
        <v>45291</v>
      </c>
      <c r="H22">
        <v>2023</v>
      </c>
      <c r="I22" t="s">
        <v>44</v>
      </c>
      <c r="J22" t="s">
        <v>49</v>
      </c>
      <c r="K22">
        <v>92</v>
      </c>
      <c r="L22">
        <v>91.3</v>
      </c>
      <c r="M22">
        <v>0.99239130434782608</v>
      </c>
      <c r="N22">
        <v>0.99239130434782608</v>
      </c>
      <c r="O22" t="s">
        <v>58</v>
      </c>
      <c r="P22" t="s">
        <v>58</v>
      </c>
      <c r="Q22" t="s">
        <v>118</v>
      </c>
      <c r="R22">
        <v>1</v>
      </c>
      <c r="S22">
        <v>1</v>
      </c>
      <c r="T22" t="s">
        <v>443</v>
      </c>
    </row>
    <row r="23" spans="1:20" x14ac:dyDescent="0.3">
      <c r="A23">
        <v>193</v>
      </c>
      <c r="B23" t="s">
        <v>110</v>
      </c>
      <c r="C23" t="s">
        <v>37</v>
      </c>
      <c r="D23" t="s">
        <v>30</v>
      </c>
      <c r="E23" t="s">
        <v>31</v>
      </c>
      <c r="F23" t="s">
        <v>32</v>
      </c>
      <c r="G23" s="2">
        <v>45657</v>
      </c>
      <c r="H23">
        <v>2024</v>
      </c>
      <c r="I23" t="s">
        <v>44</v>
      </c>
      <c r="J23" t="s">
        <v>53</v>
      </c>
      <c r="K23">
        <v>90</v>
      </c>
      <c r="L23">
        <v>93.5</v>
      </c>
      <c r="M23">
        <v>1.038888888888889</v>
      </c>
      <c r="N23">
        <v>1.038888888888889</v>
      </c>
      <c r="O23" t="s">
        <v>58</v>
      </c>
      <c r="P23" t="s">
        <v>58</v>
      </c>
      <c r="Q23" t="s">
        <v>120</v>
      </c>
      <c r="R23">
        <v>1</v>
      </c>
      <c r="S23">
        <v>1</v>
      </c>
      <c r="T23" t="s">
        <v>443</v>
      </c>
    </row>
    <row r="24" spans="1:20" x14ac:dyDescent="0.3">
      <c r="A24">
        <v>194</v>
      </c>
      <c r="B24" t="s">
        <v>121</v>
      </c>
      <c r="C24" t="s">
        <v>37</v>
      </c>
      <c r="D24" t="s">
        <v>30</v>
      </c>
      <c r="E24" t="s">
        <v>31</v>
      </c>
      <c r="F24" t="s">
        <v>32</v>
      </c>
      <c r="G24" s="2">
        <v>44926</v>
      </c>
      <c r="H24">
        <v>2022</v>
      </c>
      <c r="I24" t="s">
        <v>44</v>
      </c>
      <c r="J24" t="s">
        <v>45</v>
      </c>
      <c r="K24">
        <v>73</v>
      </c>
      <c r="L24">
        <v>83.11</v>
      </c>
      <c r="M24">
        <v>1.138493150684931</v>
      </c>
      <c r="N24">
        <v>1.138493150684931</v>
      </c>
      <c r="O24" t="s">
        <v>58</v>
      </c>
      <c r="P24" t="s">
        <v>58</v>
      </c>
      <c r="Q24" t="s">
        <v>125</v>
      </c>
      <c r="R24">
        <v>0</v>
      </c>
      <c r="S24">
        <v>0</v>
      </c>
      <c r="T24" t="s">
        <v>443</v>
      </c>
    </row>
    <row r="25" spans="1:20" x14ac:dyDescent="0.3">
      <c r="A25">
        <v>194</v>
      </c>
      <c r="B25" t="s">
        <v>121</v>
      </c>
      <c r="C25" t="s">
        <v>37</v>
      </c>
      <c r="D25" t="s">
        <v>30</v>
      </c>
      <c r="E25" t="s">
        <v>31</v>
      </c>
      <c r="F25" t="s">
        <v>32</v>
      </c>
      <c r="G25" s="2">
        <v>45291</v>
      </c>
      <c r="H25">
        <v>2023</v>
      </c>
      <c r="I25" t="s">
        <v>44</v>
      </c>
      <c r="J25" t="s">
        <v>49</v>
      </c>
      <c r="K25">
        <v>80</v>
      </c>
      <c r="L25">
        <v>81.91</v>
      </c>
      <c r="M25">
        <v>1.0238750000000001</v>
      </c>
      <c r="N25">
        <v>1.0238750000000001</v>
      </c>
      <c r="O25" t="s">
        <v>58</v>
      </c>
      <c r="P25" t="s">
        <v>58</v>
      </c>
      <c r="Q25" t="s">
        <v>127</v>
      </c>
      <c r="R25">
        <v>0</v>
      </c>
      <c r="S25">
        <v>0</v>
      </c>
      <c r="T25" t="s">
        <v>443</v>
      </c>
    </row>
    <row r="26" spans="1:20" x14ac:dyDescent="0.3">
      <c r="A26">
        <v>194</v>
      </c>
      <c r="B26" t="s">
        <v>121</v>
      </c>
      <c r="C26" t="s">
        <v>37</v>
      </c>
      <c r="D26" t="s">
        <v>30</v>
      </c>
      <c r="E26" t="s">
        <v>31</v>
      </c>
      <c r="F26" t="s">
        <v>32</v>
      </c>
      <c r="G26" s="2">
        <v>45657</v>
      </c>
      <c r="H26">
        <v>2024</v>
      </c>
      <c r="I26" t="s">
        <v>44</v>
      </c>
      <c r="J26" t="s">
        <v>53</v>
      </c>
      <c r="K26">
        <v>81</v>
      </c>
      <c r="L26">
        <v>89</v>
      </c>
      <c r="M26">
        <v>1.098765432098765</v>
      </c>
      <c r="N26">
        <v>1.098765432098765</v>
      </c>
      <c r="O26" t="s">
        <v>58</v>
      </c>
      <c r="P26" t="s">
        <v>58</v>
      </c>
      <c r="Q26" t="s">
        <v>403</v>
      </c>
      <c r="R26">
        <v>0</v>
      </c>
      <c r="S26">
        <v>0</v>
      </c>
      <c r="T26" t="s">
        <v>443</v>
      </c>
    </row>
    <row r="27" spans="1:20" x14ac:dyDescent="0.3">
      <c r="A27">
        <v>200</v>
      </c>
      <c r="B27" t="s">
        <v>129</v>
      </c>
      <c r="C27" t="s">
        <v>37</v>
      </c>
      <c r="D27" t="s">
        <v>130</v>
      </c>
      <c r="E27" t="s">
        <v>66</v>
      </c>
      <c r="F27" t="s">
        <v>32</v>
      </c>
      <c r="G27" s="2">
        <v>45291</v>
      </c>
      <c r="H27">
        <v>2023</v>
      </c>
      <c r="I27" t="s">
        <v>44</v>
      </c>
      <c r="J27" t="s">
        <v>49</v>
      </c>
      <c r="L27">
        <v>90</v>
      </c>
      <c r="O27" t="s">
        <v>284</v>
      </c>
      <c r="P27" t="s">
        <v>58</v>
      </c>
      <c r="Q27" t="s">
        <v>132</v>
      </c>
      <c r="R27">
        <v>0</v>
      </c>
      <c r="S27">
        <v>0</v>
      </c>
      <c r="T27" t="s">
        <v>443</v>
      </c>
    </row>
    <row r="28" spans="1:20" x14ac:dyDescent="0.3">
      <c r="A28">
        <v>200</v>
      </c>
      <c r="B28" t="s">
        <v>129</v>
      </c>
      <c r="C28" t="s">
        <v>37</v>
      </c>
      <c r="D28" t="s">
        <v>130</v>
      </c>
      <c r="E28" t="s">
        <v>66</v>
      </c>
      <c r="F28" t="s">
        <v>32</v>
      </c>
      <c r="G28" s="2">
        <v>45657</v>
      </c>
      <c r="H28">
        <v>2024</v>
      </c>
      <c r="I28" t="s">
        <v>44</v>
      </c>
      <c r="J28" t="s">
        <v>53</v>
      </c>
      <c r="K28">
        <v>80</v>
      </c>
      <c r="L28">
        <v>87.4</v>
      </c>
      <c r="M28">
        <v>1.0925</v>
      </c>
      <c r="N28">
        <v>1.0925</v>
      </c>
      <c r="O28" t="s">
        <v>58</v>
      </c>
      <c r="P28" t="s">
        <v>58</v>
      </c>
      <c r="Q28" t="s">
        <v>136</v>
      </c>
      <c r="R28">
        <v>0</v>
      </c>
      <c r="S28">
        <v>1</v>
      </c>
      <c r="T28" t="s">
        <v>443</v>
      </c>
    </row>
    <row r="29" spans="1:20" x14ac:dyDescent="0.3">
      <c r="A29">
        <v>202</v>
      </c>
      <c r="B29" t="s">
        <v>137</v>
      </c>
      <c r="C29" t="s">
        <v>37</v>
      </c>
      <c r="D29" t="s">
        <v>130</v>
      </c>
      <c r="E29" t="s">
        <v>66</v>
      </c>
      <c r="F29" t="s">
        <v>32</v>
      </c>
      <c r="G29" s="2">
        <v>45291</v>
      </c>
      <c r="H29">
        <v>2023</v>
      </c>
      <c r="I29" t="s">
        <v>44</v>
      </c>
      <c r="J29" t="s">
        <v>49</v>
      </c>
      <c r="K29">
        <v>66</v>
      </c>
      <c r="L29">
        <v>64.7</v>
      </c>
      <c r="M29">
        <v>0.98030303030303034</v>
      </c>
      <c r="N29">
        <v>0.98030303030303034</v>
      </c>
      <c r="O29" t="s">
        <v>35</v>
      </c>
      <c r="P29" t="s">
        <v>245</v>
      </c>
      <c r="Q29" t="s">
        <v>138</v>
      </c>
      <c r="R29">
        <v>1</v>
      </c>
      <c r="S29">
        <v>1</v>
      </c>
      <c r="T29" t="s">
        <v>443</v>
      </c>
    </row>
    <row r="30" spans="1:20" x14ac:dyDescent="0.3">
      <c r="A30">
        <v>202</v>
      </c>
      <c r="B30" t="s">
        <v>137</v>
      </c>
      <c r="C30" t="s">
        <v>37</v>
      </c>
      <c r="D30" t="s">
        <v>130</v>
      </c>
      <c r="E30" t="s">
        <v>66</v>
      </c>
      <c r="F30" t="s">
        <v>32</v>
      </c>
      <c r="G30" s="2">
        <v>45657</v>
      </c>
      <c r="H30">
        <v>2024</v>
      </c>
      <c r="I30" t="s">
        <v>44</v>
      </c>
      <c r="J30" t="s">
        <v>53</v>
      </c>
      <c r="K30">
        <v>0</v>
      </c>
      <c r="L30">
        <v>0</v>
      </c>
      <c r="O30" t="s">
        <v>429</v>
      </c>
      <c r="P30" t="s">
        <v>429</v>
      </c>
      <c r="Q30" t="s">
        <v>140</v>
      </c>
      <c r="R30">
        <v>1</v>
      </c>
      <c r="S30">
        <v>1</v>
      </c>
      <c r="T30" t="s">
        <v>443</v>
      </c>
    </row>
    <row r="31" spans="1:20" x14ac:dyDescent="0.3">
      <c r="A31">
        <v>203</v>
      </c>
      <c r="B31" t="s">
        <v>141</v>
      </c>
      <c r="C31" t="s">
        <v>37</v>
      </c>
      <c r="D31" t="s">
        <v>142</v>
      </c>
      <c r="E31" t="s">
        <v>31</v>
      </c>
      <c r="F31" t="s">
        <v>32</v>
      </c>
      <c r="G31" s="2">
        <v>44926</v>
      </c>
      <c r="H31">
        <v>2022</v>
      </c>
      <c r="I31" t="s">
        <v>44</v>
      </c>
      <c r="J31" t="s">
        <v>45</v>
      </c>
      <c r="K31">
        <v>224440</v>
      </c>
      <c r="L31">
        <v>241706</v>
      </c>
      <c r="M31">
        <v>1.0769292461236859</v>
      </c>
      <c r="N31">
        <v>1.0769292461236859</v>
      </c>
      <c r="O31" t="s">
        <v>143</v>
      </c>
      <c r="P31" t="s">
        <v>143</v>
      </c>
      <c r="Q31" t="s">
        <v>149</v>
      </c>
      <c r="R31">
        <v>0</v>
      </c>
      <c r="S31">
        <v>0</v>
      </c>
      <c r="T31" t="s">
        <v>443</v>
      </c>
    </row>
    <row r="32" spans="1:20" x14ac:dyDescent="0.3">
      <c r="A32">
        <v>203</v>
      </c>
      <c r="B32" t="s">
        <v>141</v>
      </c>
      <c r="C32" t="s">
        <v>37</v>
      </c>
      <c r="D32" t="s">
        <v>142</v>
      </c>
      <c r="E32" t="s">
        <v>31</v>
      </c>
      <c r="F32" t="s">
        <v>32</v>
      </c>
      <c r="G32" s="2">
        <v>45291</v>
      </c>
      <c r="H32">
        <v>2023</v>
      </c>
      <c r="I32" t="s">
        <v>44</v>
      </c>
      <c r="J32" t="s">
        <v>49</v>
      </c>
      <c r="K32">
        <v>264844.43927600002</v>
      </c>
      <c r="L32">
        <v>273867.05092800001</v>
      </c>
      <c r="M32">
        <v>1.0340675895505489</v>
      </c>
      <c r="N32">
        <v>1.0340675895505489</v>
      </c>
      <c r="O32" t="s">
        <v>143</v>
      </c>
      <c r="P32" t="s">
        <v>143</v>
      </c>
      <c r="Q32" t="s">
        <v>151</v>
      </c>
      <c r="R32">
        <v>0</v>
      </c>
      <c r="S32">
        <v>0</v>
      </c>
      <c r="T32" t="s">
        <v>443</v>
      </c>
    </row>
    <row r="33" spans="1:20" x14ac:dyDescent="0.3">
      <c r="A33">
        <v>203</v>
      </c>
      <c r="B33" t="s">
        <v>141</v>
      </c>
      <c r="C33" t="s">
        <v>37</v>
      </c>
      <c r="D33" t="s">
        <v>142</v>
      </c>
      <c r="E33" t="s">
        <v>31</v>
      </c>
      <c r="F33" t="s">
        <v>32</v>
      </c>
      <c r="G33" s="2">
        <v>45657</v>
      </c>
      <c r="H33">
        <v>2024</v>
      </c>
      <c r="I33" t="s">
        <v>44</v>
      </c>
      <c r="J33" t="s">
        <v>53</v>
      </c>
      <c r="K33">
        <v>289638.45267000003</v>
      </c>
      <c r="L33">
        <v>297867.12192900002</v>
      </c>
      <c r="M33">
        <v>1.028410140929648</v>
      </c>
      <c r="N33">
        <v>1.028410140929648</v>
      </c>
      <c r="O33" t="s">
        <v>143</v>
      </c>
      <c r="P33" t="s">
        <v>143</v>
      </c>
      <c r="Q33" t="s">
        <v>153</v>
      </c>
      <c r="R33">
        <v>0</v>
      </c>
      <c r="S33">
        <v>0</v>
      </c>
      <c r="T33" t="s">
        <v>443</v>
      </c>
    </row>
    <row r="34" spans="1:20" x14ac:dyDescent="0.3">
      <c r="A34">
        <v>204</v>
      </c>
      <c r="B34" t="s">
        <v>154</v>
      </c>
      <c r="C34" t="s">
        <v>37</v>
      </c>
      <c r="D34" t="s">
        <v>142</v>
      </c>
      <c r="E34" t="s">
        <v>31</v>
      </c>
      <c r="F34" t="s">
        <v>32</v>
      </c>
      <c r="G34" s="2">
        <v>44925</v>
      </c>
      <c r="H34">
        <v>2022</v>
      </c>
      <c r="I34" t="s">
        <v>44</v>
      </c>
      <c r="J34" t="s">
        <v>45</v>
      </c>
      <c r="O34" t="s">
        <v>143</v>
      </c>
      <c r="P34" t="s">
        <v>143</v>
      </c>
      <c r="Q34" t="s">
        <v>156</v>
      </c>
      <c r="R34">
        <v>0</v>
      </c>
      <c r="S34">
        <v>0</v>
      </c>
      <c r="T34" t="s">
        <v>443</v>
      </c>
    </row>
    <row r="35" spans="1:20" x14ac:dyDescent="0.3">
      <c r="A35">
        <v>204</v>
      </c>
      <c r="B35" t="s">
        <v>154</v>
      </c>
      <c r="C35" t="s">
        <v>37</v>
      </c>
      <c r="D35" t="s">
        <v>142</v>
      </c>
      <c r="E35" t="s">
        <v>31</v>
      </c>
      <c r="F35" t="s">
        <v>32</v>
      </c>
      <c r="G35" s="2">
        <v>45291</v>
      </c>
      <c r="H35">
        <v>2023</v>
      </c>
      <c r="I35" t="s">
        <v>44</v>
      </c>
      <c r="J35" t="s">
        <v>49</v>
      </c>
      <c r="K35">
        <v>86846.60702431656</v>
      </c>
      <c r="L35">
        <v>141016.76289899999</v>
      </c>
      <c r="M35">
        <v>1.3</v>
      </c>
      <c r="N35">
        <v>1.6237452185036549</v>
      </c>
      <c r="O35" t="s">
        <v>143</v>
      </c>
      <c r="P35" t="s">
        <v>143</v>
      </c>
      <c r="Q35" t="s">
        <v>158</v>
      </c>
      <c r="R35">
        <v>0</v>
      </c>
      <c r="S35">
        <v>0</v>
      </c>
      <c r="T35" t="s">
        <v>443</v>
      </c>
    </row>
    <row r="36" spans="1:20" x14ac:dyDescent="0.3">
      <c r="A36">
        <v>204</v>
      </c>
      <c r="B36" t="s">
        <v>154</v>
      </c>
      <c r="C36" t="s">
        <v>37</v>
      </c>
      <c r="D36" t="s">
        <v>142</v>
      </c>
      <c r="E36" t="s">
        <v>31</v>
      </c>
      <c r="F36" t="s">
        <v>32</v>
      </c>
      <c r="G36" s="2">
        <v>45657</v>
      </c>
      <c r="H36">
        <v>2024</v>
      </c>
      <c r="I36" t="s">
        <v>44</v>
      </c>
      <c r="J36" t="s">
        <v>53</v>
      </c>
      <c r="K36">
        <v>122440.821151</v>
      </c>
      <c r="L36">
        <v>176962.74882400001</v>
      </c>
      <c r="M36">
        <v>1.3</v>
      </c>
      <c r="N36">
        <v>1.4452920779235949</v>
      </c>
      <c r="O36" t="s">
        <v>143</v>
      </c>
      <c r="P36" t="s">
        <v>143</v>
      </c>
      <c r="Q36" t="s">
        <v>160</v>
      </c>
      <c r="R36">
        <v>0</v>
      </c>
      <c r="S36">
        <v>0</v>
      </c>
      <c r="T36" t="s">
        <v>443</v>
      </c>
    </row>
    <row r="37" spans="1:20" x14ac:dyDescent="0.3">
      <c r="A37">
        <v>205</v>
      </c>
      <c r="B37" t="s">
        <v>161</v>
      </c>
      <c r="C37" t="s">
        <v>37</v>
      </c>
      <c r="D37" t="s">
        <v>142</v>
      </c>
      <c r="E37" t="s">
        <v>31</v>
      </c>
      <c r="F37" t="s">
        <v>32</v>
      </c>
      <c r="G37" s="2">
        <v>45291</v>
      </c>
      <c r="H37">
        <v>2023</v>
      </c>
      <c r="I37" t="s">
        <v>44</v>
      </c>
      <c r="J37" t="s">
        <v>49</v>
      </c>
      <c r="K37">
        <v>2041.7866710000001</v>
      </c>
      <c r="L37">
        <v>8708.3762700000007</v>
      </c>
      <c r="M37">
        <v>1.3</v>
      </c>
      <c r="N37">
        <v>4.2650764615555667</v>
      </c>
      <c r="O37" t="s">
        <v>143</v>
      </c>
      <c r="P37" t="s">
        <v>143</v>
      </c>
      <c r="Q37" t="s">
        <v>163</v>
      </c>
      <c r="R37">
        <v>0</v>
      </c>
      <c r="S37">
        <v>0</v>
      </c>
      <c r="T37" t="s">
        <v>443</v>
      </c>
    </row>
    <row r="38" spans="1:20" x14ac:dyDescent="0.3">
      <c r="A38">
        <v>205</v>
      </c>
      <c r="B38" t="s">
        <v>161</v>
      </c>
      <c r="C38" t="s">
        <v>37</v>
      </c>
      <c r="D38" t="s">
        <v>142</v>
      </c>
      <c r="E38" t="s">
        <v>31</v>
      </c>
      <c r="F38" t="s">
        <v>32</v>
      </c>
      <c r="G38" s="2">
        <v>45657</v>
      </c>
      <c r="H38">
        <v>2024</v>
      </c>
      <c r="I38" t="s">
        <v>44</v>
      </c>
      <c r="J38" t="s">
        <v>53</v>
      </c>
      <c r="K38">
        <v>2783.219654</v>
      </c>
      <c r="L38">
        <v>5141.1028649999998</v>
      </c>
      <c r="M38">
        <v>1.3</v>
      </c>
      <c r="N38">
        <v>1.847178269818297</v>
      </c>
      <c r="O38" t="s">
        <v>143</v>
      </c>
      <c r="P38" t="s">
        <v>143</v>
      </c>
      <c r="Q38" t="s">
        <v>165</v>
      </c>
      <c r="R38">
        <v>0</v>
      </c>
      <c r="S38">
        <v>0</v>
      </c>
      <c r="T38" t="s">
        <v>443</v>
      </c>
    </row>
    <row r="39" spans="1:20" x14ac:dyDescent="0.3">
      <c r="A39">
        <v>206</v>
      </c>
      <c r="B39" t="s">
        <v>475</v>
      </c>
      <c r="C39" t="s">
        <v>37</v>
      </c>
      <c r="D39" t="s">
        <v>142</v>
      </c>
      <c r="E39" t="s">
        <v>31</v>
      </c>
      <c r="F39" t="s">
        <v>32</v>
      </c>
      <c r="G39" s="2">
        <v>45291</v>
      </c>
      <c r="H39">
        <v>2023</v>
      </c>
      <c r="I39" t="s">
        <v>44</v>
      </c>
      <c r="J39" t="s">
        <v>49</v>
      </c>
      <c r="K39">
        <v>1</v>
      </c>
      <c r="L39">
        <v>2.69</v>
      </c>
      <c r="M39">
        <v>1.3</v>
      </c>
      <c r="N39">
        <v>2.69</v>
      </c>
      <c r="O39" t="s">
        <v>58</v>
      </c>
      <c r="P39" t="s">
        <v>58</v>
      </c>
      <c r="Q39" t="s">
        <v>168</v>
      </c>
      <c r="R39">
        <v>0</v>
      </c>
      <c r="S39">
        <v>2</v>
      </c>
      <c r="T39" t="s">
        <v>443</v>
      </c>
    </row>
    <row r="40" spans="1:20" x14ac:dyDescent="0.3">
      <c r="A40">
        <v>206</v>
      </c>
      <c r="B40" t="s">
        <v>475</v>
      </c>
      <c r="C40" t="s">
        <v>37</v>
      </c>
      <c r="D40" t="s">
        <v>142</v>
      </c>
      <c r="E40" t="s">
        <v>31</v>
      </c>
      <c r="F40" t="s">
        <v>32</v>
      </c>
      <c r="G40" s="2">
        <v>45657</v>
      </c>
      <c r="H40">
        <v>2024</v>
      </c>
      <c r="I40" t="s">
        <v>44</v>
      </c>
      <c r="J40" t="s">
        <v>53</v>
      </c>
      <c r="K40">
        <v>1</v>
      </c>
      <c r="L40">
        <v>1.37</v>
      </c>
      <c r="M40">
        <v>1.3</v>
      </c>
      <c r="N40">
        <v>1.37</v>
      </c>
      <c r="O40" t="s">
        <v>58</v>
      </c>
      <c r="P40" t="s">
        <v>58</v>
      </c>
      <c r="Q40" t="s">
        <v>169</v>
      </c>
      <c r="R40">
        <v>0</v>
      </c>
      <c r="S40">
        <v>2</v>
      </c>
      <c r="T40" t="s">
        <v>443</v>
      </c>
    </row>
    <row r="41" spans="1:20" x14ac:dyDescent="0.3">
      <c r="A41">
        <v>207</v>
      </c>
      <c r="B41" t="s">
        <v>170</v>
      </c>
      <c r="C41" t="s">
        <v>37</v>
      </c>
      <c r="D41" t="s">
        <v>142</v>
      </c>
      <c r="E41" t="s">
        <v>31</v>
      </c>
      <c r="F41" t="s">
        <v>171</v>
      </c>
      <c r="G41" s="2">
        <v>45291</v>
      </c>
      <c r="H41">
        <v>2023</v>
      </c>
      <c r="I41" t="s">
        <v>44</v>
      </c>
      <c r="J41" t="s">
        <v>49</v>
      </c>
      <c r="K41">
        <v>238770.96657245801</v>
      </c>
      <c r="L41">
        <v>247359.73307500011</v>
      </c>
      <c r="M41">
        <v>0.96527823507984656</v>
      </c>
      <c r="N41">
        <v>0.96527823507984656</v>
      </c>
      <c r="O41" t="s">
        <v>143</v>
      </c>
      <c r="P41" t="s">
        <v>143</v>
      </c>
      <c r="Q41" t="s">
        <v>173</v>
      </c>
      <c r="R41">
        <v>0</v>
      </c>
      <c r="S41">
        <v>0</v>
      </c>
      <c r="T41" t="s">
        <v>443</v>
      </c>
    </row>
    <row r="42" spans="1:20" x14ac:dyDescent="0.3">
      <c r="A42">
        <v>207</v>
      </c>
      <c r="B42" t="s">
        <v>170</v>
      </c>
      <c r="C42" t="s">
        <v>37</v>
      </c>
      <c r="D42" t="s">
        <v>142</v>
      </c>
      <c r="E42" t="s">
        <v>31</v>
      </c>
      <c r="F42" t="s">
        <v>171</v>
      </c>
      <c r="G42" s="2">
        <v>45657</v>
      </c>
      <c r="H42">
        <v>2024</v>
      </c>
      <c r="I42" t="s">
        <v>44</v>
      </c>
      <c r="J42" t="s">
        <v>53</v>
      </c>
      <c r="K42">
        <v>262628.34438999998</v>
      </c>
      <c r="L42">
        <v>268399.19981700002</v>
      </c>
      <c r="M42">
        <v>1.0219734676407599</v>
      </c>
      <c r="N42">
        <v>1.0219734676407599</v>
      </c>
      <c r="O42" t="s">
        <v>143</v>
      </c>
      <c r="P42" t="s">
        <v>143</v>
      </c>
      <c r="Q42" t="s">
        <v>175</v>
      </c>
      <c r="R42">
        <v>0</v>
      </c>
      <c r="S42">
        <v>0</v>
      </c>
      <c r="T42" t="s">
        <v>443</v>
      </c>
    </row>
    <row r="43" spans="1:20" x14ac:dyDescent="0.3">
      <c r="A43">
        <v>228</v>
      </c>
      <c r="B43" t="s">
        <v>176</v>
      </c>
      <c r="C43" t="s">
        <v>474</v>
      </c>
      <c r="D43" t="s">
        <v>177</v>
      </c>
      <c r="E43" t="s">
        <v>66</v>
      </c>
      <c r="F43" t="s">
        <v>32</v>
      </c>
      <c r="G43" s="2">
        <v>44926</v>
      </c>
      <c r="H43">
        <v>2022</v>
      </c>
      <c r="I43" t="s">
        <v>44</v>
      </c>
      <c r="J43" t="s">
        <v>45</v>
      </c>
      <c r="K43">
        <v>170.99</v>
      </c>
      <c r="L43">
        <v>235</v>
      </c>
      <c r="M43">
        <v>1</v>
      </c>
      <c r="N43">
        <v>1.3743493771565589</v>
      </c>
      <c r="O43" t="s">
        <v>445</v>
      </c>
      <c r="P43" t="s">
        <v>445</v>
      </c>
      <c r="Q43" t="s">
        <v>178</v>
      </c>
      <c r="R43">
        <v>1</v>
      </c>
      <c r="S43">
        <v>0</v>
      </c>
      <c r="T43" t="s">
        <v>443</v>
      </c>
    </row>
    <row r="44" spans="1:20" x14ac:dyDescent="0.3">
      <c r="A44">
        <v>228</v>
      </c>
      <c r="B44" t="s">
        <v>176</v>
      </c>
      <c r="C44" t="s">
        <v>37</v>
      </c>
      <c r="D44" t="s">
        <v>177</v>
      </c>
      <c r="E44" t="s">
        <v>66</v>
      </c>
      <c r="F44" t="s">
        <v>32</v>
      </c>
      <c r="G44" s="2">
        <v>45657</v>
      </c>
      <c r="H44">
        <v>2024</v>
      </c>
      <c r="I44" t="s">
        <v>44</v>
      </c>
      <c r="J44" t="s">
        <v>53</v>
      </c>
      <c r="K44">
        <v>476.48</v>
      </c>
      <c r="L44">
        <v>477</v>
      </c>
      <c r="M44">
        <v>1</v>
      </c>
      <c r="N44">
        <v>1.0010913364674281</v>
      </c>
      <c r="O44" t="s">
        <v>445</v>
      </c>
      <c r="P44" t="s">
        <v>445</v>
      </c>
      <c r="Q44" t="s">
        <v>181</v>
      </c>
      <c r="R44">
        <v>1</v>
      </c>
      <c r="S44">
        <v>0</v>
      </c>
      <c r="T44" t="s">
        <v>443</v>
      </c>
    </row>
    <row r="45" spans="1:20" x14ac:dyDescent="0.3">
      <c r="A45">
        <v>244</v>
      </c>
      <c r="B45" t="s">
        <v>182</v>
      </c>
      <c r="C45" t="s">
        <v>37</v>
      </c>
      <c r="D45" t="s">
        <v>177</v>
      </c>
      <c r="E45" t="s">
        <v>66</v>
      </c>
      <c r="F45" t="s">
        <v>171</v>
      </c>
      <c r="G45" s="2">
        <v>44926</v>
      </c>
      <c r="H45">
        <v>2022</v>
      </c>
      <c r="I45" t="s">
        <v>44</v>
      </c>
      <c r="J45" t="s">
        <v>45</v>
      </c>
      <c r="K45">
        <v>27</v>
      </c>
      <c r="L45">
        <v>27</v>
      </c>
      <c r="M45">
        <v>1</v>
      </c>
      <c r="N45">
        <v>1</v>
      </c>
      <c r="O45" t="s">
        <v>35</v>
      </c>
      <c r="P45" t="s">
        <v>35</v>
      </c>
      <c r="Q45" t="s">
        <v>446</v>
      </c>
      <c r="R45">
        <v>0</v>
      </c>
      <c r="S45">
        <v>0</v>
      </c>
      <c r="T45" t="s">
        <v>443</v>
      </c>
    </row>
    <row r="46" spans="1:20" x14ac:dyDescent="0.3">
      <c r="A46">
        <v>244</v>
      </c>
      <c r="B46" t="s">
        <v>182</v>
      </c>
      <c r="C46" t="s">
        <v>37</v>
      </c>
      <c r="D46" t="s">
        <v>177</v>
      </c>
      <c r="E46" t="s">
        <v>66</v>
      </c>
      <c r="F46" t="s">
        <v>171</v>
      </c>
      <c r="G46" s="2">
        <v>45291</v>
      </c>
      <c r="H46">
        <v>2023</v>
      </c>
      <c r="I46" t="s">
        <v>44</v>
      </c>
      <c r="J46" t="s">
        <v>49</v>
      </c>
      <c r="K46">
        <v>25</v>
      </c>
      <c r="L46">
        <v>24</v>
      </c>
      <c r="M46">
        <v>1.041666666666667</v>
      </c>
      <c r="N46">
        <v>1.041666666666667</v>
      </c>
      <c r="O46" t="s">
        <v>35</v>
      </c>
      <c r="P46" t="s">
        <v>35</v>
      </c>
      <c r="Q46" t="s">
        <v>183</v>
      </c>
      <c r="R46">
        <v>0</v>
      </c>
      <c r="S46">
        <v>0</v>
      </c>
      <c r="T46" t="s">
        <v>443</v>
      </c>
    </row>
    <row r="47" spans="1:20" x14ac:dyDescent="0.3">
      <c r="A47">
        <v>244</v>
      </c>
      <c r="B47" t="s">
        <v>182</v>
      </c>
      <c r="C47" t="s">
        <v>37</v>
      </c>
      <c r="D47" t="s">
        <v>177</v>
      </c>
      <c r="E47" t="s">
        <v>66</v>
      </c>
      <c r="F47" t="s">
        <v>171</v>
      </c>
      <c r="G47" s="2">
        <v>45657</v>
      </c>
      <c r="H47">
        <v>2024</v>
      </c>
      <c r="I47" t="s">
        <v>44</v>
      </c>
      <c r="J47" t="s">
        <v>53</v>
      </c>
      <c r="K47">
        <v>25</v>
      </c>
      <c r="L47">
        <v>25</v>
      </c>
      <c r="M47">
        <v>1</v>
      </c>
      <c r="N47">
        <v>1</v>
      </c>
      <c r="O47" t="s">
        <v>35</v>
      </c>
      <c r="P47" t="s">
        <v>35</v>
      </c>
      <c r="Q47" t="s">
        <v>184</v>
      </c>
      <c r="R47">
        <v>0</v>
      </c>
      <c r="S47">
        <v>0</v>
      </c>
      <c r="T47" t="s">
        <v>443</v>
      </c>
    </row>
    <row r="48" spans="1:20" x14ac:dyDescent="0.3">
      <c r="A48">
        <v>245</v>
      </c>
      <c r="B48" t="s">
        <v>185</v>
      </c>
      <c r="C48" t="s">
        <v>37</v>
      </c>
      <c r="D48" t="s">
        <v>186</v>
      </c>
      <c r="E48" t="s">
        <v>31</v>
      </c>
      <c r="F48" t="s">
        <v>32</v>
      </c>
      <c r="G48" s="2">
        <v>44926</v>
      </c>
      <c r="H48">
        <v>2022</v>
      </c>
      <c r="I48" t="s">
        <v>44</v>
      </c>
      <c r="J48" t="s">
        <v>45</v>
      </c>
      <c r="K48">
        <v>88.5</v>
      </c>
      <c r="L48">
        <v>85.9</v>
      </c>
      <c r="M48">
        <v>0.97062146892655377</v>
      </c>
      <c r="N48">
        <v>0.97062146892655377</v>
      </c>
      <c r="O48" t="s">
        <v>58</v>
      </c>
      <c r="P48" t="s">
        <v>58</v>
      </c>
      <c r="Q48" t="s">
        <v>188</v>
      </c>
      <c r="R48">
        <v>1</v>
      </c>
      <c r="S48">
        <v>0</v>
      </c>
      <c r="T48" t="s">
        <v>443</v>
      </c>
    </row>
    <row r="49" spans="1:20" x14ac:dyDescent="0.3">
      <c r="A49">
        <v>245</v>
      </c>
      <c r="B49" t="s">
        <v>185</v>
      </c>
      <c r="C49" t="s">
        <v>37</v>
      </c>
      <c r="D49" t="s">
        <v>186</v>
      </c>
      <c r="E49" t="s">
        <v>31</v>
      </c>
      <c r="F49" t="s">
        <v>32</v>
      </c>
      <c r="G49" s="2">
        <v>45291</v>
      </c>
      <c r="H49">
        <v>2023</v>
      </c>
      <c r="I49" t="s">
        <v>44</v>
      </c>
      <c r="J49" t="s">
        <v>49</v>
      </c>
      <c r="K49">
        <v>87</v>
      </c>
      <c r="L49">
        <v>85.38</v>
      </c>
      <c r="M49">
        <v>0.9813793103448275</v>
      </c>
      <c r="N49">
        <v>0.9813793103448275</v>
      </c>
      <c r="O49" t="s">
        <v>58</v>
      </c>
      <c r="P49" t="s">
        <v>58</v>
      </c>
      <c r="Q49" t="s">
        <v>190</v>
      </c>
      <c r="R49">
        <v>0</v>
      </c>
      <c r="S49">
        <v>1</v>
      </c>
      <c r="T49" t="s">
        <v>443</v>
      </c>
    </row>
    <row r="50" spans="1:20" x14ac:dyDescent="0.3">
      <c r="A50">
        <v>245</v>
      </c>
      <c r="B50" t="s">
        <v>185</v>
      </c>
      <c r="C50" t="s">
        <v>37</v>
      </c>
      <c r="D50" t="s">
        <v>186</v>
      </c>
      <c r="E50" t="s">
        <v>31</v>
      </c>
      <c r="F50" t="s">
        <v>32</v>
      </c>
      <c r="G50" s="2">
        <v>45657</v>
      </c>
      <c r="H50">
        <v>2024</v>
      </c>
      <c r="I50" t="s">
        <v>44</v>
      </c>
      <c r="J50" t="s">
        <v>53</v>
      </c>
      <c r="K50">
        <v>85</v>
      </c>
      <c r="L50">
        <v>85.19</v>
      </c>
      <c r="M50">
        <v>1.0022352941176469</v>
      </c>
      <c r="N50">
        <v>1.0022352941176469</v>
      </c>
      <c r="O50" t="s">
        <v>58</v>
      </c>
      <c r="P50" t="s">
        <v>58</v>
      </c>
      <c r="Q50" t="s">
        <v>192</v>
      </c>
      <c r="R50">
        <v>0</v>
      </c>
      <c r="S50">
        <v>1</v>
      </c>
      <c r="T50" t="s">
        <v>443</v>
      </c>
    </row>
    <row r="51" spans="1:20" x14ac:dyDescent="0.3">
      <c r="A51">
        <v>476</v>
      </c>
      <c r="B51" t="s">
        <v>348</v>
      </c>
      <c r="C51" t="s">
        <v>37</v>
      </c>
      <c r="D51" t="s">
        <v>349</v>
      </c>
      <c r="E51" t="s">
        <v>31</v>
      </c>
      <c r="F51" t="s">
        <v>32</v>
      </c>
      <c r="G51" s="2">
        <v>45291</v>
      </c>
      <c r="H51">
        <v>2023</v>
      </c>
      <c r="I51" t="s">
        <v>44</v>
      </c>
      <c r="J51" t="s">
        <v>49</v>
      </c>
      <c r="K51">
        <v>98</v>
      </c>
      <c r="L51">
        <v>98</v>
      </c>
      <c r="M51">
        <v>1</v>
      </c>
      <c r="N51">
        <v>1</v>
      </c>
      <c r="O51" t="s">
        <v>35</v>
      </c>
      <c r="P51" t="s">
        <v>35</v>
      </c>
      <c r="Q51" t="s">
        <v>447</v>
      </c>
      <c r="R51">
        <v>0</v>
      </c>
      <c r="S51">
        <v>0</v>
      </c>
      <c r="T51" t="s">
        <v>443</v>
      </c>
    </row>
    <row r="52" spans="1:20" x14ac:dyDescent="0.3">
      <c r="A52">
        <v>274</v>
      </c>
      <c r="B52" t="s">
        <v>193</v>
      </c>
      <c r="C52" t="s">
        <v>37</v>
      </c>
      <c r="D52" t="s">
        <v>194</v>
      </c>
      <c r="E52" t="s">
        <v>31</v>
      </c>
      <c r="F52" t="s">
        <v>32</v>
      </c>
      <c r="G52" s="2">
        <v>44926</v>
      </c>
      <c r="H52">
        <v>2022</v>
      </c>
      <c r="I52" t="s">
        <v>44</v>
      </c>
      <c r="J52" t="s">
        <v>45</v>
      </c>
      <c r="K52">
        <v>39817</v>
      </c>
      <c r="L52">
        <v>40663</v>
      </c>
      <c r="M52">
        <v>1.0212472059672999</v>
      </c>
      <c r="N52">
        <v>1.0212472059672999</v>
      </c>
      <c r="O52" t="s">
        <v>35</v>
      </c>
      <c r="P52" t="s">
        <v>35</v>
      </c>
      <c r="Q52" t="s">
        <v>196</v>
      </c>
      <c r="R52">
        <v>0</v>
      </c>
      <c r="S52">
        <v>0</v>
      </c>
      <c r="T52" t="s">
        <v>443</v>
      </c>
    </row>
    <row r="53" spans="1:20" x14ac:dyDescent="0.3">
      <c r="A53">
        <v>274</v>
      </c>
      <c r="B53" t="s">
        <v>193</v>
      </c>
      <c r="C53" t="s">
        <v>37</v>
      </c>
      <c r="D53" t="s">
        <v>194</v>
      </c>
      <c r="E53" t="s">
        <v>31</v>
      </c>
      <c r="F53" t="s">
        <v>32</v>
      </c>
      <c r="G53" s="2">
        <v>45291</v>
      </c>
      <c r="H53">
        <v>2023</v>
      </c>
      <c r="I53" t="s">
        <v>44</v>
      </c>
      <c r="J53" t="s">
        <v>49</v>
      </c>
      <c r="K53">
        <v>41811</v>
      </c>
      <c r="L53">
        <v>40771</v>
      </c>
      <c r="M53">
        <v>0.97512616297146681</v>
      </c>
      <c r="N53">
        <v>0.97512616297146681</v>
      </c>
      <c r="O53" t="s">
        <v>35</v>
      </c>
      <c r="P53" t="s">
        <v>35</v>
      </c>
      <c r="Q53" t="s">
        <v>198</v>
      </c>
      <c r="R53">
        <v>0</v>
      </c>
      <c r="S53">
        <v>0</v>
      </c>
      <c r="T53" t="s">
        <v>443</v>
      </c>
    </row>
    <row r="54" spans="1:20" x14ac:dyDescent="0.3">
      <c r="A54">
        <v>274</v>
      </c>
      <c r="B54" t="s">
        <v>193</v>
      </c>
      <c r="C54" t="s">
        <v>37</v>
      </c>
      <c r="D54" t="s">
        <v>194</v>
      </c>
      <c r="E54" t="s">
        <v>31</v>
      </c>
      <c r="F54" t="s">
        <v>32</v>
      </c>
      <c r="G54" s="2">
        <v>45657</v>
      </c>
      <c r="H54">
        <v>2024</v>
      </c>
      <c r="I54" t="s">
        <v>44</v>
      </c>
      <c r="J54" t="s">
        <v>53</v>
      </c>
      <c r="K54">
        <v>40441.334115206948</v>
      </c>
      <c r="L54">
        <v>41436</v>
      </c>
      <c r="M54">
        <v>1.024595278730408</v>
      </c>
      <c r="N54">
        <v>1.024595278730408</v>
      </c>
      <c r="O54" t="s">
        <v>35</v>
      </c>
      <c r="P54" t="s">
        <v>35</v>
      </c>
      <c r="Q54" t="s">
        <v>200</v>
      </c>
      <c r="R54">
        <v>0</v>
      </c>
      <c r="S54">
        <v>0</v>
      </c>
      <c r="T54" t="s">
        <v>443</v>
      </c>
    </row>
    <row r="55" spans="1:20" x14ac:dyDescent="0.3">
      <c r="A55">
        <v>276</v>
      </c>
      <c r="B55" t="s">
        <v>201</v>
      </c>
      <c r="C55" t="s">
        <v>37</v>
      </c>
      <c r="D55" t="s">
        <v>202</v>
      </c>
      <c r="E55" t="s">
        <v>31</v>
      </c>
      <c r="F55" t="s">
        <v>171</v>
      </c>
      <c r="G55" s="2">
        <v>44926</v>
      </c>
      <c r="H55">
        <v>2022</v>
      </c>
      <c r="I55" t="s">
        <v>44</v>
      </c>
      <c r="J55" t="s">
        <v>45</v>
      </c>
      <c r="K55">
        <v>88</v>
      </c>
      <c r="L55">
        <v>88</v>
      </c>
      <c r="M55">
        <v>1</v>
      </c>
      <c r="N55">
        <v>1</v>
      </c>
      <c r="O55" t="s">
        <v>35</v>
      </c>
      <c r="P55" t="s">
        <v>35</v>
      </c>
      <c r="Q55" t="s">
        <v>205</v>
      </c>
      <c r="R55">
        <v>0</v>
      </c>
      <c r="S55">
        <v>0</v>
      </c>
      <c r="T55" t="s">
        <v>443</v>
      </c>
    </row>
    <row r="56" spans="1:20" x14ac:dyDescent="0.3">
      <c r="A56">
        <v>276</v>
      </c>
      <c r="B56" t="s">
        <v>201</v>
      </c>
      <c r="C56" t="s">
        <v>37</v>
      </c>
      <c r="D56" t="s">
        <v>202</v>
      </c>
      <c r="E56" t="s">
        <v>31</v>
      </c>
      <c r="F56" t="s">
        <v>171</v>
      </c>
      <c r="G56" s="2">
        <v>45291</v>
      </c>
      <c r="H56">
        <v>2023</v>
      </c>
      <c r="I56" t="s">
        <v>44</v>
      </c>
      <c r="J56" t="s">
        <v>49</v>
      </c>
      <c r="K56">
        <v>85</v>
      </c>
      <c r="L56">
        <v>84.5</v>
      </c>
      <c r="M56">
        <v>1</v>
      </c>
      <c r="N56">
        <v>1.0059171597633141</v>
      </c>
      <c r="O56" t="s">
        <v>35</v>
      </c>
      <c r="P56" t="s">
        <v>245</v>
      </c>
      <c r="Q56" t="s">
        <v>207</v>
      </c>
      <c r="R56">
        <v>0</v>
      </c>
      <c r="S56">
        <v>1</v>
      </c>
      <c r="T56" t="s">
        <v>443</v>
      </c>
    </row>
    <row r="57" spans="1:20" x14ac:dyDescent="0.3">
      <c r="A57">
        <v>276</v>
      </c>
      <c r="B57" t="s">
        <v>201</v>
      </c>
      <c r="C57" t="s">
        <v>37</v>
      </c>
      <c r="D57" t="s">
        <v>202</v>
      </c>
      <c r="E57" t="s">
        <v>31</v>
      </c>
      <c r="F57" t="s">
        <v>171</v>
      </c>
      <c r="G57" s="2">
        <v>45657</v>
      </c>
      <c r="H57">
        <v>2024</v>
      </c>
      <c r="I57" t="s">
        <v>44</v>
      </c>
      <c r="J57" t="s">
        <v>53</v>
      </c>
      <c r="K57">
        <v>75</v>
      </c>
      <c r="L57">
        <v>82.68</v>
      </c>
      <c r="M57">
        <v>0.90711175616835982</v>
      </c>
      <c r="N57">
        <v>0.90711175616835982</v>
      </c>
      <c r="O57" t="s">
        <v>35</v>
      </c>
      <c r="P57" t="s">
        <v>245</v>
      </c>
      <c r="Q57" t="s">
        <v>209</v>
      </c>
      <c r="R57">
        <v>0</v>
      </c>
      <c r="S57">
        <v>1</v>
      </c>
      <c r="T57" t="s">
        <v>443</v>
      </c>
    </row>
    <row r="58" spans="1:20" x14ac:dyDescent="0.3">
      <c r="A58">
        <v>277</v>
      </c>
      <c r="B58" t="s">
        <v>210</v>
      </c>
      <c r="C58" t="s">
        <v>37</v>
      </c>
      <c r="D58" t="s">
        <v>202</v>
      </c>
      <c r="E58" t="s">
        <v>31</v>
      </c>
      <c r="F58" t="s">
        <v>171</v>
      </c>
      <c r="G58" s="2">
        <v>45291</v>
      </c>
      <c r="H58">
        <v>2023</v>
      </c>
      <c r="I58" t="s">
        <v>44</v>
      </c>
      <c r="J58" t="s">
        <v>49</v>
      </c>
      <c r="K58">
        <v>85</v>
      </c>
      <c r="L58">
        <v>73.290000000000006</v>
      </c>
      <c r="M58">
        <v>1.1597762314094691</v>
      </c>
      <c r="N58">
        <v>1.1597762314094691</v>
      </c>
      <c r="O58" t="s">
        <v>35</v>
      </c>
      <c r="P58" t="s">
        <v>245</v>
      </c>
      <c r="Q58" t="s">
        <v>212</v>
      </c>
      <c r="R58">
        <v>1</v>
      </c>
      <c r="S58">
        <v>1</v>
      </c>
      <c r="T58" t="s">
        <v>443</v>
      </c>
    </row>
    <row r="59" spans="1:20" x14ac:dyDescent="0.3">
      <c r="A59">
        <v>277</v>
      </c>
      <c r="B59" t="s">
        <v>210</v>
      </c>
      <c r="C59" t="s">
        <v>37</v>
      </c>
      <c r="D59" t="s">
        <v>202</v>
      </c>
      <c r="E59" t="s">
        <v>31</v>
      </c>
      <c r="F59" t="s">
        <v>171</v>
      </c>
      <c r="G59" s="2">
        <v>45657</v>
      </c>
      <c r="H59">
        <v>2024</v>
      </c>
      <c r="I59" t="s">
        <v>44</v>
      </c>
      <c r="J59" t="s">
        <v>53</v>
      </c>
      <c r="K59">
        <v>73</v>
      </c>
      <c r="L59">
        <v>71.239999999999995</v>
      </c>
      <c r="M59">
        <v>0.97589041095890405</v>
      </c>
      <c r="N59">
        <v>0.97589041095890405</v>
      </c>
      <c r="O59" t="s">
        <v>35</v>
      </c>
      <c r="P59" t="s">
        <v>245</v>
      </c>
      <c r="Q59" t="s">
        <v>214</v>
      </c>
      <c r="R59">
        <v>1</v>
      </c>
      <c r="S59">
        <v>1</v>
      </c>
      <c r="T59" t="s">
        <v>443</v>
      </c>
    </row>
    <row r="60" spans="1:20" x14ac:dyDescent="0.3">
      <c r="A60">
        <v>323</v>
      </c>
      <c r="B60" t="s">
        <v>215</v>
      </c>
      <c r="C60" t="s">
        <v>37</v>
      </c>
      <c r="D60" t="s">
        <v>216</v>
      </c>
      <c r="E60" t="s">
        <v>31</v>
      </c>
      <c r="F60" t="s">
        <v>32</v>
      </c>
      <c r="G60" s="2">
        <v>44926</v>
      </c>
      <c r="H60">
        <v>2022</v>
      </c>
      <c r="I60" t="s">
        <v>44</v>
      </c>
      <c r="J60" t="s">
        <v>45</v>
      </c>
      <c r="K60">
        <v>3</v>
      </c>
      <c r="L60">
        <v>3</v>
      </c>
      <c r="M60">
        <v>1</v>
      </c>
      <c r="N60">
        <v>1</v>
      </c>
      <c r="O60" t="s">
        <v>35</v>
      </c>
      <c r="P60" t="s">
        <v>35</v>
      </c>
      <c r="Q60" t="s">
        <v>217</v>
      </c>
      <c r="R60">
        <v>0</v>
      </c>
      <c r="S60">
        <v>0</v>
      </c>
      <c r="T60" t="s">
        <v>443</v>
      </c>
    </row>
    <row r="61" spans="1:20" x14ac:dyDescent="0.3">
      <c r="A61">
        <v>323</v>
      </c>
      <c r="B61" t="s">
        <v>215</v>
      </c>
      <c r="C61" t="s">
        <v>37</v>
      </c>
      <c r="D61" t="s">
        <v>216</v>
      </c>
      <c r="E61" t="s">
        <v>31</v>
      </c>
      <c r="F61" t="s">
        <v>32</v>
      </c>
      <c r="G61" s="2">
        <v>45291</v>
      </c>
      <c r="H61">
        <v>2023</v>
      </c>
      <c r="I61" t="s">
        <v>44</v>
      </c>
      <c r="J61" t="s">
        <v>49</v>
      </c>
      <c r="K61">
        <v>8</v>
      </c>
      <c r="L61">
        <v>8</v>
      </c>
      <c r="M61">
        <v>1</v>
      </c>
      <c r="N61">
        <v>1</v>
      </c>
      <c r="O61" t="s">
        <v>35</v>
      </c>
      <c r="P61" t="s">
        <v>35</v>
      </c>
      <c r="Q61" t="s">
        <v>221</v>
      </c>
      <c r="R61">
        <v>0</v>
      </c>
      <c r="S61">
        <v>0</v>
      </c>
      <c r="T61" t="s">
        <v>443</v>
      </c>
    </row>
    <row r="62" spans="1:20" x14ac:dyDescent="0.3">
      <c r="A62">
        <v>323</v>
      </c>
      <c r="B62" t="s">
        <v>215</v>
      </c>
      <c r="C62" t="s">
        <v>37</v>
      </c>
      <c r="D62" t="s">
        <v>216</v>
      </c>
      <c r="E62" t="s">
        <v>31</v>
      </c>
      <c r="F62" t="s">
        <v>32</v>
      </c>
      <c r="G62" s="2">
        <v>45657</v>
      </c>
      <c r="H62">
        <v>2024</v>
      </c>
      <c r="I62" t="s">
        <v>44</v>
      </c>
      <c r="J62" t="s">
        <v>53</v>
      </c>
      <c r="K62">
        <v>3</v>
      </c>
      <c r="L62">
        <v>3</v>
      </c>
      <c r="M62">
        <v>1</v>
      </c>
      <c r="N62">
        <v>1</v>
      </c>
      <c r="O62" t="s">
        <v>35</v>
      </c>
      <c r="P62" t="s">
        <v>35</v>
      </c>
      <c r="Q62" t="s">
        <v>223</v>
      </c>
      <c r="R62">
        <v>0</v>
      </c>
      <c r="S62">
        <v>0</v>
      </c>
      <c r="T62" t="s">
        <v>443</v>
      </c>
    </row>
    <row r="63" spans="1:20" x14ac:dyDescent="0.3">
      <c r="A63">
        <v>325</v>
      </c>
      <c r="B63" t="s">
        <v>224</v>
      </c>
      <c r="C63" t="s">
        <v>37</v>
      </c>
      <c r="D63" t="s">
        <v>216</v>
      </c>
      <c r="E63" t="s">
        <v>31</v>
      </c>
      <c r="F63" t="s">
        <v>32</v>
      </c>
      <c r="G63" s="2">
        <v>44926</v>
      </c>
      <c r="H63">
        <v>2022</v>
      </c>
      <c r="I63" t="s">
        <v>44</v>
      </c>
      <c r="J63" t="s">
        <v>45</v>
      </c>
      <c r="K63">
        <v>6</v>
      </c>
      <c r="L63">
        <v>6</v>
      </c>
      <c r="M63">
        <v>1</v>
      </c>
      <c r="N63">
        <v>1</v>
      </c>
      <c r="O63" t="s">
        <v>35</v>
      </c>
      <c r="P63" t="s">
        <v>35</v>
      </c>
      <c r="Q63" t="s">
        <v>226</v>
      </c>
      <c r="R63">
        <v>0</v>
      </c>
      <c r="S63">
        <v>0</v>
      </c>
      <c r="T63" t="s">
        <v>443</v>
      </c>
    </row>
    <row r="64" spans="1:20" x14ac:dyDescent="0.3">
      <c r="A64">
        <v>325</v>
      </c>
      <c r="B64" t="s">
        <v>224</v>
      </c>
      <c r="C64" t="s">
        <v>37</v>
      </c>
      <c r="D64" t="s">
        <v>216</v>
      </c>
      <c r="E64" t="s">
        <v>31</v>
      </c>
      <c r="F64" t="s">
        <v>32</v>
      </c>
      <c r="G64" s="2">
        <v>45291</v>
      </c>
      <c r="H64">
        <v>2023</v>
      </c>
      <c r="I64" t="s">
        <v>44</v>
      </c>
      <c r="J64" t="s">
        <v>49</v>
      </c>
      <c r="K64">
        <v>1</v>
      </c>
      <c r="L64">
        <v>1</v>
      </c>
      <c r="M64">
        <v>1</v>
      </c>
      <c r="N64">
        <v>1</v>
      </c>
      <c r="O64" t="s">
        <v>35</v>
      </c>
      <c r="P64" t="s">
        <v>35</v>
      </c>
      <c r="Q64" t="s">
        <v>228</v>
      </c>
      <c r="R64">
        <v>0</v>
      </c>
      <c r="S64">
        <v>0</v>
      </c>
      <c r="T64" t="s">
        <v>443</v>
      </c>
    </row>
    <row r="65" spans="1:20" x14ac:dyDescent="0.3">
      <c r="A65">
        <v>325</v>
      </c>
      <c r="B65" t="s">
        <v>224</v>
      </c>
      <c r="C65" t="s">
        <v>37</v>
      </c>
      <c r="D65" t="s">
        <v>216</v>
      </c>
      <c r="E65" t="s">
        <v>31</v>
      </c>
      <c r="F65" t="s">
        <v>32</v>
      </c>
      <c r="G65" s="2">
        <v>45657</v>
      </c>
      <c r="H65">
        <v>2024</v>
      </c>
      <c r="I65" t="s">
        <v>44</v>
      </c>
      <c r="J65" t="s">
        <v>53</v>
      </c>
      <c r="K65">
        <v>8</v>
      </c>
      <c r="L65">
        <v>8</v>
      </c>
      <c r="M65">
        <v>1</v>
      </c>
      <c r="N65">
        <v>1</v>
      </c>
      <c r="O65" t="s">
        <v>35</v>
      </c>
      <c r="P65" t="s">
        <v>35</v>
      </c>
      <c r="Q65" t="s">
        <v>230</v>
      </c>
      <c r="R65">
        <v>0</v>
      </c>
      <c r="S65">
        <v>0</v>
      </c>
      <c r="T65" t="s">
        <v>443</v>
      </c>
    </row>
    <row r="66" spans="1:20" x14ac:dyDescent="0.3">
      <c r="A66">
        <v>331</v>
      </c>
      <c r="B66" t="s">
        <v>231</v>
      </c>
      <c r="C66" t="s">
        <v>474</v>
      </c>
      <c r="D66" t="s">
        <v>232</v>
      </c>
      <c r="E66" t="s">
        <v>66</v>
      </c>
      <c r="F66" t="s">
        <v>32</v>
      </c>
      <c r="G66" s="2">
        <v>45291</v>
      </c>
      <c r="H66">
        <v>2023</v>
      </c>
      <c r="I66" t="s">
        <v>44</v>
      </c>
      <c r="J66" t="s">
        <v>49</v>
      </c>
      <c r="L66">
        <v>81</v>
      </c>
      <c r="O66" t="s">
        <v>429</v>
      </c>
      <c r="P66" t="s">
        <v>58</v>
      </c>
      <c r="Q66" t="s">
        <v>234</v>
      </c>
      <c r="R66">
        <v>0</v>
      </c>
      <c r="S66">
        <v>0</v>
      </c>
      <c r="T66" t="s">
        <v>443</v>
      </c>
    </row>
    <row r="67" spans="1:20" x14ac:dyDescent="0.3">
      <c r="A67">
        <v>331</v>
      </c>
      <c r="B67" t="s">
        <v>231</v>
      </c>
      <c r="C67" t="s">
        <v>474</v>
      </c>
      <c r="D67" t="s">
        <v>232</v>
      </c>
      <c r="E67" t="s">
        <v>66</v>
      </c>
      <c r="F67" t="s">
        <v>32</v>
      </c>
      <c r="G67" s="2">
        <v>45657</v>
      </c>
      <c r="H67">
        <v>2024</v>
      </c>
      <c r="I67" t="s">
        <v>44</v>
      </c>
      <c r="J67" t="s">
        <v>53</v>
      </c>
      <c r="L67">
        <v>82</v>
      </c>
      <c r="O67" t="s">
        <v>429</v>
      </c>
      <c r="P67" t="s">
        <v>58</v>
      </c>
      <c r="Q67" t="s">
        <v>238</v>
      </c>
      <c r="R67">
        <v>0</v>
      </c>
      <c r="S67">
        <v>0</v>
      </c>
      <c r="T67" t="s">
        <v>443</v>
      </c>
    </row>
    <row r="68" spans="1:20" x14ac:dyDescent="0.3">
      <c r="A68">
        <v>332</v>
      </c>
      <c r="B68" t="s">
        <v>239</v>
      </c>
      <c r="C68" t="s">
        <v>37</v>
      </c>
      <c r="D68" t="s">
        <v>130</v>
      </c>
      <c r="E68" t="s">
        <v>31</v>
      </c>
      <c r="F68" t="s">
        <v>171</v>
      </c>
      <c r="G68" s="2">
        <v>44926</v>
      </c>
      <c r="H68">
        <v>2022</v>
      </c>
      <c r="I68" t="s">
        <v>44</v>
      </c>
      <c r="J68" t="s">
        <v>45</v>
      </c>
      <c r="K68">
        <v>1.6</v>
      </c>
      <c r="L68">
        <v>1.75</v>
      </c>
      <c r="M68">
        <v>0.91428571428571437</v>
      </c>
      <c r="N68">
        <v>0.91428571428571437</v>
      </c>
      <c r="O68" t="s">
        <v>245</v>
      </c>
      <c r="P68" t="s">
        <v>245</v>
      </c>
      <c r="Q68" t="s">
        <v>242</v>
      </c>
      <c r="R68">
        <v>1</v>
      </c>
      <c r="S68">
        <v>1</v>
      </c>
      <c r="T68" t="s">
        <v>443</v>
      </c>
    </row>
    <row r="69" spans="1:20" x14ac:dyDescent="0.3">
      <c r="A69">
        <v>332</v>
      </c>
      <c r="B69" t="s">
        <v>239</v>
      </c>
      <c r="C69" t="s">
        <v>37</v>
      </c>
      <c r="D69" t="s">
        <v>130</v>
      </c>
      <c r="E69" t="s">
        <v>31</v>
      </c>
      <c r="F69" t="s">
        <v>171</v>
      </c>
      <c r="G69" s="2">
        <v>45291</v>
      </c>
      <c r="H69">
        <v>2023</v>
      </c>
      <c r="I69" t="s">
        <v>44</v>
      </c>
      <c r="J69" t="s">
        <v>49</v>
      </c>
      <c r="K69">
        <v>1.8</v>
      </c>
      <c r="L69">
        <v>1.4</v>
      </c>
      <c r="M69">
        <v>1.285714285714286</v>
      </c>
      <c r="N69">
        <v>1.285714285714286</v>
      </c>
      <c r="O69" t="s">
        <v>245</v>
      </c>
      <c r="P69" t="s">
        <v>245</v>
      </c>
      <c r="Q69" t="s">
        <v>244</v>
      </c>
      <c r="R69">
        <v>1</v>
      </c>
      <c r="S69">
        <v>1</v>
      </c>
      <c r="T69" t="s">
        <v>443</v>
      </c>
    </row>
    <row r="70" spans="1:20" x14ac:dyDescent="0.3">
      <c r="A70">
        <v>332</v>
      </c>
      <c r="B70" t="s">
        <v>239</v>
      </c>
      <c r="C70" t="s">
        <v>37</v>
      </c>
      <c r="D70" t="s">
        <v>130</v>
      </c>
      <c r="E70" t="s">
        <v>31</v>
      </c>
      <c r="F70" t="s">
        <v>171</v>
      </c>
      <c r="G70" s="2">
        <v>45657</v>
      </c>
      <c r="H70">
        <v>2024</v>
      </c>
      <c r="I70" t="s">
        <v>44</v>
      </c>
      <c r="J70" t="s">
        <v>53</v>
      </c>
      <c r="K70">
        <v>1.5</v>
      </c>
      <c r="L70">
        <v>1.1499999999999999</v>
      </c>
      <c r="M70">
        <v>1.3</v>
      </c>
      <c r="N70">
        <v>1.304347826086957</v>
      </c>
      <c r="O70" t="s">
        <v>245</v>
      </c>
      <c r="P70" t="s">
        <v>245</v>
      </c>
      <c r="Q70" t="s">
        <v>247</v>
      </c>
      <c r="R70">
        <v>1</v>
      </c>
      <c r="S70">
        <v>2</v>
      </c>
      <c r="T70" t="s">
        <v>443</v>
      </c>
    </row>
    <row r="71" spans="1:20" x14ac:dyDescent="0.3">
      <c r="A71">
        <v>334</v>
      </c>
      <c r="B71" t="s">
        <v>248</v>
      </c>
      <c r="C71" t="s">
        <v>474</v>
      </c>
      <c r="D71" t="s">
        <v>130</v>
      </c>
      <c r="E71" t="s">
        <v>66</v>
      </c>
      <c r="F71" t="s">
        <v>32</v>
      </c>
      <c r="G71" s="2">
        <v>44926</v>
      </c>
      <c r="H71">
        <v>2022</v>
      </c>
      <c r="I71" t="s">
        <v>44</v>
      </c>
      <c r="J71" t="s">
        <v>45</v>
      </c>
      <c r="K71">
        <v>86</v>
      </c>
      <c r="L71">
        <v>86</v>
      </c>
      <c r="M71">
        <v>1</v>
      </c>
      <c r="N71">
        <v>1</v>
      </c>
      <c r="O71" t="s">
        <v>35</v>
      </c>
      <c r="P71" t="s">
        <v>35</v>
      </c>
      <c r="Q71" t="s">
        <v>448</v>
      </c>
      <c r="R71">
        <v>0</v>
      </c>
      <c r="S71">
        <v>0</v>
      </c>
      <c r="T71" t="s">
        <v>443</v>
      </c>
    </row>
    <row r="72" spans="1:20" x14ac:dyDescent="0.3">
      <c r="A72">
        <v>334</v>
      </c>
      <c r="B72" t="s">
        <v>248</v>
      </c>
      <c r="C72" t="s">
        <v>474</v>
      </c>
      <c r="D72" t="s">
        <v>130</v>
      </c>
      <c r="E72" t="s">
        <v>66</v>
      </c>
      <c r="F72" t="s">
        <v>32</v>
      </c>
      <c r="G72" s="2">
        <v>45291</v>
      </c>
      <c r="H72">
        <v>2023</v>
      </c>
      <c r="I72" t="s">
        <v>44</v>
      </c>
      <c r="J72" t="s">
        <v>49</v>
      </c>
      <c r="K72">
        <v>88</v>
      </c>
      <c r="L72">
        <v>88.39</v>
      </c>
      <c r="M72">
        <v>1.0044318181818179</v>
      </c>
      <c r="N72">
        <v>1.0044318181818179</v>
      </c>
      <c r="O72" t="s">
        <v>35</v>
      </c>
      <c r="P72" t="s">
        <v>245</v>
      </c>
      <c r="Q72" t="s">
        <v>249</v>
      </c>
      <c r="R72">
        <v>0</v>
      </c>
      <c r="S72">
        <v>1</v>
      </c>
      <c r="T72" t="s">
        <v>443</v>
      </c>
    </row>
    <row r="73" spans="1:20" x14ac:dyDescent="0.3">
      <c r="A73">
        <v>334</v>
      </c>
      <c r="B73" t="s">
        <v>248</v>
      </c>
      <c r="C73" t="s">
        <v>474</v>
      </c>
      <c r="D73" t="s">
        <v>130</v>
      </c>
      <c r="E73" t="s">
        <v>66</v>
      </c>
      <c r="F73" t="s">
        <v>32</v>
      </c>
      <c r="G73" s="2">
        <v>45657</v>
      </c>
      <c r="H73">
        <v>2024</v>
      </c>
      <c r="I73" t="s">
        <v>44</v>
      </c>
      <c r="J73" t="s">
        <v>53</v>
      </c>
      <c r="K73">
        <v>88</v>
      </c>
      <c r="L73">
        <v>88.84</v>
      </c>
      <c r="M73">
        <v>1.009545454545455</v>
      </c>
      <c r="N73">
        <v>1.009545454545455</v>
      </c>
      <c r="O73" t="s">
        <v>35</v>
      </c>
      <c r="P73" t="s">
        <v>245</v>
      </c>
      <c r="Q73" t="s">
        <v>251</v>
      </c>
      <c r="R73">
        <v>0</v>
      </c>
      <c r="S73">
        <v>1</v>
      </c>
      <c r="T73" t="s">
        <v>443</v>
      </c>
    </row>
    <row r="74" spans="1:20" x14ac:dyDescent="0.3">
      <c r="A74">
        <v>335</v>
      </c>
      <c r="B74" t="s">
        <v>252</v>
      </c>
      <c r="C74" t="s">
        <v>474</v>
      </c>
      <c r="D74" t="s">
        <v>130</v>
      </c>
      <c r="E74" t="s">
        <v>66</v>
      </c>
      <c r="F74" t="s">
        <v>32</v>
      </c>
      <c r="G74" s="2">
        <v>45291</v>
      </c>
      <c r="H74">
        <v>2023</v>
      </c>
      <c r="I74" t="s">
        <v>44</v>
      </c>
      <c r="J74" t="s">
        <v>49</v>
      </c>
      <c r="K74">
        <v>80</v>
      </c>
      <c r="L74">
        <v>93.85</v>
      </c>
      <c r="M74">
        <v>1.173125</v>
      </c>
      <c r="N74">
        <v>1.173125</v>
      </c>
      <c r="O74" t="s">
        <v>58</v>
      </c>
      <c r="P74" t="s">
        <v>58</v>
      </c>
      <c r="Q74" t="s">
        <v>253</v>
      </c>
      <c r="R74">
        <v>0</v>
      </c>
      <c r="S74">
        <v>0</v>
      </c>
      <c r="T74" t="s">
        <v>443</v>
      </c>
    </row>
    <row r="75" spans="1:20" x14ac:dyDescent="0.3">
      <c r="A75">
        <v>335</v>
      </c>
      <c r="B75" t="s">
        <v>252</v>
      </c>
      <c r="C75" t="s">
        <v>474</v>
      </c>
      <c r="D75" t="s">
        <v>130</v>
      </c>
      <c r="E75" t="s">
        <v>66</v>
      </c>
      <c r="F75" t="s">
        <v>32</v>
      </c>
      <c r="G75" s="2">
        <v>45657</v>
      </c>
      <c r="H75">
        <v>2024</v>
      </c>
      <c r="I75" t="s">
        <v>44</v>
      </c>
      <c r="J75" t="s">
        <v>53</v>
      </c>
      <c r="K75">
        <v>82</v>
      </c>
      <c r="L75">
        <v>80.95</v>
      </c>
      <c r="M75">
        <v>0.9871951219512195</v>
      </c>
      <c r="N75">
        <v>0.9871951219512195</v>
      </c>
      <c r="O75" t="s">
        <v>58</v>
      </c>
      <c r="P75" t="s">
        <v>58</v>
      </c>
      <c r="Q75" t="s">
        <v>254</v>
      </c>
      <c r="R75">
        <v>0</v>
      </c>
      <c r="S75">
        <v>0</v>
      </c>
      <c r="T75" t="s">
        <v>443</v>
      </c>
    </row>
    <row r="76" spans="1:20" x14ac:dyDescent="0.3">
      <c r="A76">
        <v>339</v>
      </c>
      <c r="B76" t="s">
        <v>255</v>
      </c>
      <c r="C76" t="s">
        <v>37</v>
      </c>
      <c r="D76" t="s">
        <v>256</v>
      </c>
      <c r="E76" t="s">
        <v>66</v>
      </c>
      <c r="F76" t="s">
        <v>32</v>
      </c>
      <c r="G76" s="2">
        <v>45291</v>
      </c>
      <c r="H76">
        <v>2023</v>
      </c>
      <c r="I76" t="s">
        <v>44</v>
      </c>
      <c r="J76" t="s">
        <v>49</v>
      </c>
      <c r="K76">
        <v>30</v>
      </c>
      <c r="L76">
        <v>28.57</v>
      </c>
      <c r="M76">
        <v>0.95233333333333337</v>
      </c>
      <c r="N76">
        <v>0.95233333333333337</v>
      </c>
      <c r="O76" t="s">
        <v>58</v>
      </c>
      <c r="P76" t="s">
        <v>58</v>
      </c>
      <c r="Q76" t="s">
        <v>257</v>
      </c>
      <c r="R76">
        <v>0</v>
      </c>
      <c r="S76">
        <v>1</v>
      </c>
      <c r="T76" t="s">
        <v>443</v>
      </c>
    </row>
    <row r="77" spans="1:20" x14ac:dyDescent="0.3">
      <c r="A77">
        <v>339</v>
      </c>
      <c r="B77" t="s">
        <v>255</v>
      </c>
      <c r="C77" t="s">
        <v>37</v>
      </c>
      <c r="D77" t="s">
        <v>256</v>
      </c>
      <c r="E77" t="s">
        <v>66</v>
      </c>
      <c r="F77" t="s">
        <v>32</v>
      </c>
      <c r="G77" s="2">
        <v>45657</v>
      </c>
      <c r="H77">
        <v>2024</v>
      </c>
      <c r="I77" t="s">
        <v>44</v>
      </c>
      <c r="J77" t="s">
        <v>53</v>
      </c>
      <c r="K77">
        <v>30</v>
      </c>
      <c r="L77">
        <v>30.3</v>
      </c>
      <c r="M77">
        <v>1.01</v>
      </c>
      <c r="N77">
        <v>1.01</v>
      </c>
      <c r="O77" t="s">
        <v>58</v>
      </c>
      <c r="P77" t="s">
        <v>58</v>
      </c>
      <c r="Q77" t="s">
        <v>258</v>
      </c>
      <c r="R77">
        <v>0</v>
      </c>
      <c r="S77">
        <v>1</v>
      </c>
      <c r="T77" t="s">
        <v>443</v>
      </c>
    </row>
    <row r="78" spans="1:20" x14ac:dyDescent="0.3">
      <c r="A78">
        <v>460</v>
      </c>
      <c r="B78" t="s">
        <v>476</v>
      </c>
      <c r="C78" t="s">
        <v>474</v>
      </c>
      <c r="D78" t="s">
        <v>130</v>
      </c>
      <c r="E78" t="s">
        <v>66</v>
      </c>
      <c r="F78" t="s">
        <v>32</v>
      </c>
      <c r="G78" s="2">
        <v>45291</v>
      </c>
      <c r="H78">
        <v>2023</v>
      </c>
      <c r="I78" t="s">
        <v>44</v>
      </c>
      <c r="J78" t="s">
        <v>49</v>
      </c>
      <c r="L78">
        <v>94.85</v>
      </c>
      <c r="O78" t="s">
        <v>284</v>
      </c>
      <c r="P78" t="s">
        <v>58</v>
      </c>
      <c r="Q78" t="s">
        <v>449</v>
      </c>
      <c r="R78">
        <v>0</v>
      </c>
      <c r="S78">
        <v>0</v>
      </c>
      <c r="T78" t="s">
        <v>443</v>
      </c>
    </row>
    <row r="79" spans="1:20" x14ac:dyDescent="0.3">
      <c r="A79">
        <v>353</v>
      </c>
      <c r="B79" t="s">
        <v>259</v>
      </c>
      <c r="C79" t="s">
        <v>37</v>
      </c>
      <c r="D79" t="s">
        <v>260</v>
      </c>
      <c r="E79" t="s">
        <v>31</v>
      </c>
      <c r="F79" t="s">
        <v>32</v>
      </c>
      <c r="G79" s="2">
        <v>45291</v>
      </c>
      <c r="H79">
        <v>2023</v>
      </c>
      <c r="I79" t="s">
        <v>44</v>
      </c>
      <c r="J79" t="s">
        <v>49</v>
      </c>
      <c r="K79">
        <v>35</v>
      </c>
      <c r="L79">
        <v>40.384615384615401</v>
      </c>
      <c r="M79">
        <v>1.153846153846154</v>
      </c>
      <c r="N79">
        <v>1.153846153846154</v>
      </c>
      <c r="O79" t="s">
        <v>35</v>
      </c>
      <c r="P79" t="s">
        <v>35</v>
      </c>
      <c r="Q79" t="s">
        <v>265</v>
      </c>
      <c r="R79">
        <v>1</v>
      </c>
      <c r="S79">
        <v>1</v>
      </c>
      <c r="T79" t="s">
        <v>443</v>
      </c>
    </row>
    <row r="80" spans="1:20" x14ac:dyDescent="0.3">
      <c r="A80">
        <v>361</v>
      </c>
      <c r="B80" t="s">
        <v>470</v>
      </c>
      <c r="C80" t="s">
        <v>37</v>
      </c>
      <c r="D80" t="s">
        <v>267</v>
      </c>
      <c r="E80" t="s">
        <v>66</v>
      </c>
      <c r="F80" t="s">
        <v>32</v>
      </c>
      <c r="G80" s="2">
        <v>45291</v>
      </c>
      <c r="H80">
        <v>2023</v>
      </c>
      <c r="I80" t="s">
        <v>44</v>
      </c>
      <c r="J80" t="s">
        <v>49</v>
      </c>
      <c r="K80">
        <v>4.5</v>
      </c>
      <c r="L80">
        <v>4.5599999999999996</v>
      </c>
      <c r="M80">
        <v>1.013333333333333</v>
      </c>
      <c r="N80">
        <v>1.013333333333333</v>
      </c>
      <c r="O80" t="s">
        <v>245</v>
      </c>
      <c r="P80" t="s">
        <v>245</v>
      </c>
      <c r="Q80" t="s">
        <v>268</v>
      </c>
      <c r="R80">
        <v>2</v>
      </c>
      <c r="S80">
        <v>2</v>
      </c>
      <c r="T80" t="s">
        <v>443</v>
      </c>
    </row>
    <row r="81" spans="1:20" x14ac:dyDescent="0.3">
      <c r="A81">
        <v>361</v>
      </c>
      <c r="B81" t="s">
        <v>470</v>
      </c>
      <c r="C81" t="s">
        <v>37</v>
      </c>
      <c r="D81" t="s">
        <v>267</v>
      </c>
      <c r="E81" t="s">
        <v>66</v>
      </c>
      <c r="F81" t="s">
        <v>32</v>
      </c>
      <c r="G81" s="2">
        <v>45657</v>
      </c>
      <c r="H81">
        <v>2024</v>
      </c>
      <c r="I81" t="s">
        <v>44</v>
      </c>
      <c r="J81" t="s">
        <v>53</v>
      </c>
      <c r="K81">
        <v>0</v>
      </c>
      <c r="L81">
        <v>0</v>
      </c>
      <c r="O81" t="s">
        <v>429</v>
      </c>
      <c r="P81" t="s">
        <v>429</v>
      </c>
      <c r="Q81" t="s">
        <v>270</v>
      </c>
      <c r="R81">
        <v>2</v>
      </c>
      <c r="S81">
        <v>2</v>
      </c>
      <c r="T81" t="s">
        <v>443</v>
      </c>
    </row>
    <row r="82" spans="1:20" x14ac:dyDescent="0.3">
      <c r="A82">
        <v>364</v>
      </c>
      <c r="B82" t="s">
        <v>271</v>
      </c>
      <c r="C82" t="s">
        <v>474</v>
      </c>
      <c r="D82" t="s">
        <v>267</v>
      </c>
      <c r="E82" t="s">
        <v>31</v>
      </c>
      <c r="F82" t="s">
        <v>32</v>
      </c>
      <c r="G82" s="2">
        <v>45291</v>
      </c>
      <c r="H82">
        <v>2023</v>
      </c>
      <c r="I82" t="s">
        <v>44</v>
      </c>
      <c r="J82" t="s">
        <v>49</v>
      </c>
      <c r="L82">
        <v>78450</v>
      </c>
      <c r="O82" t="s">
        <v>284</v>
      </c>
      <c r="P82" t="s">
        <v>35</v>
      </c>
      <c r="Q82" t="s">
        <v>276</v>
      </c>
      <c r="R82">
        <v>0</v>
      </c>
      <c r="S82">
        <v>0</v>
      </c>
      <c r="T82" t="s">
        <v>443</v>
      </c>
    </row>
    <row r="83" spans="1:20" x14ac:dyDescent="0.3">
      <c r="A83">
        <v>364</v>
      </c>
      <c r="B83" t="s">
        <v>271</v>
      </c>
      <c r="C83" t="s">
        <v>474</v>
      </c>
      <c r="D83" t="s">
        <v>267</v>
      </c>
      <c r="E83" t="s">
        <v>31</v>
      </c>
      <c r="F83" t="s">
        <v>32</v>
      </c>
      <c r="G83" s="2">
        <v>45657</v>
      </c>
      <c r="H83">
        <v>2024</v>
      </c>
      <c r="I83" t="s">
        <v>44</v>
      </c>
      <c r="J83" t="s">
        <v>53</v>
      </c>
      <c r="K83">
        <v>79235</v>
      </c>
      <c r="L83">
        <v>88704</v>
      </c>
      <c r="M83">
        <v>1.119505269136114</v>
      </c>
      <c r="N83">
        <v>1.119505269136114</v>
      </c>
      <c r="O83" t="s">
        <v>35</v>
      </c>
      <c r="P83" t="s">
        <v>35</v>
      </c>
      <c r="Q83" t="s">
        <v>278</v>
      </c>
      <c r="R83">
        <v>0</v>
      </c>
      <c r="S83">
        <v>0</v>
      </c>
      <c r="T83" t="s">
        <v>443</v>
      </c>
    </row>
    <row r="84" spans="1:20" x14ac:dyDescent="0.3">
      <c r="A84">
        <v>367</v>
      </c>
      <c r="B84" t="s">
        <v>279</v>
      </c>
      <c r="C84" t="s">
        <v>37</v>
      </c>
      <c r="D84" t="s">
        <v>267</v>
      </c>
      <c r="E84" t="s">
        <v>66</v>
      </c>
      <c r="F84" t="s">
        <v>32</v>
      </c>
      <c r="G84" s="2">
        <v>44926</v>
      </c>
      <c r="H84">
        <v>2022</v>
      </c>
      <c r="I84" t="s">
        <v>44</v>
      </c>
      <c r="J84" t="s">
        <v>45</v>
      </c>
      <c r="K84">
        <v>5.7</v>
      </c>
      <c r="L84">
        <v>6.7</v>
      </c>
      <c r="M84">
        <v>1.1754385964912279</v>
      </c>
      <c r="N84">
        <v>1.1754385964912279</v>
      </c>
      <c r="O84" t="s">
        <v>58</v>
      </c>
      <c r="P84" t="s">
        <v>58</v>
      </c>
      <c r="Q84" t="s">
        <v>450</v>
      </c>
      <c r="R84">
        <v>1</v>
      </c>
      <c r="S84">
        <v>1</v>
      </c>
      <c r="T84" t="s">
        <v>443</v>
      </c>
    </row>
    <row r="85" spans="1:20" x14ac:dyDescent="0.3">
      <c r="A85">
        <v>367</v>
      </c>
      <c r="B85" t="s">
        <v>279</v>
      </c>
      <c r="C85" t="s">
        <v>37</v>
      </c>
      <c r="D85" t="s">
        <v>267</v>
      </c>
      <c r="E85" t="s">
        <v>66</v>
      </c>
      <c r="F85" t="s">
        <v>32</v>
      </c>
      <c r="G85" s="2">
        <v>45291</v>
      </c>
      <c r="H85">
        <v>2023</v>
      </c>
      <c r="I85" t="s">
        <v>44</v>
      </c>
      <c r="J85" t="s">
        <v>49</v>
      </c>
      <c r="K85">
        <v>5</v>
      </c>
      <c r="L85">
        <v>6.25</v>
      </c>
      <c r="M85">
        <v>1.25</v>
      </c>
      <c r="N85">
        <v>1.25</v>
      </c>
      <c r="O85" t="s">
        <v>58</v>
      </c>
      <c r="P85" t="s">
        <v>58</v>
      </c>
      <c r="Q85" t="s">
        <v>280</v>
      </c>
      <c r="R85">
        <v>0</v>
      </c>
      <c r="S85">
        <v>2</v>
      </c>
      <c r="T85" t="s">
        <v>443</v>
      </c>
    </row>
    <row r="86" spans="1:20" x14ac:dyDescent="0.3">
      <c r="A86">
        <v>367</v>
      </c>
      <c r="B86" t="s">
        <v>279</v>
      </c>
      <c r="C86" t="s">
        <v>37</v>
      </c>
      <c r="D86" t="s">
        <v>267</v>
      </c>
      <c r="E86" t="s">
        <v>66</v>
      </c>
      <c r="F86" t="s">
        <v>32</v>
      </c>
      <c r="G86" s="2">
        <v>45657</v>
      </c>
      <c r="H86">
        <v>2024</v>
      </c>
      <c r="I86" t="s">
        <v>44</v>
      </c>
      <c r="J86" t="s">
        <v>53</v>
      </c>
      <c r="K86">
        <v>5</v>
      </c>
      <c r="L86">
        <v>4.96</v>
      </c>
      <c r="M86">
        <v>0.99199999999999999</v>
      </c>
      <c r="N86">
        <v>0.99199999999999999</v>
      </c>
      <c r="O86" t="s">
        <v>58</v>
      </c>
      <c r="P86" t="s">
        <v>58</v>
      </c>
      <c r="Q86" t="s">
        <v>282</v>
      </c>
      <c r="R86">
        <v>0</v>
      </c>
      <c r="S86">
        <v>2</v>
      </c>
      <c r="T86" t="s">
        <v>443</v>
      </c>
    </row>
    <row r="87" spans="1:20" x14ac:dyDescent="0.3">
      <c r="A87">
        <v>369</v>
      </c>
      <c r="B87" t="s">
        <v>283</v>
      </c>
      <c r="C87" t="s">
        <v>37</v>
      </c>
      <c r="D87" t="s">
        <v>267</v>
      </c>
      <c r="E87" t="s">
        <v>31</v>
      </c>
      <c r="F87" t="s">
        <v>32</v>
      </c>
      <c r="G87" s="2">
        <v>45291</v>
      </c>
      <c r="H87">
        <v>2023</v>
      </c>
      <c r="I87" t="s">
        <v>44</v>
      </c>
      <c r="J87" t="s">
        <v>49</v>
      </c>
      <c r="L87">
        <v>174</v>
      </c>
      <c r="O87" t="s">
        <v>284</v>
      </c>
      <c r="P87" t="s">
        <v>35</v>
      </c>
      <c r="Q87" t="s">
        <v>286</v>
      </c>
      <c r="R87">
        <v>0</v>
      </c>
      <c r="S87">
        <v>0</v>
      </c>
      <c r="T87" t="s">
        <v>443</v>
      </c>
    </row>
    <row r="88" spans="1:20" x14ac:dyDescent="0.3">
      <c r="A88">
        <v>369</v>
      </c>
      <c r="B88" t="s">
        <v>283</v>
      </c>
      <c r="C88" t="s">
        <v>37</v>
      </c>
      <c r="D88" t="s">
        <v>267</v>
      </c>
      <c r="E88" t="s">
        <v>31</v>
      </c>
      <c r="F88" t="s">
        <v>32</v>
      </c>
      <c r="G88" s="2">
        <v>45657</v>
      </c>
      <c r="H88">
        <v>2024</v>
      </c>
      <c r="I88" t="s">
        <v>44</v>
      </c>
      <c r="J88" t="s">
        <v>53</v>
      </c>
      <c r="K88">
        <v>188</v>
      </c>
      <c r="L88">
        <v>138</v>
      </c>
      <c r="M88">
        <v>0.73404255319148937</v>
      </c>
      <c r="N88">
        <v>0.73404255319148937</v>
      </c>
      <c r="O88" t="s">
        <v>35</v>
      </c>
      <c r="P88" t="s">
        <v>35</v>
      </c>
      <c r="Q88" t="s">
        <v>288</v>
      </c>
      <c r="R88">
        <v>0</v>
      </c>
      <c r="S88">
        <v>0</v>
      </c>
      <c r="T88" t="s">
        <v>443</v>
      </c>
    </row>
    <row r="89" spans="1:20" x14ac:dyDescent="0.3">
      <c r="A89">
        <v>376</v>
      </c>
      <c r="B89" t="s">
        <v>473</v>
      </c>
      <c r="C89" t="s">
        <v>37</v>
      </c>
      <c r="D89" t="s">
        <v>142</v>
      </c>
      <c r="E89" t="s">
        <v>31</v>
      </c>
      <c r="F89" t="s">
        <v>32</v>
      </c>
      <c r="G89" s="2">
        <v>44925</v>
      </c>
      <c r="H89">
        <v>2022</v>
      </c>
      <c r="I89" t="s">
        <v>44</v>
      </c>
      <c r="J89" t="s">
        <v>45</v>
      </c>
      <c r="K89">
        <v>16064</v>
      </c>
      <c r="L89">
        <v>24140</v>
      </c>
      <c r="M89">
        <v>1.3</v>
      </c>
      <c r="N89">
        <v>1.502739043824701</v>
      </c>
      <c r="O89" t="s">
        <v>143</v>
      </c>
      <c r="P89" t="s">
        <v>143</v>
      </c>
      <c r="Q89" t="s">
        <v>291</v>
      </c>
      <c r="R89">
        <v>0</v>
      </c>
      <c r="S89">
        <v>0</v>
      </c>
      <c r="T89" t="s">
        <v>443</v>
      </c>
    </row>
    <row r="90" spans="1:20" x14ac:dyDescent="0.3">
      <c r="A90">
        <v>376</v>
      </c>
      <c r="B90" t="s">
        <v>473</v>
      </c>
      <c r="C90" t="s">
        <v>37</v>
      </c>
      <c r="D90" t="s">
        <v>142</v>
      </c>
      <c r="E90" t="s">
        <v>31</v>
      </c>
      <c r="F90" t="s">
        <v>32</v>
      </c>
      <c r="G90" s="2">
        <v>45291</v>
      </c>
      <c r="H90">
        <v>2023</v>
      </c>
      <c r="I90" t="s">
        <v>44</v>
      </c>
      <c r="J90" t="s">
        <v>49</v>
      </c>
      <c r="K90">
        <v>26073.47270271854</v>
      </c>
      <c r="L90">
        <v>26403.087925999949</v>
      </c>
      <c r="M90">
        <v>1.012641784507939</v>
      </c>
      <c r="N90">
        <v>1.012641784507939</v>
      </c>
      <c r="O90" t="s">
        <v>143</v>
      </c>
      <c r="P90" t="s">
        <v>143</v>
      </c>
      <c r="Q90" t="s">
        <v>293</v>
      </c>
      <c r="R90">
        <v>0</v>
      </c>
      <c r="S90">
        <v>0</v>
      </c>
      <c r="T90" t="s">
        <v>443</v>
      </c>
    </row>
    <row r="91" spans="1:20" x14ac:dyDescent="0.3">
      <c r="A91">
        <v>376</v>
      </c>
      <c r="B91" t="s">
        <v>473</v>
      </c>
      <c r="C91" t="s">
        <v>37</v>
      </c>
      <c r="D91" t="s">
        <v>142</v>
      </c>
      <c r="E91" t="s">
        <v>31</v>
      </c>
      <c r="F91" t="s">
        <v>32</v>
      </c>
      <c r="G91" s="2">
        <v>45657</v>
      </c>
      <c r="H91">
        <v>2024</v>
      </c>
      <c r="I91" t="s">
        <v>44</v>
      </c>
      <c r="J91" t="s">
        <v>53</v>
      </c>
      <c r="K91">
        <v>27010.108280834509</v>
      </c>
      <c r="L91">
        <v>29467.922112</v>
      </c>
      <c r="M91">
        <v>1.0909960747143499</v>
      </c>
      <c r="N91">
        <v>1.0909960747143499</v>
      </c>
      <c r="O91" t="s">
        <v>143</v>
      </c>
      <c r="P91" t="s">
        <v>143</v>
      </c>
      <c r="Q91" t="s">
        <v>295</v>
      </c>
      <c r="R91">
        <v>0</v>
      </c>
      <c r="S91">
        <v>0</v>
      </c>
      <c r="T91" t="s">
        <v>443</v>
      </c>
    </row>
    <row r="92" spans="1:20" x14ac:dyDescent="0.3">
      <c r="A92">
        <v>377</v>
      </c>
      <c r="B92" t="s">
        <v>296</v>
      </c>
      <c r="C92" t="s">
        <v>37</v>
      </c>
      <c r="D92" t="s">
        <v>142</v>
      </c>
      <c r="E92" t="s">
        <v>31</v>
      </c>
      <c r="F92" t="s">
        <v>171</v>
      </c>
      <c r="G92" s="2">
        <v>45291</v>
      </c>
      <c r="H92">
        <v>2023</v>
      </c>
      <c r="I92" t="s">
        <v>44</v>
      </c>
      <c r="J92" t="s">
        <v>49</v>
      </c>
      <c r="K92">
        <v>12518.005306706251</v>
      </c>
      <c r="L92">
        <v>7607.138418999999</v>
      </c>
      <c r="M92">
        <v>1.3</v>
      </c>
      <c r="N92">
        <v>1.64556034309046</v>
      </c>
      <c r="O92" t="s">
        <v>143</v>
      </c>
      <c r="P92" t="s">
        <v>143</v>
      </c>
      <c r="Q92" t="s">
        <v>298</v>
      </c>
      <c r="R92">
        <v>0</v>
      </c>
      <c r="S92">
        <v>0</v>
      </c>
      <c r="T92" t="s">
        <v>443</v>
      </c>
    </row>
    <row r="93" spans="1:20" x14ac:dyDescent="0.3">
      <c r="A93">
        <v>377</v>
      </c>
      <c r="B93" t="s">
        <v>296</v>
      </c>
      <c r="C93" t="s">
        <v>37</v>
      </c>
      <c r="D93" t="s">
        <v>142</v>
      </c>
      <c r="E93" t="s">
        <v>31</v>
      </c>
      <c r="F93" t="s">
        <v>171</v>
      </c>
      <c r="G93" s="2">
        <v>45657</v>
      </c>
      <c r="H93">
        <v>2024</v>
      </c>
      <c r="I93" t="s">
        <v>44</v>
      </c>
      <c r="J93" t="s">
        <v>53</v>
      </c>
      <c r="K93">
        <v>9557.1950106811255</v>
      </c>
      <c r="L93">
        <v>11947.626618</v>
      </c>
      <c r="M93">
        <v>1.2501185342192269</v>
      </c>
      <c r="N93">
        <v>1.2501185342192269</v>
      </c>
      <c r="O93" t="s">
        <v>143</v>
      </c>
      <c r="P93" t="s">
        <v>143</v>
      </c>
      <c r="Q93" t="s">
        <v>300</v>
      </c>
      <c r="R93">
        <v>0</v>
      </c>
      <c r="S93">
        <v>0</v>
      </c>
      <c r="T93" t="s">
        <v>443</v>
      </c>
    </row>
    <row r="94" spans="1:20" x14ac:dyDescent="0.3">
      <c r="A94">
        <v>379</v>
      </c>
      <c r="B94" t="s">
        <v>301</v>
      </c>
      <c r="C94" t="s">
        <v>37</v>
      </c>
      <c r="D94" t="s">
        <v>302</v>
      </c>
      <c r="E94" t="s">
        <v>31</v>
      </c>
      <c r="F94" t="s">
        <v>32</v>
      </c>
      <c r="G94" s="2">
        <v>44926</v>
      </c>
      <c r="H94">
        <v>2022</v>
      </c>
      <c r="I94" t="s">
        <v>44</v>
      </c>
      <c r="J94" t="s">
        <v>45</v>
      </c>
      <c r="K94">
        <v>20000</v>
      </c>
      <c r="L94">
        <v>20591</v>
      </c>
      <c r="M94">
        <v>1.02955</v>
      </c>
      <c r="N94">
        <v>1.02955</v>
      </c>
      <c r="O94" t="s">
        <v>35</v>
      </c>
      <c r="P94" t="s">
        <v>35</v>
      </c>
      <c r="Q94" t="s">
        <v>304</v>
      </c>
      <c r="R94">
        <v>0</v>
      </c>
      <c r="S94">
        <v>0</v>
      </c>
      <c r="T94" t="s">
        <v>443</v>
      </c>
    </row>
    <row r="95" spans="1:20" x14ac:dyDescent="0.3">
      <c r="A95">
        <v>379</v>
      </c>
      <c r="B95" t="s">
        <v>301</v>
      </c>
      <c r="C95" t="s">
        <v>37</v>
      </c>
      <c r="D95" t="s">
        <v>302</v>
      </c>
      <c r="E95" t="s">
        <v>31</v>
      </c>
      <c r="F95" t="s">
        <v>32</v>
      </c>
      <c r="G95" s="2">
        <v>45291</v>
      </c>
      <c r="H95">
        <v>2023</v>
      </c>
      <c r="I95" t="s">
        <v>44</v>
      </c>
      <c r="J95" t="s">
        <v>49</v>
      </c>
      <c r="K95">
        <v>22006</v>
      </c>
      <c r="L95">
        <v>22986</v>
      </c>
      <c r="M95">
        <v>1.0445333090975191</v>
      </c>
      <c r="N95">
        <v>1.0445333090975191</v>
      </c>
      <c r="O95" t="s">
        <v>35</v>
      </c>
      <c r="P95" t="s">
        <v>35</v>
      </c>
      <c r="Q95" t="s">
        <v>306</v>
      </c>
      <c r="R95">
        <v>0</v>
      </c>
      <c r="S95">
        <v>0</v>
      </c>
      <c r="T95" t="s">
        <v>443</v>
      </c>
    </row>
    <row r="96" spans="1:20" x14ac:dyDescent="0.3">
      <c r="A96">
        <v>379</v>
      </c>
      <c r="B96" t="s">
        <v>301</v>
      </c>
      <c r="C96" t="s">
        <v>37</v>
      </c>
      <c r="D96" t="s">
        <v>302</v>
      </c>
      <c r="E96" t="s">
        <v>31</v>
      </c>
      <c r="F96" t="s">
        <v>32</v>
      </c>
      <c r="G96" s="2">
        <v>45657</v>
      </c>
      <c r="H96">
        <v>2024</v>
      </c>
      <c r="I96" t="s">
        <v>44</v>
      </c>
      <c r="J96" t="s">
        <v>53</v>
      </c>
      <c r="K96">
        <v>24265</v>
      </c>
      <c r="L96">
        <v>23556</v>
      </c>
      <c r="M96">
        <v>0.97078096023078508</v>
      </c>
      <c r="N96">
        <v>0.97078096023078508</v>
      </c>
      <c r="O96" t="s">
        <v>35</v>
      </c>
      <c r="P96" t="s">
        <v>35</v>
      </c>
      <c r="Q96" t="s">
        <v>308</v>
      </c>
      <c r="R96">
        <v>0</v>
      </c>
      <c r="S96">
        <v>0</v>
      </c>
      <c r="T96" t="s">
        <v>443</v>
      </c>
    </row>
    <row r="97" spans="1:20" x14ac:dyDescent="0.3">
      <c r="A97">
        <v>385</v>
      </c>
      <c r="B97" t="s">
        <v>309</v>
      </c>
      <c r="C97" t="s">
        <v>37</v>
      </c>
      <c r="D97" t="s">
        <v>310</v>
      </c>
      <c r="E97" t="s">
        <v>31</v>
      </c>
      <c r="F97" t="s">
        <v>32</v>
      </c>
      <c r="G97" s="2">
        <v>44926</v>
      </c>
      <c r="H97">
        <v>2022</v>
      </c>
      <c r="I97" t="s">
        <v>44</v>
      </c>
      <c r="J97" t="s">
        <v>45</v>
      </c>
      <c r="K97">
        <v>13361</v>
      </c>
      <c r="L97">
        <v>9700</v>
      </c>
      <c r="M97">
        <v>0.72599356335603626</v>
      </c>
      <c r="N97">
        <v>0.72599356335603626</v>
      </c>
      <c r="O97" t="s">
        <v>143</v>
      </c>
      <c r="P97" t="s">
        <v>143</v>
      </c>
      <c r="Q97" t="s">
        <v>315</v>
      </c>
      <c r="R97">
        <v>0</v>
      </c>
      <c r="S97">
        <v>0</v>
      </c>
      <c r="T97" t="s">
        <v>443</v>
      </c>
    </row>
    <row r="98" spans="1:20" x14ac:dyDescent="0.3">
      <c r="A98">
        <v>385</v>
      </c>
      <c r="B98" t="s">
        <v>309</v>
      </c>
      <c r="C98" t="s">
        <v>37</v>
      </c>
      <c r="D98" t="s">
        <v>310</v>
      </c>
      <c r="E98" t="s">
        <v>31</v>
      </c>
      <c r="F98" t="s">
        <v>32</v>
      </c>
      <c r="G98" s="2">
        <v>45291</v>
      </c>
      <c r="H98">
        <v>2023</v>
      </c>
      <c r="I98" t="s">
        <v>44</v>
      </c>
      <c r="J98" t="s">
        <v>49</v>
      </c>
      <c r="K98">
        <v>14097.721</v>
      </c>
      <c r="L98">
        <v>17698.153608000001</v>
      </c>
      <c r="M98">
        <v>1.2553911095275609</v>
      </c>
      <c r="N98">
        <v>1.2553911095275609</v>
      </c>
      <c r="O98" t="s">
        <v>143</v>
      </c>
      <c r="P98" t="s">
        <v>143</v>
      </c>
      <c r="Q98" t="s">
        <v>317</v>
      </c>
      <c r="R98">
        <v>0</v>
      </c>
      <c r="S98">
        <v>0</v>
      </c>
      <c r="T98" t="s">
        <v>443</v>
      </c>
    </row>
    <row r="99" spans="1:20" x14ac:dyDescent="0.3">
      <c r="A99">
        <v>385</v>
      </c>
      <c r="B99" t="s">
        <v>309</v>
      </c>
      <c r="C99" t="s">
        <v>37</v>
      </c>
      <c r="D99" t="s">
        <v>310</v>
      </c>
      <c r="E99" t="s">
        <v>31</v>
      </c>
      <c r="F99" t="s">
        <v>32</v>
      </c>
      <c r="G99" s="2">
        <v>45657</v>
      </c>
      <c r="H99">
        <v>2024</v>
      </c>
      <c r="I99" t="s">
        <v>44</v>
      </c>
      <c r="J99" t="s">
        <v>53</v>
      </c>
      <c r="K99">
        <v>15507.4931</v>
      </c>
      <c r="L99">
        <v>13245.834425999999</v>
      </c>
      <c r="M99">
        <v>0.85415704141116133</v>
      </c>
      <c r="N99">
        <v>0.85415704141116133</v>
      </c>
      <c r="O99" t="s">
        <v>143</v>
      </c>
      <c r="P99" t="s">
        <v>143</v>
      </c>
      <c r="Q99" t="s">
        <v>319</v>
      </c>
      <c r="R99">
        <v>0</v>
      </c>
      <c r="S99">
        <v>0</v>
      </c>
      <c r="T99" t="s">
        <v>443</v>
      </c>
    </row>
    <row r="100" spans="1:20" x14ac:dyDescent="0.3">
      <c r="A100">
        <v>423</v>
      </c>
      <c r="B100" t="s">
        <v>320</v>
      </c>
      <c r="C100" t="s">
        <v>37</v>
      </c>
      <c r="D100" t="s">
        <v>83</v>
      </c>
      <c r="E100" t="s">
        <v>66</v>
      </c>
      <c r="F100" t="s">
        <v>32</v>
      </c>
      <c r="G100" s="2">
        <v>44926</v>
      </c>
      <c r="H100">
        <v>2022</v>
      </c>
      <c r="I100" t="s">
        <v>44</v>
      </c>
      <c r="J100" t="s">
        <v>45</v>
      </c>
      <c r="K100">
        <v>8.8000000000000007</v>
      </c>
      <c r="L100">
        <v>7.8</v>
      </c>
      <c r="M100">
        <v>0.88636363636363624</v>
      </c>
      <c r="N100">
        <v>0.88636363636363624</v>
      </c>
      <c r="O100" t="s">
        <v>245</v>
      </c>
      <c r="P100" t="s">
        <v>245</v>
      </c>
      <c r="Q100" t="s">
        <v>321</v>
      </c>
      <c r="R100">
        <v>1</v>
      </c>
      <c r="S100">
        <v>1</v>
      </c>
      <c r="T100" t="s">
        <v>443</v>
      </c>
    </row>
    <row r="101" spans="1:20" x14ac:dyDescent="0.3">
      <c r="A101">
        <v>423</v>
      </c>
      <c r="B101" t="s">
        <v>320</v>
      </c>
      <c r="C101" t="s">
        <v>37</v>
      </c>
      <c r="D101" t="s">
        <v>83</v>
      </c>
      <c r="E101" t="s">
        <v>66</v>
      </c>
      <c r="F101" t="s">
        <v>32</v>
      </c>
      <c r="G101" s="2">
        <v>45291</v>
      </c>
      <c r="H101">
        <v>2023</v>
      </c>
      <c r="I101" t="s">
        <v>44</v>
      </c>
      <c r="J101" t="s">
        <v>49</v>
      </c>
      <c r="K101">
        <v>8.4</v>
      </c>
      <c r="L101">
        <v>7.9</v>
      </c>
      <c r="M101">
        <v>0.94047619047619047</v>
      </c>
      <c r="N101">
        <v>0.94047619047619047</v>
      </c>
      <c r="O101" t="s">
        <v>245</v>
      </c>
      <c r="P101" t="s">
        <v>245</v>
      </c>
      <c r="Q101" t="s">
        <v>323</v>
      </c>
      <c r="R101">
        <v>1</v>
      </c>
      <c r="S101">
        <v>1</v>
      </c>
      <c r="T101" t="s">
        <v>443</v>
      </c>
    </row>
    <row r="102" spans="1:20" x14ac:dyDescent="0.3">
      <c r="A102">
        <v>423</v>
      </c>
      <c r="B102" t="s">
        <v>320</v>
      </c>
      <c r="C102" t="s">
        <v>37</v>
      </c>
      <c r="D102" t="s">
        <v>83</v>
      </c>
      <c r="E102" t="s">
        <v>66</v>
      </c>
      <c r="F102" t="s">
        <v>32</v>
      </c>
      <c r="G102" s="2">
        <v>45657</v>
      </c>
      <c r="H102">
        <v>2024</v>
      </c>
      <c r="I102" t="s">
        <v>44</v>
      </c>
      <c r="J102" t="s">
        <v>53</v>
      </c>
      <c r="K102">
        <v>8.3000000000000007</v>
      </c>
      <c r="L102">
        <v>12.3</v>
      </c>
      <c r="M102">
        <v>1.3</v>
      </c>
      <c r="N102">
        <v>1.481927710843373</v>
      </c>
      <c r="O102" t="s">
        <v>245</v>
      </c>
      <c r="P102" t="s">
        <v>245</v>
      </c>
      <c r="Q102" t="s">
        <v>324</v>
      </c>
      <c r="R102">
        <v>1</v>
      </c>
      <c r="S102">
        <v>1</v>
      </c>
      <c r="T102" t="s">
        <v>443</v>
      </c>
    </row>
    <row r="103" spans="1:20" x14ac:dyDescent="0.3">
      <c r="A103">
        <v>424</v>
      </c>
      <c r="B103" t="s">
        <v>325</v>
      </c>
      <c r="C103" t="s">
        <v>37</v>
      </c>
      <c r="D103" t="s">
        <v>83</v>
      </c>
      <c r="E103" t="s">
        <v>66</v>
      </c>
      <c r="F103" t="s">
        <v>32</v>
      </c>
      <c r="G103" s="2">
        <v>44926</v>
      </c>
      <c r="H103">
        <v>2022</v>
      </c>
      <c r="I103" t="s">
        <v>44</v>
      </c>
      <c r="J103" t="s">
        <v>45</v>
      </c>
      <c r="K103">
        <v>6.5</v>
      </c>
      <c r="L103">
        <v>5</v>
      </c>
      <c r="M103">
        <v>0.76923076923076927</v>
      </c>
      <c r="N103">
        <v>0.76923076923076927</v>
      </c>
      <c r="O103" t="s">
        <v>245</v>
      </c>
      <c r="P103" t="s">
        <v>35</v>
      </c>
      <c r="Q103" t="s">
        <v>326</v>
      </c>
      <c r="R103">
        <v>1</v>
      </c>
      <c r="S103">
        <v>0</v>
      </c>
      <c r="T103" t="s">
        <v>443</v>
      </c>
    </row>
    <row r="104" spans="1:20" x14ac:dyDescent="0.3">
      <c r="A104">
        <v>424</v>
      </c>
      <c r="B104" t="s">
        <v>325</v>
      </c>
      <c r="C104" t="s">
        <v>37</v>
      </c>
      <c r="D104" t="s">
        <v>83</v>
      </c>
      <c r="E104" t="s">
        <v>66</v>
      </c>
      <c r="F104" t="s">
        <v>32</v>
      </c>
      <c r="G104" s="2">
        <v>45291</v>
      </c>
      <c r="H104">
        <v>2023</v>
      </c>
      <c r="I104" t="s">
        <v>44</v>
      </c>
      <c r="J104" t="s">
        <v>49</v>
      </c>
      <c r="K104">
        <v>6</v>
      </c>
      <c r="L104">
        <v>6</v>
      </c>
      <c r="M104">
        <v>1</v>
      </c>
      <c r="N104">
        <v>1</v>
      </c>
      <c r="O104" t="s">
        <v>35</v>
      </c>
      <c r="P104" t="s">
        <v>35</v>
      </c>
      <c r="Q104" t="s">
        <v>327</v>
      </c>
      <c r="R104">
        <v>0</v>
      </c>
      <c r="S104">
        <v>0</v>
      </c>
      <c r="T104" t="s">
        <v>443</v>
      </c>
    </row>
    <row r="105" spans="1:20" x14ac:dyDescent="0.3">
      <c r="A105">
        <v>424</v>
      </c>
      <c r="B105" t="s">
        <v>325</v>
      </c>
      <c r="C105" t="s">
        <v>37</v>
      </c>
      <c r="D105" t="s">
        <v>83</v>
      </c>
      <c r="E105" t="s">
        <v>66</v>
      </c>
      <c r="F105" t="s">
        <v>32</v>
      </c>
      <c r="G105" s="2">
        <v>45657</v>
      </c>
      <c r="H105">
        <v>2024</v>
      </c>
      <c r="I105" t="s">
        <v>44</v>
      </c>
      <c r="J105" t="s">
        <v>53</v>
      </c>
      <c r="K105">
        <v>7</v>
      </c>
      <c r="L105">
        <v>9</v>
      </c>
      <c r="M105">
        <v>1.285714285714286</v>
      </c>
      <c r="N105">
        <v>1.285714285714286</v>
      </c>
      <c r="O105" t="s">
        <v>35</v>
      </c>
      <c r="P105" t="s">
        <v>35</v>
      </c>
      <c r="Q105" t="s">
        <v>328</v>
      </c>
      <c r="R105">
        <v>0</v>
      </c>
      <c r="S105">
        <v>0</v>
      </c>
      <c r="T105" t="s">
        <v>443</v>
      </c>
    </row>
    <row r="106" spans="1:20" x14ac:dyDescent="0.3">
      <c r="A106">
        <v>460</v>
      </c>
      <c r="B106" t="s">
        <v>329</v>
      </c>
      <c r="C106" t="s">
        <v>474</v>
      </c>
      <c r="D106" t="s">
        <v>130</v>
      </c>
      <c r="E106" t="s">
        <v>66</v>
      </c>
      <c r="F106" t="s">
        <v>32</v>
      </c>
      <c r="G106" s="2">
        <v>45657</v>
      </c>
      <c r="H106">
        <v>2024</v>
      </c>
      <c r="I106" t="s">
        <v>44</v>
      </c>
      <c r="J106" t="s">
        <v>53</v>
      </c>
      <c r="K106">
        <v>80</v>
      </c>
      <c r="L106">
        <v>91.44</v>
      </c>
      <c r="M106">
        <v>1.143</v>
      </c>
      <c r="N106">
        <v>1.143</v>
      </c>
      <c r="O106" t="s">
        <v>58</v>
      </c>
      <c r="P106" t="s">
        <v>58</v>
      </c>
      <c r="Q106" t="s">
        <v>330</v>
      </c>
      <c r="R106">
        <v>0</v>
      </c>
      <c r="S106">
        <v>1</v>
      </c>
      <c r="T106" t="s">
        <v>443</v>
      </c>
    </row>
    <row r="107" spans="1:20" x14ac:dyDescent="0.3">
      <c r="A107">
        <v>463</v>
      </c>
      <c r="B107" t="s">
        <v>332</v>
      </c>
      <c r="C107" t="s">
        <v>37</v>
      </c>
      <c r="D107" t="s">
        <v>130</v>
      </c>
      <c r="E107" t="s">
        <v>31</v>
      </c>
      <c r="F107" t="s">
        <v>32</v>
      </c>
      <c r="G107" s="2">
        <v>45657</v>
      </c>
      <c r="H107">
        <v>2024</v>
      </c>
      <c r="I107" t="s">
        <v>44</v>
      </c>
      <c r="J107" t="s">
        <v>53</v>
      </c>
      <c r="K107">
        <v>100</v>
      </c>
      <c r="L107">
        <v>100</v>
      </c>
      <c r="M107">
        <v>1</v>
      </c>
      <c r="N107">
        <v>1</v>
      </c>
      <c r="O107" t="s">
        <v>58</v>
      </c>
      <c r="P107" t="s">
        <v>58</v>
      </c>
      <c r="Q107" t="s">
        <v>335</v>
      </c>
      <c r="R107">
        <v>0</v>
      </c>
      <c r="S107">
        <v>0</v>
      </c>
      <c r="T107" t="s">
        <v>443</v>
      </c>
    </row>
    <row r="108" spans="1:20" x14ac:dyDescent="0.3">
      <c r="A108">
        <v>465</v>
      </c>
      <c r="B108" t="s">
        <v>336</v>
      </c>
      <c r="C108" t="s">
        <v>37</v>
      </c>
      <c r="D108" t="s">
        <v>260</v>
      </c>
      <c r="E108" t="s">
        <v>31</v>
      </c>
      <c r="F108" t="s">
        <v>32</v>
      </c>
      <c r="G108" s="2">
        <v>45657</v>
      </c>
      <c r="H108">
        <v>2024</v>
      </c>
      <c r="I108" t="s">
        <v>44</v>
      </c>
      <c r="J108" t="s">
        <v>53</v>
      </c>
      <c r="K108">
        <v>100</v>
      </c>
      <c r="L108">
        <v>56.83</v>
      </c>
      <c r="M108">
        <v>0.56830000000000003</v>
      </c>
      <c r="N108">
        <v>0.56830000000000003</v>
      </c>
      <c r="O108" t="s">
        <v>58</v>
      </c>
      <c r="P108" t="s">
        <v>58</v>
      </c>
      <c r="Q108" t="s">
        <v>340</v>
      </c>
      <c r="R108">
        <v>0</v>
      </c>
      <c r="S108">
        <v>0</v>
      </c>
      <c r="T108" t="s">
        <v>443</v>
      </c>
    </row>
    <row r="109" spans="1:20" x14ac:dyDescent="0.3">
      <c r="A109">
        <v>466</v>
      </c>
      <c r="B109" t="s">
        <v>341</v>
      </c>
      <c r="C109" t="s">
        <v>37</v>
      </c>
      <c r="D109" t="s">
        <v>30</v>
      </c>
      <c r="E109" t="s">
        <v>31</v>
      </c>
      <c r="F109" t="s">
        <v>32</v>
      </c>
      <c r="G109" s="2">
        <v>44926</v>
      </c>
      <c r="H109">
        <v>2022</v>
      </c>
      <c r="I109" t="s">
        <v>44</v>
      </c>
      <c r="J109" t="s">
        <v>45</v>
      </c>
      <c r="K109">
        <v>25</v>
      </c>
      <c r="L109">
        <v>43.56</v>
      </c>
      <c r="M109">
        <v>1.3</v>
      </c>
      <c r="N109">
        <v>1.7423999999999999</v>
      </c>
      <c r="O109" t="s">
        <v>35</v>
      </c>
      <c r="P109" t="s">
        <v>245</v>
      </c>
      <c r="Q109" t="s">
        <v>451</v>
      </c>
      <c r="R109">
        <v>1</v>
      </c>
      <c r="S109">
        <v>1</v>
      </c>
      <c r="T109" t="s">
        <v>443</v>
      </c>
    </row>
    <row r="110" spans="1:20" x14ac:dyDescent="0.3">
      <c r="A110">
        <v>466</v>
      </c>
      <c r="B110" t="s">
        <v>341</v>
      </c>
      <c r="C110" t="s">
        <v>37</v>
      </c>
      <c r="D110" t="s">
        <v>30</v>
      </c>
      <c r="E110" t="s">
        <v>31</v>
      </c>
      <c r="F110" t="s">
        <v>32</v>
      </c>
      <c r="G110" s="2">
        <v>45291</v>
      </c>
      <c r="H110">
        <v>2023</v>
      </c>
      <c r="I110" t="s">
        <v>44</v>
      </c>
      <c r="J110" t="s">
        <v>49</v>
      </c>
      <c r="K110">
        <v>42</v>
      </c>
      <c r="L110">
        <v>53.34</v>
      </c>
      <c r="M110">
        <v>1.27</v>
      </c>
      <c r="N110">
        <v>1.27</v>
      </c>
      <c r="O110" t="s">
        <v>35</v>
      </c>
      <c r="P110" t="s">
        <v>245</v>
      </c>
      <c r="Q110" t="s">
        <v>452</v>
      </c>
      <c r="R110">
        <v>1</v>
      </c>
      <c r="S110">
        <v>1</v>
      </c>
      <c r="T110" t="s">
        <v>443</v>
      </c>
    </row>
    <row r="111" spans="1:20" x14ac:dyDescent="0.3">
      <c r="A111">
        <v>466</v>
      </c>
      <c r="B111" t="s">
        <v>341</v>
      </c>
      <c r="C111" t="s">
        <v>37</v>
      </c>
      <c r="D111" t="s">
        <v>30</v>
      </c>
      <c r="E111" t="s">
        <v>31</v>
      </c>
      <c r="F111" t="s">
        <v>32</v>
      </c>
      <c r="G111" s="2">
        <v>45657</v>
      </c>
      <c r="H111">
        <v>2024</v>
      </c>
      <c r="I111" t="s">
        <v>44</v>
      </c>
      <c r="J111" t="s">
        <v>53</v>
      </c>
      <c r="K111">
        <v>50</v>
      </c>
      <c r="L111">
        <v>53.8</v>
      </c>
      <c r="M111">
        <v>1.0760000000000001</v>
      </c>
      <c r="N111">
        <v>1.0760000000000001</v>
      </c>
      <c r="O111" t="s">
        <v>35</v>
      </c>
      <c r="P111" t="s">
        <v>245</v>
      </c>
      <c r="Q111" t="s">
        <v>344</v>
      </c>
      <c r="R111">
        <v>1</v>
      </c>
      <c r="S111">
        <v>1</v>
      </c>
      <c r="T111" t="s">
        <v>443</v>
      </c>
    </row>
    <row r="112" spans="1:20" x14ac:dyDescent="0.3">
      <c r="A112">
        <v>472</v>
      </c>
      <c r="B112" t="s">
        <v>345</v>
      </c>
      <c r="C112" t="s">
        <v>37</v>
      </c>
      <c r="D112" t="s">
        <v>260</v>
      </c>
      <c r="E112" t="s">
        <v>31</v>
      </c>
      <c r="F112" t="s">
        <v>32</v>
      </c>
      <c r="G112" s="2">
        <v>45657</v>
      </c>
      <c r="H112">
        <v>2024</v>
      </c>
      <c r="I112" t="s">
        <v>44</v>
      </c>
      <c r="J112" t="s">
        <v>53</v>
      </c>
      <c r="K112">
        <v>100</v>
      </c>
      <c r="L112">
        <v>100</v>
      </c>
      <c r="M112">
        <v>1</v>
      </c>
      <c r="N112">
        <v>1</v>
      </c>
      <c r="O112" t="s">
        <v>58</v>
      </c>
      <c r="P112" t="s">
        <v>58</v>
      </c>
      <c r="Q112" t="s">
        <v>347</v>
      </c>
      <c r="R112">
        <v>0</v>
      </c>
      <c r="S112">
        <v>0</v>
      </c>
      <c r="T112" t="s">
        <v>443</v>
      </c>
    </row>
    <row r="113" spans="1:20" x14ac:dyDescent="0.3">
      <c r="A113">
        <v>476</v>
      </c>
      <c r="B113" t="s">
        <v>348</v>
      </c>
      <c r="C113" t="s">
        <v>37</v>
      </c>
      <c r="D113" t="s">
        <v>349</v>
      </c>
      <c r="E113" t="s">
        <v>31</v>
      </c>
      <c r="F113" t="s">
        <v>32</v>
      </c>
      <c r="G113" s="2">
        <v>45657</v>
      </c>
      <c r="H113">
        <v>2024</v>
      </c>
      <c r="I113" t="s">
        <v>44</v>
      </c>
      <c r="J113" t="s">
        <v>53</v>
      </c>
      <c r="K113">
        <v>30</v>
      </c>
      <c r="L113">
        <v>30</v>
      </c>
      <c r="M113">
        <v>1</v>
      </c>
      <c r="N113">
        <v>1</v>
      </c>
      <c r="O113" t="s">
        <v>35</v>
      </c>
      <c r="P113" t="s">
        <v>35</v>
      </c>
      <c r="Q113" t="s">
        <v>352</v>
      </c>
      <c r="R113">
        <v>0</v>
      </c>
      <c r="S113">
        <v>0</v>
      </c>
      <c r="T113" t="s">
        <v>443</v>
      </c>
    </row>
    <row r="114" spans="1:20" x14ac:dyDescent="0.3">
      <c r="A114">
        <v>109</v>
      </c>
      <c r="B114" t="s">
        <v>469</v>
      </c>
      <c r="C114" t="s">
        <v>474</v>
      </c>
      <c r="D114" t="s">
        <v>99</v>
      </c>
      <c r="E114" t="s">
        <v>66</v>
      </c>
      <c r="F114" t="s">
        <v>32</v>
      </c>
      <c r="G114" s="2">
        <v>45291</v>
      </c>
      <c r="H114">
        <v>2023</v>
      </c>
      <c r="I114" t="s">
        <v>44</v>
      </c>
      <c r="J114" t="s">
        <v>49</v>
      </c>
      <c r="K114">
        <v>80</v>
      </c>
      <c r="L114">
        <v>87.392767703668298</v>
      </c>
      <c r="M114">
        <v>1.092409596295854</v>
      </c>
      <c r="N114">
        <v>1.092409596295854</v>
      </c>
      <c r="O114" t="s">
        <v>58</v>
      </c>
      <c r="P114" t="s">
        <v>58</v>
      </c>
      <c r="Q114" t="s">
        <v>98</v>
      </c>
      <c r="R114">
        <v>0</v>
      </c>
      <c r="S114">
        <v>0</v>
      </c>
      <c r="T114" t="s">
        <v>443</v>
      </c>
    </row>
    <row r="115" spans="1:20" x14ac:dyDescent="0.3">
      <c r="A115">
        <v>14.1</v>
      </c>
      <c r="B115" t="s">
        <v>353</v>
      </c>
      <c r="C115" t="s">
        <v>37</v>
      </c>
      <c r="D115" t="s">
        <v>186</v>
      </c>
      <c r="E115" t="s">
        <v>31</v>
      </c>
      <c r="F115" t="s">
        <v>32</v>
      </c>
      <c r="G115" s="2">
        <v>44926</v>
      </c>
      <c r="H115">
        <v>2022</v>
      </c>
      <c r="I115" t="s">
        <v>44</v>
      </c>
      <c r="J115" t="s">
        <v>45</v>
      </c>
      <c r="K115">
        <v>14271</v>
      </c>
      <c r="L115">
        <v>15190</v>
      </c>
      <c r="M115">
        <v>1.0643963282180651</v>
      </c>
      <c r="N115">
        <v>1.0643963282180651</v>
      </c>
      <c r="O115" t="s">
        <v>35</v>
      </c>
      <c r="P115" t="s">
        <v>35</v>
      </c>
      <c r="Q115" t="s">
        <v>355</v>
      </c>
      <c r="R115">
        <v>0</v>
      </c>
      <c r="S115">
        <v>0</v>
      </c>
      <c r="T115" t="s">
        <v>443</v>
      </c>
    </row>
    <row r="116" spans="1:20" x14ac:dyDescent="0.3">
      <c r="A116">
        <v>14.1</v>
      </c>
      <c r="B116" t="s">
        <v>353</v>
      </c>
      <c r="C116" t="s">
        <v>37</v>
      </c>
      <c r="D116" t="s">
        <v>186</v>
      </c>
      <c r="E116" t="s">
        <v>31</v>
      </c>
      <c r="F116" t="s">
        <v>32</v>
      </c>
      <c r="G116" s="2">
        <v>45291</v>
      </c>
      <c r="H116">
        <v>2023</v>
      </c>
      <c r="I116" t="s">
        <v>44</v>
      </c>
      <c r="J116" t="s">
        <v>49</v>
      </c>
      <c r="K116">
        <v>15442</v>
      </c>
      <c r="L116">
        <v>15978</v>
      </c>
      <c r="M116">
        <v>1.034710529724129</v>
      </c>
      <c r="N116">
        <v>1.034710529724129</v>
      </c>
      <c r="O116" t="s">
        <v>35</v>
      </c>
      <c r="P116" t="s">
        <v>35</v>
      </c>
      <c r="Q116" t="s">
        <v>357</v>
      </c>
      <c r="R116">
        <v>0</v>
      </c>
      <c r="S116">
        <v>0</v>
      </c>
      <c r="T116" t="s">
        <v>443</v>
      </c>
    </row>
    <row r="117" spans="1:20" x14ac:dyDescent="0.3">
      <c r="A117">
        <v>14.1</v>
      </c>
      <c r="B117" t="s">
        <v>353</v>
      </c>
      <c r="C117" t="s">
        <v>37</v>
      </c>
      <c r="D117" t="s">
        <v>186</v>
      </c>
      <c r="E117" t="s">
        <v>31</v>
      </c>
      <c r="F117" t="s">
        <v>32</v>
      </c>
      <c r="G117" s="2">
        <v>45657</v>
      </c>
      <c r="H117">
        <v>2024</v>
      </c>
      <c r="I117" t="s">
        <v>44</v>
      </c>
      <c r="J117" t="s">
        <v>53</v>
      </c>
      <c r="K117">
        <v>16080</v>
      </c>
      <c r="L117">
        <v>16589</v>
      </c>
      <c r="M117">
        <v>1.0316542288557209</v>
      </c>
      <c r="N117">
        <v>1.0316542288557209</v>
      </c>
      <c r="O117" t="s">
        <v>35</v>
      </c>
      <c r="P117" t="s">
        <v>35</v>
      </c>
      <c r="Q117" t="s">
        <v>399</v>
      </c>
      <c r="R117">
        <v>0</v>
      </c>
      <c r="S117">
        <v>0</v>
      </c>
      <c r="T117" t="s">
        <v>443</v>
      </c>
    </row>
    <row r="118" spans="1:20" x14ac:dyDescent="0.3">
      <c r="A118">
        <v>14.2</v>
      </c>
      <c r="B118" t="s">
        <v>359</v>
      </c>
      <c r="C118" t="s">
        <v>37</v>
      </c>
      <c r="D118" t="s">
        <v>30</v>
      </c>
      <c r="E118" t="s">
        <v>31</v>
      </c>
      <c r="F118" t="s">
        <v>32</v>
      </c>
      <c r="G118" s="2">
        <v>44926</v>
      </c>
      <c r="H118">
        <v>2022</v>
      </c>
      <c r="I118" t="s">
        <v>44</v>
      </c>
      <c r="J118" t="s">
        <v>45</v>
      </c>
      <c r="K118">
        <v>85163</v>
      </c>
      <c r="L118">
        <v>86058</v>
      </c>
      <c r="M118">
        <v>1.010509258715639</v>
      </c>
      <c r="N118">
        <v>1.010509258715639</v>
      </c>
      <c r="O118" t="s">
        <v>35</v>
      </c>
      <c r="P118" t="s">
        <v>35</v>
      </c>
      <c r="Q118" t="s">
        <v>361</v>
      </c>
      <c r="R118">
        <v>0</v>
      </c>
      <c r="S118">
        <v>0</v>
      </c>
      <c r="T118" t="s">
        <v>443</v>
      </c>
    </row>
    <row r="119" spans="1:20" x14ac:dyDescent="0.3">
      <c r="A119">
        <v>14.2</v>
      </c>
      <c r="B119" t="s">
        <v>359</v>
      </c>
      <c r="C119" t="s">
        <v>37</v>
      </c>
      <c r="D119" t="s">
        <v>186</v>
      </c>
      <c r="E119" t="s">
        <v>31</v>
      </c>
      <c r="F119" t="s">
        <v>32</v>
      </c>
      <c r="G119" s="2">
        <v>45291</v>
      </c>
      <c r="H119">
        <v>2023</v>
      </c>
      <c r="I119" t="s">
        <v>44</v>
      </c>
      <c r="J119" t="s">
        <v>49</v>
      </c>
      <c r="K119">
        <v>88422</v>
      </c>
      <c r="L119">
        <v>86869</v>
      </c>
      <c r="M119">
        <v>0.98243649770419128</v>
      </c>
      <c r="N119">
        <v>0.98243649770419128</v>
      </c>
      <c r="O119" t="s">
        <v>35</v>
      </c>
      <c r="P119" t="s">
        <v>35</v>
      </c>
      <c r="Q119" t="s">
        <v>363</v>
      </c>
      <c r="R119">
        <v>0</v>
      </c>
      <c r="S119">
        <v>0</v>
      </c>
      <c r="T119" t="s">
        <v>443</v>
      </c>
    </row>
    <row r="120" spans="1:20" x14ac:dyDescent="0.3">
      <c r="A120">
        <v>14.2</v>
      </c>
      <c r="B120" t="s">
        <v>359</v>
      </c>
      <c r="C120" t="s">
        <v>37</v>
      </c>
      <c r="D120" t="s">
        <v>186</v>
      </c>
      <c r="E120" t="s">
        <v>31</v>
      </c>
      <c r="F120" t="s">
        <v>32</v>
      </c>
      <c r="G120" s="2">
        <v>45657</v>
      </c>
      <c r="H120">
        <v>2024</v>
      </c>
      <c r="I120" t="s">
        <v>44</v>
      </c>
      <c r="J120" t="s">
        <v>53</v>
      </c>
      <c r="K120">
        <v>87439</v>
      </c>
      <c r="L120">
        <v>88001</v>
      </c>
      <c r="M120">
        <v>1.006427337915575</v>
      </c>
      <c r="N120">
        <v>1.006427337915575</v>
      </c>
      <c r="O120" t="s">
        <v>35</v>
      </c>
      <c r="P120" t="s">
        <v>35</v>
      </c>
      <c r="Q120" t="s">
        <v>400</v>
      </c>
      <c r="R120">
        <v>0</v>
      </c>
      <c r="S120">
        <v>0</v>
      </c>
      <c r="T120" t="s">
        <v>443</v>
      </c>
    </row>
    <row r="121" spans="1:20" x14ac:dyDescent="0.3">
      <c r="A121">
        <v>14.3</v>
      </c>
      <c r="B121" t="s">
        <v>365</v>
      </c>
      <c r="C121" t="s">
        <v>37</v>
      </c>
      <c r="D121" t="s">
        <v>186</v>
      </c>
      <c r="E121" t="s">
        <v>31</v>
      </c>
      <c r="F121" t="s">
        <v>32</v>
      </c>
      <c r="G121" s="2">
        <v>44926</v>
      </c>
      <c r="H121">
        <v>2022</v>
      </c>
      <c r="I121" t="s">
        <v>44</v>
      </c>
      <c r="J121" t="s">
        <v>45</v>
      </c>
      <c r="K121">
        <v>94696</v>
      </c>
      <c r="L121">
        <v>96245</v>
      </c>
      <c r="M121">
        <v>1.016357607501901</v>
      </c>
      <c r="N121">
        <v>1.016357607501901</v>
      </c>
      <c r="O121" t="s">
        <v>35</v>
      </c>
      <c r="P121" t="s">
        <v>35</v>
      </c>
      <c r="Q121" t="s">
        <v>367</v>
      </c>
      <c r="R121">
        <v>0</v>
      </c>
      <c r="S121">
        <v>0</v>
      </c>
      <c r="T121" t="s">
        <v>443</v>
      </c>
    </row>
    <row r="122" spans="1:20" x14ac:dyDescent="0.3">
      <c r="A122">
        <v>14.3</v>
      </c>
      <c r="B122" t="s">
        <v>365</v>
      </c>
      <c r="C122" t="s">
        <v>37</v>
      </c>
      <c r="D122" t="s">
        <v>186</v>
      </c>
      <c r="E122" t="s">
        <v>31</v>
      </c>
      <c r="F122" t="s">
        <v>32</v>
      </c>
      <c r="G122" s="2">
        <v>45291</v>
      </c>
      <c r="H122">
        <v>2023</v>
      </c>
      <c r="I122" t="s">
        <v>44</v>
      </c>
      <c r="J122" t="s">
        <v>49</v>
      </c>
      <c r="K122">
        <v>98342</v>
      </c>
      <c r="L122">
        <v>96530</v>
      </c>
      <c r="M122">
        <v>0.98157450529783818</v>
      </c>
      <c r="N122">
        <v>0.98157450529783818</v>
      </c>
      <c r="O122" t="s">
        <v>35</v>
      </c>
      <c r="P122" t="s">
        <v>35</v>
      </c>
      <c r="Q122" t="s">
        <v>369</v>
      </c>
      <c r="R122">
        <v>0</v>
      </c>
      <c r="S122">
        <v>0</v>
      </c>
      <c r="T122" t="s">
        <v>443</v>
      </c>
    </row>
    <row r="123" spans="1:20" x14ac:dyDescent="0.3">
      <c r="A123">
        <v>14.3</v>
      </c>
      <c r="B123" t="s">
        <v>365</v>
      </c>
      <c r="C123" t="s">
        <v>37</v>
      </c>
      <c r="D123" t="s">
        <v>186</v>
      </c>
      <c r="E123" t="s">
        <v>31</v>
      </c>
      <c r="F123" t="s">
        <v>32</v>
      </c>
      <c r="G123" s="2">
        <v>45657</v>
      </c>
      <c r="H123">
        <v>2024</v>
      </c>
      <c r="I123" t="s">
        <v>44</v>
      </c>
      <c r="J123" t="s">
        <v>53</v>
      </c>
      <c r="K123">
        <v>97371</v>
      </c>
      <c r="L123">
        <v>97439</v>
      </c>
      <c r="M123">
        <v>1.0006983598812791</v>
      </c>
      <c r="N123">
        <v>1.0006983598812791</v>
      </c>
      <c r="O123" t="s">
        <v>35</v>
      </c>
      <c r="P123" t="s">
        <v>35</v>
      </c>
      <c r="Q123" t="s">
        <v>401</v>
      </c>
      <c r="R123">
        <v>0</v>
      </c>
      <c r="S123">
        <v>0</v>
      </c>
      <c r="T123" t="s">
        <v>443</v>
      </c>
    </row>
    <row r="124" spans="1:20" x14ac:dyDescent="0.3">
      <c r="A124">
        <v>14.4</v>
      </c>
      <c r="B124" t="s">
        <v>371</v>
      </c>
      <c r="C124" t="s">
        <v>37</v>
      </c>
      <c r="D124" t="s">
        <v>186</v>
      </c>
      <c r="E124" t="s">
        <v>31</v>
      </c>
      <c r="F124" t="s">
        <v>32</v>
      </c>
      <c r="G124" s="2">
        <v>44925</v>
      </c>
      <c r="H124">
        <v>2022</v>
      </c>
      <c r="I124" t="s">
        <v>44</v>
      </c>
      <c r="J124" t="s">
        <v>45</v>
      </c>
      <c r="K124">
        <v>4638</v>
      </c>
      <c r="L124">
        <v>5008</v>
      </c>
      <c r="M124">
        <v>1.079775765416128</v>
      </c>
      <c r="N124">
        <v>1.079775765416128</v>
      </c>
      <c r="O124" t="s">
        <v>35</v>
      </c>
      <c r="P124" t="s">
        <v>35</v>
      </c>
      <c r="Q124" t="s">
        <v>373</v>
      </c>
      <c r="R124">
        <v>0</v>
      </c>
      <c r="S124">
        <v>0</v>
      </c>
      <c r="T124" t="s">
        <v>443</v>
      </c>
    </row>
    <row r="125" spans="1:20" x14ac:dyDescent="0.3">
      <c r="A125">
        <v>14.4</v>
      </c>
      <c r="B125" t="s">
        <v>371</v>
      </c>
      <c r="C125" t="s">
        <v>37</v>
      </c>
      <c r="D125" t="s">
        <v>186</v>
      </c>
      <c r="E125" t="s">
        <v>31</v>
      </c>
      <c r="F125" t="s">
        <v>32</v>
      </c>
      <c r="G125" s="2">
        <v>45291</v>
      </c>
      <c r="H125">
        <v>2023</v>
      </c>
      <c r="I125" t="s">
        <v>44</v>
      </c>
      <c r="J125" t="s">
        <v>49</v>
      </c>
      <c r="K125">
        <v>5522</v>
      </c>
      <c r="L125">
        <v>6318</v>
      </c>
      <c r="M125">
        <v>1.144150670047084</v>
      </c>
      <c r="N125">
        <v>1.144150670047084</v>
      </c>
      <c r="O125" t="s">
        <v>35</v>
      </c>
      <c r="P125" t="s">
        <v>35</v>
      </c>
      <c r="Q125" t="s">
        <v>375</v>
      </c>
      <c r="R125">
        <v>0</v>
      </c>
      <c r="S125">
        <v>0</v>
      </c>
      <c r="T125" t="s">
        <v>443</v>
      </c>
    </row>
    <row r="126" spans="1:20" x14ac:dyDescent="0.3">
      <c r="A126">
        <v>14.4</v>
      </c>
      <c r="B126" t="s">
        <v>371</v>
      </c>
      <c r="C126" t="s">
        <v>37</v>
      </c>
      <c r="D126" t="s">
        <v>186</v>
      </c>
      <c r="E126" t="s">
        <v>31</v>
      </c>
      <c r="F126" t="s">
        <v>32</v>
      </c>
      <c r="G126" s="2">
        <v>45657</v>
      </c>
      <c r="H126">
        <v>2024</v>
      </c>
      <c r="I126" t="s">
        <v>44</v>
      </c>
      <c r="J126" t="s">
        <v>53</v>
      </c>
      <c r="K126">
        <v>6148</v>
      </c>
      <c r="L126">
        <v>7151</v>
      </c>
      <c r="M126">
        <v>1.163142485361093</v>
      </c>
      <c r="N126">
        <v>1.163142485361093</v>
      </c>
      <c r="O126" t="s">
        <v>35</v>
      </c>
      <c r="P126" t="s">
        <v>35</v>
      </c>
      <c r="Q126" t="s">
        <v>402</v>
      </c>
      <c r="R126">
        <v>0</v>
      </c>
      <c r="S126">
        <v>0</v>
      </c>
      <c r="T126" t="s">
        <v>443</v>
      </c>
    </row>
    <row r="127" spans="1:20" x14ac:dyDescent="0.3">
      <c r="A127">
        <v>386.1</v>
      </c>
      <c r="B127" t="s">
        <v>471</v>
      </c>
      <c r="C127" t="s">
        <v>37</v>
      </c>
      <c r="D127" t="s">
        <v>310</v>
      </c>
      <c r="E127" t="s">
        <v>31</v>
      </c>
      <c r="F127" t="s">
        <v>32</v>
      </c>
      <c r="G127" s="2">
        <v>45291</v>
      </c>
      <c r="H127">
        <v>2023</v>
      </c>
      <c r="I127" t="s">
        <v>44</v>
      </c>
      <c r="J127" t="s">
        <v>49</v>
      </c>
      <c r="K127">
        <v>1357.778</v>
      </c>
      <c r="L127">
        <v>3779.9283479999999</v>
      </c>
      <c r="M127">
        <v>1.3</v>
      </c>
      <c r="N127">
        <v>2.7839074929774972</v>
      </c>
      <c r="O127" t="s">
        <v>143</v>
      </c>
      <c r="P127" t="s">
        <v>143</v>
      </c>
      <c r="Q127" t="s">
        <v>379</v>
      </c>
      <c r="R127">
        <v>0</v>
      </c>
      <c r="S127">
        <v>0</v>
      </c>
      <c r="T127" t="s">
        <v>443</v>
      </c>
    </row>
    <row r="128" spans="1:20" x14ac:dyDescent="0.3">
      <c r="A128">
        <v>386.1</v>
      </c>
      <c r="B128" t="s">
        <v>471</v>
      </c>
      <c r="C128" t="s">
        <v>37</v>
      </c>
      <c r="D128" t="s">
        <v>310</v>
      </c>
      <c r="E128" t="s">
        <v>31</v>
      </c>
      <c r="F128" t="s">
        <v>32</v>
      </c>
      <c r="G128" s="2">
        <v>45657</v>
      </c>
      <c r="H128">
        <v>2024</v>
      </c>
      <c r="I128" t="s">
        <v>44</v>
      </c>
      <c r="J128" t="s">
        <v>53</v>
      </c>
      <c r="K128">
        <v>3424.207396199999</v>
      </c>
      <c r="L128">
        <v>4694.2130900000002</v>
      </c>
      <c r="M128">
        <v>1.3</v>
      </c>
      <c r="N128">
        <v>1.3708904125402519</v>
      </c>
      <c r="O128" t="s">
        <v>143</v>
      </c>
      <c r="P128" t="s">
        <v>143</v>
      </c>
      <c r="Q128" t="s">
        <v>381</v>
      </c>
      <c r="R128">
        <v>0</v>
      </c>
      <c r="S128">
        <v>0</v>
      </c>
      <c r="T128" t="s">
        <v>443</v>
      </c>
    </row>
    <row r="129" spans="1:20" x14ac:dyDescent="0.3">
      <c r="A129">
        <v>386.2</v>
      </c>
      <c r="B129" t="s">
        <v>472</v>
      </c>
      <c r="C129" t="s">
        <v>37</v>
      </c>
      <c r="D129" t="s">
        <v>310</v>
      </c>
      <c r="E129" t="s">
        <v>31</v>
      </c>
      <c r="F129" t="s">
        <v>32</v>
      </c>
      <c r="G129" s="2">
        <v>45291</v>
      </c>
      <c r="H129">
        <v>2023</v>
      </c>
      <c r="I129" t="s">
        <v>44</v>
      </c>
      <c r="J129" t="s">
        <v>49</v>
      </c>
      <c r="K129">
        <v>7082.0029999999988</v>
      </c>
      <c r="L129">
        <v>9868.4183169999997</v>
      </c>
      <c r="M129">
        <v>1.3</v>
      </c>
      <c r="N129">
        <v>1.393450174618678</v>
      </c>
      <c r="O129" t="s">
        <v>143</v>
      </c>
      <c r="P129" t="s">
        <v>143</v>
      </c>
      <c r="Q129" t="s">
        <v>384</v>
      </c>
      <c r="R129">
        <v>0</v>
      </c>
      <c r="S129">
        <v>0</v>
      </c>
      <c r="T129" t="s">
        <v>443</v>
      </c>
    </row>
    <row r="130" spans="1:20" x14ac:dyDescent="0.3">
      <c r="A130">
        <v>386.2</v>
      </c>
      <c r="B130" t="s">
        <v>472</v>
      </c>
      <c r="C130" t="s">
        <v>37</v>
      </c>
      <c r="D130" t="s">
        <v>310</v>
      </c>
      <c r="E130" t="s">
        <v>31</v>
      </c>
      <c r="F130" t="s">
        <v>32</v>
      </c>
      <c r="G130" s="2">
        <v>45657</v>
      </c>
      <c r="H130">
        <v>2024</v>
      </c>
      <c r="I130" t="s">
        <v>44</v>
      </c>
      <c r="J130" t="s">
        <v>53</v>
      </c>
      <c r="K130">
        <v>7711.1257611000001</v>
      </c>
      <c r="L130">
        <v>4170.686009</v>
      </c>
      <c r="M130">
        <v>0.54086603411912804</v>
      </c>
      <c r="N130">
        <v>0.54086603411912804</v>
      </c>
      <c r="O130" t="s">
        <v>143</v>
      </c>
      <c r="P130" t="s">
        <v>143</v>
      </c>
      <c r="Q130" t="s">
        <v>386</v>
      </c>
      <c r="R130">
        <v>0</v>
      </c>
      <c r="S130">
        <v>0</v>
      </c>
      <c r="T130" t="s">
        <v>443</v>
      </c>
    </row>
    <row r="131" spans="1:20" x14ac:dyDescent="0.3">
      <c r="A131">
        <v>386.3</v>
      </c>
      <c r="B131" t="s">
        <v>387</v>
      </c>
      <c r="C131" t="s">
        <v>37</v>
      </c>
      <c r="D131" t="s">
        <v>310</v>
      </c>
      <c r="E131" t="s">
        <v>31</v>
      </c>
      <c r="F131" t="s">
        <v>32</v>
      </c>
      <c r="G131" s="2">
        <v>45291</v>
      </c>
      <c r="H131">
        <v>2023</v>
      </c>
      <c r="I131" t="s">
        <v>44</v>
      </c>
      <c r="J131" t="s">
        <v>49</v>
      </c>
      <c r="K131">
        <v>5657.94</v>
      </c>
      <c r="L131">
        <v>4048.733862</v>
      </c>
      <c r="M131">
        <v>0.71558444628256934</v>
      </c>
      <c r="N131">
        <v>0.71558444628256934</v>
      </c>
      <c r="O131" t="s">
        <v>143</v>
      </c>
      <c r="P131" t="s">
        <v>143</v>
      </c>
      <c r="Q131" t="s">
        <v>389</v>
      </c>
      <c r="R131">
        <v>0</v>
      </c>
      <c r="S131">
        <v>0</v>
      </c>
      <c r="T131" t="s">
        <v>443</v>
      </c>
    </row>
    <row r="132" spans="1:20" x14ac:dyDescent="0.3">
      <c r="A132">
        <v>386.3</v>
      </c>
      <c r="B132" t="s">
        <v>387</v>
      </c>
      <c r="C132" t="s">
        <v>37</v>
      </c>
      <c r="D132" t="s">
        <v>310</v>
      </c>
      <c r="E132" t="s">
        <v>31</v>
      </c>
      <c r="F132" t="s">
        <v>32</v>
      </c>
      <c r="G132" s="2">
        <v>45657</v>
      </c>
      <c r="H132">
        <v>2024</v>
      </c>
      <c r="I132" t="s">
        <v>44</v>
      </c>
      <c r="J132" t="s">
        <v>53</v>
      </c>
      <c r="K132">
        <v>4372.1599426999992</v>
      </c>
      <c r="L132">
        <v>4378.2397499999997</v>
      </c>
      <c r="M132">
        <v>1.0013905729387029</v>
      </c>
      <c r="N132">
        <v>1.0013905729387029</v>
      </c>
      <c r="O132" t="s">
        <v>143</v>
      </c>
      <c r="P132" t="s">
        <v>143</v>
      </c>
      <c r="Q132" t="s">
        <v>391</v>
      </c>
      <c r="R132">
        <v>0</v>
      </c>
      <c r="S132">
        <v>0</v>
      </c>
      <c r="T132" t="s">
        <v>443</v>
      </c>
    </row>
    <row r="133" spans="1:20" x14ac:dyDescent="0.3">
      <c r="A133">
        <v>228</v>
      </c>
      <c r="B133" t="s">
        <v>176</v>
      </c>
      <c r="C133" t="s">
        <v>474</v>
      </c>
      <c r="D133" t="s">
        <v>177</v>
      </c>
      <c r="E133" t="s">
        <v>66</v>
      </c>
      <c r="F133" t="s">
        <v>32</v>
      </c>
      <c r="G133" s="2">
        <v>45291</v>
      </c>
      <c r="H133">
        <v>2023</v>
      </c>
      <c r="I133" t="s">
        <v>44</v>
      </c>
      <c r="J133" t="s">
        <v>49</v>
      </c>
      <c r="K133">
        <v>622.69000000000005</v>
      </c>
      <c r="L133">
        <v>622.68999999999994</v>
      </c>
      <c r="M133">
        <v>0.99999999999999978</v>
      </c>
      <c r="N133">
        <v>0.99999999999999978</v>
      </c>
      <c r="O133" t="s">
        <v>445</v>
      </c>
      <c r="P133" t="s">
        <v>445</v>
      </c>
      <c r="Q133" t="s">
        <v>453</v>
      </c>
      <c r="R133">
        <v>1</v>
      </c>
      <c r="S133">
        <v>1</v>
      </c>
      <c r="T133" t="s">
        <v>443</v>
      </c>
    </row>
    <row r="134" spans="1:20" x14ac:dyDescent="0.3">
      <c r="A134">
        <v>476</v>
      </c>
      <c r="B134" t="s">
        <v>348</v>
      </c>
      <c r="C134" t="s">
        <v>37</v>
      </c>
      <c r="D134" t="s">
        <v>349</v>
      </c>
      <c r="E134" t="s">
        <v>31</v>
      </c>
      <c r="F134" t="s">
        <v>32</v>
      </c>
      <c r="G134" s="2">
        <v>45838</v>
      </c>
      <c r="H134">
        <v>2025</v>
      </c>
      <c r="I134" t="s">
        <v>33</v>
      </c>
      <c r="J134" t="s">
        <v>404</v>
      </c>
      <c r="K134">
        <v>6</v>
      </c>
      <c r="L134">
        <v>6</v>
      </c>
      <c r="M134">
        <v>1</v>
      </c>
      <c r="N134">
        <v>1</v>
      </c>
      <c r="O134" t="s">
        <v>35</v>
      </c>
      <c r="P134" t="s">
        <v>35</v>
      </c>
      <c r="Q134" t="s">
        <v>405</v>
      </c>
      <c r="R134">
        <v>0</v>
      </c>
      <c r="S134">
        <v>0</v>
      </c>
      <c r="T134" t="s">
        <v>443</v>
      </c>
    </row>
    <row r="135" spans="1:20" x14ac:dyDescent="0.3">
      <c r="A135">
        <v>460</v>
      </c>
      <c r="B135" t="s">
        <v>477</v>
      </c>
      <c r="C135" t="s">
        <v>474</v>
      </c>
      <c r="D135" t="s">
        <v>130</v>
      </c>
      <c r="E135" t="s">
        <v>66</v>
      </c>
      <c r="F135" t="s">
        <v>32</v>
      </c>
      <c r="G135" s="2">
        <v>45838</v>
      </c>
      <c r="H135">
        <v>2025</v>
      </c>
      <c r="I135" t="s">
        <v>33</v>
      </c>
      <c r="J135" t="s">
        <v>404</v>
      </c>
      <c r="K135">
        <v>80</v>
      </c>
      <c r="L135">
        <v>91.44</v>
      </c>
      <c r="M135">
        <v>1.143</v>
      </c>
      <c r="N135">
        <v>1.143</v>
      </c>
      <c r="O135" t="s">
        <v>58</v>
      </c>
      <c r="P135" t="s">
        <v>58</v>
      </c>
      <c r="Q135" t="s">
        <v>454</v>
      </c>
      <c r="R135">
        <v>0</v>
      </c>
      <c r="S135">
        <v>1</v>
      </c>
      <c r="T135" t="s">
        <v>443</v>
      </c>
    </row>
    <row r="136" spans="1:20" x14ac:dyDescent="0.3">
      <c r="A136">
        <v>148</v>
      </c>
      <c r="B136" t="s">
        <v>104</v>
      </c>
      <c r="C136" t="s">
        <v>474</v>
      </c>
      <c r="D136" t="s">
        <v>105</v>
      </c>
      <c r="E136" t="s">
        <v>31</v>
      </c>
      <c r="F136" t="s">
        <v>32</v>
      </c>
      <c r="G136" s="2">
        <v>45838</v>
      </c>
      <c r="H136">
        <v>2025</v>
      </c>
      <c r="I136" t="s">
        <v>33</v>
      </c>
      <c r="J136" t="s">
        <v>404</v>
      </c>
      <c r="K136">
        <v>4</v>
      </c>
      <c r="L136">
        <v>4.08</v>
      </c>
      <c r="M136">
        <v>1.02</v>
      </c>
      <c r="N136">
        <v>1.02</v>
      </c>
      <c r="O136" t="s">
        <v>58</v>
      </c>
      <c r="P136" t="s">
        <v>58</v>
      </c>
      <c r="Q136" t="s">
        <v>406</v>
      </c>
      <c r="R136">
        <v>0</v>
      </c>
      <c r="S136">
        <v>1</v>
      </c>
      <c r="T136" t="s">
        <v>443</v>
      </c>
    </row>
    <row r="137" spans="1:20" x14ac:dyDescent="0.3">
      <c r="A137">
        <v>339</v>
      </c>
      <c r="B137" t="s">
        <v>255</v>
      </c>
      <c r="C137" t="s">
        <v>37</v>
      </c>
      <c r="D137" t="s">
        <v>256</v>
      </c>
      <c r="E137" t="s">
        <v>66</v>
      </c>
      <c r="F137" t="s">
        <v>32</v>
      </c>
      <c r="G137" s="2">
        <v>45838</v>
      </c>
      <c r="H137">
        <v>2025</v>
      </c>
      <c r="I137" t="s">
        <v>33</v>
      </c>
      <c r="J137" t="s">
        <v>404</v>
      </c>
      <c r="K137">
        <v>30</v>
      </c>
      <c r="L137">
        <v>33.299999999999997</v>
      </c>
      <c r="M137">
        <v>1.1100000000000001</v>
      </c>
      <c r="N137">
        <v>1.1100000000000001</v>
      </c>
      <c r="O137" t="s">
        <v>58</v>
      </c>
      <c r="P137" t="s">
        <v>58</v>
      </c>
      <c r="Q137" t="s">
        <v>407</v>
      </c>
      <c r="R137">
        <v>0</v>
      </c>
      <c r="S137">
        <v>1</v>
      </c>
      <c r="T137" t="s">
        <v>443</v>
      </c>
    </row>
    <row r="138" spans="1:20" x14ac:dyDescent="0.3">
      <c r="A138">
        <v>325</v>
      </c>
      <c r="B138" t="s">
        <v>224</v>
      </c>
      <c r="C138" t="s">
        <v>37</v>
      </c>
      <c r="D138" t="s">
        <v>216</v>
      </c>
      <c r="E138" t="s">
        <v>31</v>
      </c>
      <c r="F138" t="s">
        <v>32</v>
      </c>
      <c r="G138" s="2">
        <v>45838</v>
      </c>
      <c r="H138">
        <v>2025</v>
      </c>
      <c r="I138" t="s">
        <v>33</v>
      </c>
      <c r="J138" t="s">
        <v>404</v>
      </c>
      <c r="K138">
        <v>8</v>
      </c>
      <c r="L138">
        <v>8</v>
      </c>
      <c r="M138">
        <v>1</v>
      </c>
      <c r="N138">
        <v>1</v>
      </c>
      <c r="O138" t="s">
        <v>35</v>
      </c>
      <c r="P138" t="s">
        <v>35</v>
      </c>
      <c r="Q138" t="s">
        <v>408</v>
      </c>
      <c r="R138">
        <v>0</v>
      </c>
      <c r="S138">
        <v>0</v>
      </c>
      <c r="T138" t="s">
        <v>443</v>
      </c>
    </row>
    <row r="139" spans="1:20" x14ac:dyDescent="0.3">
      <c r="A139">
        <v>323</v>
      </c>
      <c r="B139" t="s">
        <v>215</v>
      </c>
      <c r="C139" t="s">
        <v>37</v>
      </c>
      <c r="D139" t="s">
        <v>216</v>
      </c>
      <c r="E139" t="s">
        <v>31</v>
      </c>
      <c r="F139" t="s">
        <v>32</v>
      </c>
      <c r="G139" s="2">
        <v>45838</v>
      </c>
      <c r="H139">
        <v>2025</v>
      </c>
      <c r="I139" t="s">
        <v>33</v>
      </c>
      <c r="J139" t="s">
        <v>404</v>
      </c>
      <c r="K139">
        <v>1</v>
      </c>
      <c r="L139">
        <v>1</v>
      </c>
      <c r="M139">
        <v>1</v>
      </c>
      <c r="N139">
        <v>1</v>
      </c>
      <c r="O139" t="s">
        <v>35</v>
      </c>
      <c r="P139" t="s">
        <v>35</v>
      </c>
      <c r="Q139" t="s">
        <v>409</v>
      </c>
      <c r="R139">
        <v>0</v>
      </c>
      <c r="S139">
        <v>0</v>
      </c>
      <c r="T139" t="s">
        <v>443</v>
      </c>
    </row>
    <row r="140" spans="1:20" x14ac:dyDescent="0.3">
      <c r="A140">
        <v>276</v>
      </c>
      <c r="B140" t="s">
        <v>201</v>
      </c>
      <c r="C140" t="s">
        <v>37</v>
      </c>
      <c r="D140" t="s">
        <v>202</v>
      </c>
      <c r="E140" t="s">
        <v>31</v>
      </c>
      <c r="F140" t="s">
        <v>171</v>
      </c>
      <c r="G140" s="2">
        <v>45838</v>
      </c>
      <c r="H140">
        <v>2025</v>
      </c>
      <c r="I140" t="s">
        <v>33</v>
      </c>
      <c r="J140" t="s">
        <v>404</v>
      </c>
      <c r="K140">
        <v>81</v>
      </c>
      <c r="L140">
        <v>84.18</v>
      </c>
      <c r="M140">
        <v>0.96222380612972191</v>
      </c>
      <c r="N140">
        <v>0.96222380612972191</v>
      </c>
      <c r="O140" t="s">
        <v>35</v>
      </c>
      <c r="P140" t="s">
        <v>245</v>
      </c>
      <c r="Q140" t="s">
        <v>410</v>
      </c>
      <c r="R140">
        <v>0</v>
      </c>
      <c r="S140">
        <v>1</v>
      </c>
      <c r="T140" t="s">
        <v>443</v>
      </c>
    </row>
    <row r="141" spans="1:20" x14ac:dyDescent="0.3">
      <c r="A141">
        <v>14</v>
      </c>
      <c r="B141" t="s">
        <v>29</v>
      </c>
      <c r="C141" t="s">
        <v>37</v>
      </c>
      <c r="D141" t="s">
        <v>186</v>
      </c>
      <c r="E141" t="s">
        <v>31</v>
      </c>
      <c r="F141" t="s">
        <v>32</v>
      </c>
      <c r="G141" s="2">
        <v>45838</v>
      </c>
      <c r="H141">
        <v>2025</v>
      </c>
      <c r="I141" t="s">
        <v>33</v>
      </c>
      <c r="J141" t="s">
        <v>404</v>
      </c>
      <c r="K141">
        <v>53635</v>
      </c>
      <c r="L141">
        <v>56505</v>
      </c>
      <c r="M141">
        <v>1.053509834995805</v>
      </c>
      <c r="N141">
        <v>1.053509834995805</v>
      </c>
      <c r="O141" t="s">
        <v>35</v>
      </c>
      <c r="P141" t="s">
        <v>35</v>
      </c>
      <c r="Q141" t="s">
        <v>411</v>
      </c>
      <c r="R141">
        <v>0</v>
      </c>
      <c r="S141">
        <v>0</v>
      </c>
      <c r="T141" t="s">
        <v>443</v>
      </c>
    </row>
    <row r="142" spans="1:20" x14ac:dyDescent="0.3">
      <c r="A142">
        <v>379</v>
      </c>
      <c r="B142" t="s">
        <v>301</v>
      </c>
      <c r="C142" t="s">
        <v>37</v>
      </c>
      <c r="D142" t="s">
        <v>302</v>
      </c>
      <c r="E142" t="s">
        <v>31</v>
      </c>
      <c r="F142" t="s">
        <v>32</v>
      </c>
      <c r="G142" s="2">
        <v>45838</v>
      </c>
      <c r="H142">
        <v>2025</v>
      </c>
      <c r="I142" t="s">
        <v>33</v>
      </c>
      <c r="J142" t="s">
        <v>404</v>
      </c>
      <c r="K142">
        <v>13609</v>
      </c>
      <c r="L142">
        <v>14141</v>
      </c>
      <c r="M142">
        <v>1.039091777500184</v>
      </c>
      <c r="N142">
        <v>1.039091777500184</v>
      </c>
      <c r="O142" t="s">
        <v>35</v>
      </c>
      <c r="P142" t="s">
        <v>35</v>
      </c>
      <c r="Q142" t="s">
        <v>412</v>
      </c>
      <c r="R142">
        <v>0</v>
      </c>
      <c r="S142">
        <v>0</v>
      </c>
      <c r="T142" t="s">
        <v>443</v>
      </c>
    </row>
    <row r="143" spans="1:20" x14ac:dyDescent="0.3">
      <c r="A143">
        <v>274</v>
      </c>
      <c r="B143" t="s">
        <v>193</v>
      </c>
      <c r="C143" t="s">
        <v>37</v>
      </c>
      <c r="D143" t="s">
        <v>194</v>
      </c>
      <c r="E143" t="s">
        <v>31</v>
      </c>
      <c r="F143" t="s">
        <v>32</v>
      </c>
      <c r="G143" s="2">
        <v>45838</v>
      </c>
      <c r="H143">
        <v>2025</v>
      </c>
      <c r="I143" t="s">
        <v>33</v>
      </c>
      <c r="J143" t="s">
        <v>404</v>
      </c>
      <c r="K143">
        <v>40026</v>
      </c>
      <c r="L143">
        <v>42364</v>
      </c>
      <c r="M143">
        <v>1.058412032179084</v>
      </c>
      <c r="N143">
        <v>1.058412032179084</v>
      </c>
      <c r="O143" t="s">
        <v>35</v>
      </c>
      <c r="P143" t="s">
        <v>35</v>
      </c>
      <c r="Q143" t="s">
        <v>413</v>
      </c>
      <c r="R143">
        <v>0</v>
      </c>
      <c r="S143">
        <v>0</v>
      </c>
      <c r="T143" t="s">
        <v>443</v>
      </c>
    </row>
    <row r="144" spans="1:20" x14ac:dyDescent="0.3">
      <c r="A144">
        <v>14.1</v>
      </c>
      <c r="B144" t="s">
        <v>353</v>
      </c>
      <c r="C144" t="s">
        <v>37</v>
      </c>
      <c r="D144" t="s">
        <v>186</v>
      </c>
      <c r="E144" t="s">
        <v>31</v>
      </c>
      <c r="F144" t="s">
        <v>32</v>
      </c>
      <c r="G144" s="2">
        <v>45838</v>
      </c>
      <c r="H144">
        <v>2025</v>
      </c>
      <c r="I144" t="s">
        <v>33</v>
      </c>
      <c r="J144" t="s">
        <v>404</v>
      </c>
      <c r="K144">
        <v>8471</v>
      </c>
      <c r="L144">
        <v>8743</v>
      </c>
      <c r="M144">
        <v>1.0321095502301969</v>
      </c>
      <c r="N144">
        <v>1.0321095502301969</v>
      </c>
      <c r="O144" t="s">
        <v>35</v>
      </c>
      <c r="P144" t="s">
        <v>35</v>
      </c>
      <c r="Q144" t="s">
        <v>414</v>
      </c>
      <c r="R144">
        <v>0</v>
      </c>
      <c r="S144">
        <v>0</v>
      </c>
      <c r="T144" t="s">
        <v>443</v>
      </c>
    </row>
    <row r="145" spans="1:20" x14ac:dyDescent="0.3">
      <c r="A145">
        <v>14.2</v>
      </c>
      <c r="B145" t="s">
        <v>359</v>
      </c>
      <c r="C145" t="s">
        <v>37</v>
      </c>
      <c r="D145" t="s">
        <v>186</v>
      </c>
      <c r="E145" t="s">
        <v>31</v>
      </c>
      <c r="F145" t="s">
        <v>32</v>
      </c>
      <c r="G145" s="2">
        <v>45838</v>
      </c>
      <c r="H145">
        <v>2025</v>
      </c>
      <c r="I145" t="s">
        <v>33</v>
      </c>
      <c r="J145" t="s">
        <v>404</v>
      </c>
      <c r="K145">
        <v>45164</v>
      </c>
      <c r="L145">
        <v>47762</v>
      </c>
      <c r="M145">
        <v>1.0575236914356569</v>
      </c>
      <c r="N145">
        <v>1.0575236914356569</v>
      </c>
      <c r="O145" t="s">
        <v>35</v>
      </c>
      <c r="P145" t="s">
        <v>35</v>
      </c>
      <c r="Q145" t="s">
        <v>415</v>
      </c>
      <c r="R145">
        <v>0</v>
      </c>
      <c r="S145">
        <v>0</v>
      </c>
      <c r="T145" t="s">
        <v>443</v>
      </c>
    </row>
    <row r="146" spans="1:20" x14ac:dyDescent="0.3">
      <c r="A146">
        <v>14.3</v>
      </c>
      <c r="B146" t="s">
        <v>365</v>
      </c>
      <c r="C146" t="s">
        <v>37</v>
      </c>
      <c r="D146" t="s">
        <v>186</v>
      </c>
      <c r="E146" t="s">
        <v>31</v>
      </c>
      <c r="F146" t="s">
        <v>32</v>
      </c>
      <c r="G146" s="2">
        <v>45838</v>
      </c>
      <c r="H146">
        <v>2025</v>
      </c>
      <c r="I146" t="s">
        <v>33</v>
      </c>
      <c r="J146" t="s">
        <v>404</v>
      </c>
      <c r="K146">
        <v>49641</v>
      </c>
      <c r="L146">
        <v>52096</v>
      </c>
      <c r="M146">
        <v>1.0494550875284541</v>
      </c>
      <c r="N146">
        <v>1.0494550875284541</v>
      </c>
      <c r="O146" t="s">
        <v>35</v>
      </c>
      <c r="P146" t="s">
        <v>35</v>
      </c>
      <c r="Q146" t="s">
        <v>416</v>
      </c>
      <c r="R146">
        <v>0</v>
      </c>
      <c r="S146">
        <v>0</v>
      </c>
      <c r="T146" t="s">
        <v>443</v>
      </c>
    </row>
    <row r="147" spans="1:20" x14ac:dyDescent="0.3">
      <c r="A147">
        <v>14.4</v>
      </c>
      <c r="B147" t="s">
        <v>371</v>
      </c>
      <c r="C147" t="s">
        <v>37</v>
      </c>
      <c r="D147" t="s">
        <v>186</v>
      </c>
      <c r="E147" t="s">
        <v>31</v>
      </c>
      <c r="F147" t="s">
        <v>32</v>
      </c>
      <c r="G147" s="2">
        <v>45838</v>
      </c>
      <c r="H147">
        <v>2025</v>
      </c>
      <c r="I147" t="s">
        <v>33</v>
      </c>
      <c r="J147" t="s">
        <v>404</v>
      </c>
      <c r="K147">
        <v>3994</v>
      </c>
      <c r="L147">
        <v>4409</v>
      </c>
      <c r="M147">
        <v>1.103905858788182</v>
      </c>
      <c r="N147">
        <v>1.103905858788182</v>
      </c>
      <c r="O147" t="s">
        <v>35</v>
      </c>
      <c r="P147" t="s">
        <v>35</v>
      </c>
      <c r="Q147" t="s">
        <v>417</v>
      </c>
      <c r="R147">
        <v>0</v>
      </c>
      <c r="S147">
        <v>0</v>
      </c>
      <c r="T147" t="s">
        <v>443</v>
      </c>
    </row>
    <row r="148" spans="1:20" x14ac:dyDescent="0.3">
      <c r="A148">
        <v>423</v>
      </c>
      <c r="B148" t="s">
        <v>320</v>
      </c>
      <c r="C148" t="s">
        <v>37</v>
      </c>
      <c r="D148" t="s">
        <v>83</v>
      </c>
      <c r="E148" t="s">
        <v>66</v>
      </c>
      <c r="F148" t="s">
        <v>32</v>
      </c>
      <c r="G148" s="2">
        <v>45838</v>
      </c>
      <c r="H148">
        <v>2025</v>
      </c>
      <c r="I148" t="s">
        <v>33</v>
      </c>
      <c r="J148" t="s">
        <v>404</v>
      </c>
      <c r="K148">
        <v>8.3000000000000007</v>
      </c>
      <c r="L148">
        <v>12.3</v>
      </c>
      <c r="M148">
        <v>1.3</v>
      </c>
      <c r="N148">
        <v>1.481927710843373</v>
      </c>
      <c r="O148" t="s">
        <v>245</v>
      </c>
      <c r="P148" t="s">
        <v>245</v>
      </c>
      <c r="Q148" t="s">
        <v>455</v>
      </c>
      <c r="R148">
        <v>1</v>
      </c>
      <c r="S148">
        <v>1</v>
      </c>
      <c r="T148" t="s">
        <v>443</v>
      </c>
    </row>
    <row r="149" spans="1:20" x14ac:dyDescent="0.3">
      <c r="A149">
        <v>97</v>
      </c>
      <c r="B149" t="s">
        <v>82</v>
      </c>
      <c r="C149" t="s">
        <v>37</v>
      </c>
      <c r="D149" t="s">
        <v>83</v>
      </c>
      <c r="E149" t="s">
        <v>31</v>
      </c>
      <c r="F149" t="s">
        <v>32</v>
      </c>
      <c r="G149" s="2">
        <v>45838</v>
      </c>
      <c r="H149">
        <v>2025</v>
      </c>
      <c r="I149" t="s">
        <v>33</v>
      </c>
      <c r="J149" t="s">
        <v>404</v>
      </c>
      <c r="K149">
        <v>0</v>
      </c>
      <c r="L149">
        <v>0</v>
      </c>
      <c r="O149" t="s">
        <v>35</v>
      </c>
      <c r="P149" t="s">
        <v>35</v>
      </c>
      <c r="Q149" t="s">
        <v>456</v>
      </c>
      <c r="R149">
        <v>0</v>
      </c>
      <c r="S149">
        <v>0</v>
      </c>
      <c r="T149" t="s">
        <v>443</v>
      </c>
    </row>
    <row r="150" spans="1:20" x14ac:dyDescent="0.3">
      <c r="A150">
        <v>98</v>
      </c>
      <c r="B150" t="s">
        <v>91</v>
      </c>
      <c r="C150" t="s">
        <v>37</v>
      </c>
      <c r="D150" t="s">
        <v>83</v>
      </c>
      <c r="E150" t="s">
        <v>31</v>
      </c>
      <c r="F150" t="s">
        <v>32</v>
      </c>
      <c r="G150" s="2">
        <v>45838</v>
      </c>
      <c r="H150">
        <v>2025</v>
      </c>
      <c r="I150" t="s">
        <v>33</v>
      </c>
      <c r="J150" t="s">
        <v>404</v>
      </c>
      <c r="K150">
        <v>10</v>
      </c>
      <c r="L150">
        <v>10</v>
      </c>
      <c r="M150">
        <v>1</v>
      </c>
      <c r="N150">
        <v>1</v>
      </c>
      <c r="O150" t="s">
        <v>35</v>
      </c>
      <c r="P150" t="s">
        <v>35</v>
      </c>
      <c r="Q150" t="s">
        <v>418</v>
      </c>
      <c r="R150">
        <v>0</v>
      </c>
      <c r="S150">
        <v>0</v>
      </c>
      <c r="T150" t="s">
        <v>443</v>
      </c>
    </row>
    <row r="151" spans="1:20" x14ac:dyDescent="0.3">
      <c r="A151">
        <v>194</v>
      </c>
      <c r="B151" t="s">
        <v>121</v>
      </c>
      <c r="C151" t="s">
        <v>37</v>
      </c>
      <c r="D151" t="s">
        <v>30</v>
      </c>
      <c r="E151" t="s">
        <v>31</v>
      </c>
      <c r="F151" t="s">
        <v>32</v>
      </c>
      <c r="G151" s="2">
        <v>45838</v>
      </c>
      <c r="H151">
        <v>2025</v>
      </c>
      <c r="I151" t="s">
        <v>33</v>
      </c>
      <c r="J151" t="s">
        <v>404</v>
      </c>
      <c r="K151">
        <v>80</v>
      </c>
      <c r="L151">
        <v>90</v>
      </c>
      <c r="M151">
        <v>1.125</v>
      </c>
      <c r="N151">
        <v>1.125</v>
      </c>
      <c r="O151" t="s">
        <v>58</v>
      </c>
      <c r="P151" t="s">
        <v>58</v>
      </c>
      <c r="Q151" t="s">
        <v>419</v>
      </c>
      <c r="R151">
        <v>0</v>
      </c>
      <c r="S151">
        <v>0</v>
      </c>
      <c r="T151" t="s">
        <v>443</v>
      </c>
    </row>
    <row r="152" spans="1:20" x14ac:dyDescent="0.3">
      <c r="A152">
        <v>193</v>
      </c>
      <c r="B152" t="s">
        <v>110</v>
      </c>
      <c r="C152" t="s">
        <v>37</v>
      </c>
      <c r="D152" t="s">
        <v>30</v>
      </c>
      <c r="E152" t="s">
        <v>31</v>
      </c>
      <c r="F152" t="s">
        <v>32</v>
      </c>
      <c r="G152" s="2">
        <v>45838</v>
      </c>
      <c r="H152">
        <v>2025</v>
      </c>
      <c r="I152" t="s">
        <v>33</v>
      </c>
      <c r="J152" t="s">
        <v>404</v>
      </c>
      <c r="K152">
        <v>93</v>
      </c>
      <c r="L152">
        <v>96.21</v>
      </c>
      <c r="M152">
        <v>1.034516129032258</v>
      </c>
      <c r="N152">
        <v>1.034516129032258</v>
      </c>
      <c r="O152" t="s">
        <v>58</v>
      </c>
      <c r="P152" t="s">
        <v>58</v>
      </c>
      <c r="Q152" t="s">
        <v>420</v>
      </c>
      <c r="R152">
        <v>1</v>
      </c>
      <c r="S152">
        <v>1</v>
      </c>
      <c r="T152" t="s">
        <v>443</v>
      </c>
    </row>
    <row r="153" spans="1:20" x14ac:dyDescent="0.3">
      <c r="A153">
        <v>466</v>
      </c>
      <c r="B153" t="s">
        <v>341</v>
      </c>
      <c r="C153" t="s">
        <v>37</v>
      </c>
      <c r="D153" t="s">
        <v>30</v>
      </c>
      <c r="E153" t="s">
        <v>31</v>
      </c>
      <c r="F153" t="s">
        <v>32</v>
      </c>
      <c r="G153" s="2">
        <v>45838</v>
      </c>
      <c r="H153">
        <v>2025</v>
      </c>
      <c r="I153" t="s">
        <v>33</v>
      </c>
      <c r="J153" t="s">
        <v>404</v>
      </c>
      <c r="K153">
        <v>50</v>
      </c>
      <c r="L153">
        <v>53.8</v>
      </c>
      <c r="M153">
        <v>1.0760000000000001</v>
      </c>
      <c r="N153">
        <v>1.0760000000000001</v>
      </c>
      <c r="O153" t="s">
        <v>35</v>
      </c>
      <c r="P153" t="s">
        <v>245</v>
      </c>
      <c r="Q153" t="s">
        <v>457</v>
      </c>
      <c r="R153">
        <v>1</v>
      </c>
      <c r="S153">
        <v>1</v>
      </c>
      <c r="T153" t="s">
        <v>443</v>
      </c>
    </row>
    <row r="154" spans="1:20" x14ac:dyDescent="0.3">
      <c r="A154">
        <v>245</v>
      </c>
      <c r="B154" t="s">
        <v>185</v>
      </c>
      <c r="C154" t="s">
        <v>37</v>
      </c>
      <c r="D154" t="s">
        <v>186</v>
      </c>
      <c r="E154" t="s">
        <v>31</v>
      </c>
      <c r="F154" t="s">
        <v>32</v>
      </c>
      <c r="G154" s="2">
        <v>45838</v>
      </c>
      <c r="H154">
        <v>2025</v>
      </c>
      <c r="I154" t="s">
        <v>33</v>
      </c>
      <c r="J154" t="s">
        <v>404</v>
      </c>
      <c r="K154">
        <v>85.7</v>
      </c>
      <c r="L154">
        <v>86.5</v>
      </c>
      <c r="M154">
        <v>1.009334889148191</v>
      </c>
      <c r="N154">
        <v>1.009334889148191</v>
      </c>
      <c r="O154" t="s">
        <v>58</v>
      </c>
      <c r="P154" t="s">
        <v>58</v>
      </c>
      <c r="Q154" t="s">
        <v>421</v>
      </c>
      <c r="R154">
        <v>1</v>
      </c>
      <c r="S154">
        <v>1</v>
      </c>
      <c r="T154" t="s">
        <v>443</v>
      </c>
    </row>
    <row r="155" spans="1:20" x14ac:dyDescent="0.3">
      <c r="A155">
        <v>205</v>
      </c>
      <c r="B155" t="s">
        <v>161</v>
      </c>
      <c r="C155" t="s">
        <v>37</v>
      </c>
      <c r="D155" t="s">
        <v>142</v>
      </c>
      <c r="E155" t="s">
        <v>31</v>
      </c>
      <c r="F155" t="s">
        <v>32</v>
      </c>
      <c r="G155" s="2">
        <v>45838</v>
      </c>
      <c r="H155">
        <v>2025</v>
      </c>
      <c r="I155" t="s">
        <v>33</v>
      </c>
      <c r="J155" t="s">
        <v>404</v>
      </c>
      <c r="K155">
        <v>4817.8363419999996</v>
      </c>
      <c r="L155">
        <v>8976.1202028999996</v>
      </c>
      <c r="M155">
        <v>1.3</v>
      </c>
      <c r="N155">
        <v>1.8631019332578229</v>
      </c>
      <c r="O155" t="s">
        <v>143</v>
      </c>
      <c r="P155" t="s">
        <v>143</v>
      </c>
      <c r="Q155" t="s">
        <v>422</v>
      </c>
      <c r="R155">
        <v>0</v>
      </c>
      <c r="S155">
        <v>0</v>
      </c>
      <c r="T155" t="s">
        <v>443</v>
      </c>
    </row>
    <row r="156" spans="1:20" x14ac:dyDescent="0.3">
      <c r="A156">
        <v>204</v>
      </c>
      <c r="B156" t="s">
        <v>154</v>
      </c>
      <c r="C156" t="s">
        <v>37</v>
      </c>
      <c r="D156" t="s">
        <v>142</v>
      </c>
      <c r="E156" t="s">
        <v>31</v>
      </c>
      <c r="F156" t="s">
        <v>32</v>
      </c>
      <c r="G156" s="2">
        <v>45838</v>
      </c>
      <c r="H156">
        <v>2025</v>
      </c>
      <c r="I156" t="s">
        <v>33</v>
      </c>
      <c r="J156" t="s">
        <v>404</v>
      </c>
      <c r="K156">
        <v>23623.074006999999</v>
      </c>
      <c r="L156">
        <v>20526.599049</v>
      </c>
      <c r="M156">
        <v>0.86892159093763788</v>
      </c>
      <c r="N156">
        <v>0.86892159093763788</v>
      </c>
      <c r="O156" t="s">
        <v>143</v>
      </c>
      <c r="P156" t="s">
        <v>143</v>
      </c>
      <c r="Q156" t="s">
        <v>423</v>
      </c>
      <c r="R156">
        <v>0</v>
      </c>
      <c r="S156">
        <v>0</v>
      </c>
      <c r="T156" t="s">
        <v>443</v>
      </c>
    </row>
    <row r="157" spans="1:20" x14ac:dyDescent="0.3">
      <c r="A157">
        <v>377</v>
      </c>
      <c r="B157" t="s">
        <v>296</v>
      </c>
      <c r="C157" t="s">
        <v>37</v>
      </c>
      <c r="D157" t="s">
        <v>142</v>
      </c>
      <c r="E157" t="s">
        <v>31</v>
      </c>
      <c r="F157" t="s">
        <v>171</v>
      </c>
      <c r="G157" s="2">
        <v>45838</v>
      </c>
      <c r="H157">
        <v>2025</v>
      </c>
      <c r="I157" t="s">
        <v>33</v>
      </c>
      <c r="J157" t="s">
        <v>404</v>
      </c>
      <c r="K157">
        <v>9557.1950106811255</v>
      </c>
      <c r="L157">
        <v>11947.626618</v>
      </c>
      <c r="M157">
        <v>1.2501185342192269</v>
      </c>
      <c r="N157">
        <v>1.2501185342192269</v>
      </c>
      <c r="O157" t="s">
        <v>143</v>
      </c>
      <c r="P157" t="s">
        <v>143</v>
      </c>
      <c r="Q157" t="s">
        <v>458</v>
      </c>
      <c r="R157">
        <v>0</v>
      </c>
      <c r="S157">
        <v>0</v>
      </c>
      <c r="T157" t="s">
        <v>443</v>
      </c>
    </row>
    <row r="158" spans="1:20" x14ac:dyDescent="0.3">
      <c r="A158">
        <v>367</v>
      </c>
      <c r="B158" t="s">
        <v>279</v>
      </c>
      <c r="C158" t="s">
        <v>37</v>
      </c>
      <c r="D158" t="s">
        <v>267</v>
      </c>
      <c r="E158" t="s">
        <v>66</v>
      </c>
      <c r="F158" t="s">
        <v>32</v>
      </c>
      <c r="G158" s="2">
        <v>45838</v>
      </c>
      <c r="H158">
        <v>2025</v>
      </c>
      <c r="I158" t="s">
        <v>33</v>
      </c>
      <c r="J158" t="s">
        <v>404</v>
      </c>
      <c r="K158">
        <v>5</v>
      </c>
      <c r="L158">
        <v>4.96</v>
      </c>
      <c r="M158">
        <v>0.99199999999999999</v>
      </c>
      <c r="N158">
        <v>0.99199999999999999</v>
      </c>
      <c r="O158" t="s">
        <v>58</v>
      </c>
      <c r="P158" t="s">
        <v>58</v>
      </c>
      <c r="Q158" t="s">
        <v>459</v>
      </c>
      <c r="R158">
        <v>1</v>
      </c>
      <c r="S158">
        <v>2</v>
      </c>
      <c r="T158" t="s">
        <v>443</v>
      </c>
    </row>
    <row r="159" spans="1:20" x14ac:dyDescent="0.3">
      <c r="A159">
        <v>364</v>
      </c>
      <c r="B159" t="s">
        <v>271</v>
      </c>
      <c r="C159" t="s">
        <v>474</v>
      </c>
      <c r="D159" t="s">
        <v>267</v>
      </c>
      <c r="E159" t="s">
        <v>31</v>
      </c>
      <c r="F159" t="s">
        <v>32</v>
      </c>
      <c r="G159" s="2">
        <v>45838</v>
      </c>
      <c r="H159">
        <v>2025</v>
      </c>
      <c r="I159" t="s">
        <v>33</v>
      </c>
      <c r="J159" t="s">
        <v>404</v>
      </c>
      <c r="K159">
        <v>33279</v>
      </c>
      <c r="L159">
        <v>131244</v>
      </c>
      <c r="M159">
        <v>1.3</v>
      </c>
      <c r="N159">
        <v>3.9437483097448842</v>
      </c>
      <c r="O159" t="s">
        <v>35</v>
      </c>
      <c r="P159" t="s">
        <v>35</v>
      </c>
      <c r="Q159" t="s">
        <v>424</v>
      </c>
      <c r="R159">
        <v>0</v>
      </c>
      <c r="S159">
        <v>0</v>
      </c>
      <c r="T159" t="s">
        <v>443</v>
      </c>
    </row>
    <row r="160" spans="1:20" x14ac:dyDescent="0.3">
      <c r="A160">
        <v>376</v>
      </c>
      <c r="B160" t="s">
        <v>473</v>
      </c>
      <c r="C160" t="s">
        <v>37</v>
      </c>
      <c r="D160" t="s">
        <v>142</v>
      </c>
      <c r="E160" t="s">
        <v>31</v>
      </c>
      <c r="F160" t="s">
        <v>32</v>
      </c>
      <c r="G160" s="2">
        <v>45838</v>
      </c>
      <c r="H160">
        <v>2025</v>
      </c>
      <c r="I160" t="s">
        <v>33</v>
      </c>
      <c r="J160" t="s">
        <v>404</v>
      </c>
      <c r="K160">
        <v>18705.796225999999</v>
      </c>
      <c r="L160">
        <v>22048.226769000001</v>
      </c>
      <c r="M160">
        <v>1.178684216518632</v>
      </c>
      <c r="N160">
        <v>1.178684216518632</v>
      </c>
      <c r="O160" t="s">
        <v>143</v>
      </c>
      <c r="P160" t="s">
        <v>143</v>
      </c>
      <c r="Q160" t="s">
        <v>425</v>
      </c>
      <c r="R160">
        <v>0</v>
      </c>
      <c r="S160">
        <v>0</v>
      </c>
      <c r="T160" t="s">
        <v>443</v>
      </c>
    </row>
    <row r="161" spans="1:20" x14ac:dyDescent="0.3">
      <c r="A161">
        <v>228</v>
      </c>
      <c r="B161" t="s">
        <v>176</v>
      </c>
      <c r="C161" t="s">
        <v>37</v>
      </c>
      <c r="D161" t="s">
        <v>177</v>
      </c>
      <c r="E161" t="s">
        <v>66</v>
      </c>
      <c r="F161" t="s">
        <v>32</v>
      </c>
      <c r="G161" s="2">
        <v>45838</v>
      </c>
      <c r="H161">
        <v>2025</v>
      </c>
      <c r="I161" t="s">
        <v>33</v>
      </c>
      <c r="J161" t="s">
        <v>404</v>
      </c>
      <c r="K161">
        <v>622.69000000000005</v>
      </c>
      <c r="L161">
        <v>622.69100000000003</v>
      </c>
      <c r="M161">
        <v>1</v>
      </c>
      <c r="N161">
        <v>1.0000016059355381</v>
      </c>
      <c r="O161" t="s">
        <v>445</v>
      </c>
      <c r="P161" t="s">
        <v>445</v>
      </c>
      <c r="Q161" t="s">
        <v>460</v>
      </c>
      <c r="R161">
        <v>1</v>
      </c>
      <c r="S161">
        <v>1</v>
      </c>
      <c r="T161" t="s">
        <v>443</v>
      </c>
    </row>
    <row r="162" spans="1:20" x14ac:dyDescent="0.3">
      <c r="A162">
        <v>203</v>
      </c>
      <c r="B162" t="s">
        <v>141</v>
      </c>
      <c r="C162" t="s">
        <v>37</v>
      </c>
      <c r="D162" t="s">
        <v>142</v>
      </c>
      <c r="E162" t="s">
        <v>31</v>
      </c>
      <c r="F162" t="s">
        <v>32</v>
      </c>
      <c r="G162" s="2">
        <v>45838</v>
      </c>
      <c r="H162">
        <v>2025</v>
      </c>
      <c r="I162" t="s">
        <v>33</v>
      </c>
      <c r="J162" t="s">
        <v>404</v>
      </c>
      <c r="K162">
        <v>149950.76733</v>
      </c>
      <c r="L162">
        <v>167595.14529690001</v>
      </c>
      <c r="M162">
        <v>1.1176678071147821</v>
      </c>
      <c r="N162">
        <v>1.1176678071147821</v>
      </c>
      <c r="O162" t="s">
        <v>143</v>
      </c>
      <c r="P162" t="s">
        <v>143</v>
      </c>
      <c r="Q162" t="s">
        <v>426</v>
      </c>
      <c r="R162">
        <v>0</v>
      </c>
      <c r="S162">
        <v>0</v>
      </c>
      <c r="T162" t="s">
        <v>443</v>
      </c>
    </row>
    <row r="163" spans="1:20" x14ac:dyDescent="0.3">
      <c r="A163">
        <v>207</v>
      </c>
      <c r="B163" t="s">
        <v>170</v>
      </c>
      <c r="C163" t="s">
        <v>37</v>
      </c>
      <c r="D163" t="s">
        <v>142</v>
      </c>
      <c r="E163" t="s">
        <v>31</v>
      </c>
      <c r="F163" t="s">
        <v>171</v>
      </c>
      <c r="G163" s="2">
        <v>45838</v>
      </c>
      <c r="H163">
        <v>2025</v>
      </c>
      <c r="I163" t="s">
        <v>33</v>
      </c>
      <c r="J163" t="s">
        <v>404</v>
      </c>
      <c r="K163">
        <v>131244.07283600001</v>
      </c>
      <c r="L163">
        <v>145546.91852800001</v>
      </c>
      <c r="M163">
        <v>1.108978983834741</v>
      </c>
      <c r="N163">
        <v>1.108978983834741</v>
      </c>
      <c r="O163" t="s">
        <v>143</v>
      </c>
      <c r="P163" t="s">
        <v>143</v>
      </c>
      <c r="Q163" t="s">
        <v>427</v>
      </c>
      <c r="R163">
        <v>0</v>
      </c>
      <c r="S163">
        <v>0</v>
      </c>
      <c r="T163" t="s">
        <v>443</v>
      </c>
    </row>
    <row r="164" spans="1:20" x14ac:dyDescent="0.3">
      <c r="A164">
        <v>361</v>
      </c>
      <c r="B164" t="s">
        <v>470</v>
      </c>
      <c r="C164" t="s">
        <v>37</v>
      </c>
      <c r="D164" t="s">
        <v>267</v>
      </c>
      <c r="E164" t="s">
        <v>66</v>
      </c>
      <c r="F164" t="s">
        <v>32</v>
      </c>
      <c r="G164" s="2">
        <v>45838</v>
      </c>
      <c r="H164">
        <v>2025</v>
      </c>
      <c r="I164" t="s">
        <v>33</v>
      </c>
      <c r="J164" t="s">
        <v>404</v>
      </c>
      <c r="K164">
        <v>4.5</v>
      </c>
      <c r="L164">
        <v>4.5599999999999996</v>
      </c>
      <c r="M164">
        <v>1.013333333333333</v>
      </c>
      <c r="N164">
        <v>1.013333333333333</v>
      </c>
      <c r="O164" t="s">
        <v>245</v>
      </c>
      <c r="P164" t="s">
        <v>245</v>
      </c>
      <c r="Q164" t="s">
        <v>461</v>
      </c>
      <c r="R164">
        <v>1</v>
      </c>
      <c r="S164">
        <v>2</v>
      </c>
      <c r="T164" t="s">
        <v>443</v>
      </c>
    </row>
    <row r="165" spans="1:20" x14ac:dyDescent="0.3">
      <c r="A165">
        <v>244</v>
      </c>
      <c r="B165" t="s">
        <v>182</v>
      </c>
      <c r="C165" t="s">
        <v>37</v>
      </c>
      <c r="D165" t="s">
        <v>177</v>
      </c>
      <c r="E165" t="s">
        <v>66</v>
      </c>
      <c r="F165" t="s">
        <v>171</v>
      </c>
      <c r="G165" s="2">
        <v>45838</v>
      </c>
      <c r="H165">
        <v>2025</v>
      </c>
      <c r="I165" t="s">
        <v>33</v>
      </c>
      <c r="J165" t="s">
        <v>404</v>
      </c>
      <c r="K165">
        <v>25</v>
      </c>
      <c r="L165">
        <v>25</v>
      </c>
      <c r="M165">
        <v>1</v>
      </c>
      <c r="N165">
        <v>1</v>
      </c>
      <c r="O165" t="s">
        <v>35</v>
      </c>
      <c r="P165" t="s">
        <v>35</v>
      </c>
      <c r="Q165" t="s">
        <v>462</v>
      </c>
      <c r="R165">
        <v>0</v>
      </c>
      <c r="S165">
        <v>0</v>
      </c>
      <c r="T165" t="s">
        <v>443</v>
      </c>
    </row>
    <row r="166" spans="1:20" x14ac:dyDescent="0.3">
      <c r="A166">
        <v>369</v>
      </c>
      <c r="B166" t="s">
        <v>283</v>
      </c>
      <c r="C166" t="s">
        <v>37</v>
      </c>
      <c r="D166" t="s">
        <v>267</v>
      </c>
      <c r="E166" t="s">
        <v>31</v>
      </c>
      <c r="F166" t="s">
        <v>32</v>
      </c>
      <c r="G166" s="2">
        <v>45838</v>
      </c>
      <c r="H166">
        <v>2025</v>
      </c>
      <c r="I166" t="s">
        <v>33</v>
      </c>
      <c r="J166" t="s">
        <v>404</v>
      </c>
      <c r="K166">
        <v>81</v>
      </c>
      <c r="L166">
        <v>72</v>
      </c>
      <c r="M166">
        <v>0.88888888888888884</v>
      </c>
      <c r="N166">
        <v>0.88888888888888884</v>
      </c>
      <c r="O166" t="s">
        <v>35</v>
      </c>
      <c r="P166" t="s">
        <v>35</v>
      </c>
      <c r="Q166" t="s">
        <v>428</v>
      </c>
      <c r="R166">
        <v>0</v>
      </c>
      <c r="S166">
        <v>0</v>
      </c>
      <c r="T166" t="s">
        <v>443</v>
      </c>
    </row>
    <row r="167" spans="1:20" x14ac:dyDescent="0.3">
      <c r="A167">
        <v>331</v>
      </c>
      <c r="B167" t="s">
        <v>231</v>
      </c>
      <c r="C167" t="s">
        <v>474</v>
      </c>
      <c r="D167" t="s">
        <v>232</v>
      </c>
      <c r="E167" t="s">
        <v>66</v>
      </c>
      <c r="F167" t="s">
        <v>32</v>
      </c>
      <c r="G167" s="2">
        <v>45838</v>
      </c>
      <c r="H167">
        <v>2025</v>
      </c>
      <c r="I167" t="s">
        <v>33</v>
      </c>
      <c r="J167" t="s">
        <v>404</v>
      </c>
      <c r="L167">
        <v>82</v>
      </c>
      <c r="O167" t="s">
        <v>429</v>
      </c>
      <c r="P167" t="s">
        <v>58</v>
      </c>
      <c r="Q167" t="s">
        <v>430</v>
      </c>
      <c r="R167">
        <v>0</v>
      </c>
      <c r="S167">
        <v>0</v>
      </c>
      <c r="T167" t="s">
        <v>443</v>
      </c>
    </row>
    <row r="168" spans="1:20" x14ac:dyDescent="0.3">
      <c r="A168">
        <v>332</v>
      </c>
      <c r="B168" t="s">
        <v>239</v>
      </c>
      <c r="C168" t="s">
        <v>37</v>
      </c>
      <c r="D168" t="s">
        <v>130</v>
      </c>
      <c r="E168" t="s">
        <v>31</v>
      </c>
      <c r="F168" t="s">
        <v>171</v>
      </c>
      <c r="G168" s="2">
        <v>45838</v>
      </c>
      <c r="H168">
        <v>2025</v>
      </c>
      <c r="I168" t="s">
        <v>33</v>
      </c>
      <c r="J168" t="s">
        <v>404</v>
      </c>
      <c r="K168">
        <v>1.5</v>
      </c>
      <c r="L168">
        <v>1.1499999999999999</v>
      </c>
      <c r="M168">
        <v>1.3</v>
      </c>
      <c r="N168">
        <v>1.304347826086957</v>
      </c>
      <c r="O168" t="s">
        <v>245</v>
      </c>
      <c r="P168" t="s">
        <v>245</v>
      </c>
      <c r="Q168" t="s">
        <v>431</v>
      </c>
      <c r="R168">
        <v>2</v>
      </c>
      <c r="S168">
        <v>2</v>
      </c>
      <c r="T168" t="s">
        <v>443</v>
      </c>
    </row>
    <row r="169" spans="1:20" x14ac:dyDescent="0.3">
      <c r="A169">
        <v>202</v>
      </c>
      <c r="B169" t="s">
        <v>137</v>
      </c>
      <c r="C169" t="s">
        <v>37</v>
      </c>
      <c r="D169" t="s">
        <v>130</v>
      </c>
      <c r="E169" t="s">
        <v>66</v>
      </c>
      <c r="F169" t="s">
        <v>32</v>
      </c>
      <c r="G169" s="2">
        <v>45838</v>
      </c>
      <c r="H169">
        <v>2025</v>
      </c>
      <c r="I169" t="s">
        <v>33</v>
      </c>
      <c r="J169" t="s">
        <v>404</v>
      </c>
      <c r="K169">
        <v>68.7</v>
      </c>
      <c r="L169">
        <v>81</v>
      </c>
      <c r="M169">
        <v>1.179039301310044</v>
      </c>
      <c r="N169">
        <v>1.179039301310044</v>
      </c>
      <c r="O169" t="s">
        <v>245</v>
      </c>
      <c r="P169" t="s">
        <v>245</v>
      </c>
      <c r="Q169" t="s">
        <v>432</v>
      </c>
      <c r="R169">
        <v>1</v>
      </c>
      <c r="S169">
        <v>1</v>
      </c>
      <c r="T169" t="s">
        <v>443</v>
      </c>
    </row>
    <row r="170" spans="1:20" x14ac:dyDescent="0.3">
      <c r="A170">
        <v>200</v>
      </c>
      <c r="B170" t="s">
        <v>129</v>
      </c>
      <c r="C170" t="s">
        <v>37</v>
      </c>
      <c r="D170" t="s">
        <v>130</v>
      </c>
      <c r="E170" t="s">
        <v>66</v>
      </c>
      <c r="F170" t="s">
        <v>32</v>
      </c>
      <c r="G170" s="2">
        <v>45838</v>
      </c>
      <c r="H170">
        <v>2025</v>
      </c>
      <c r="I170" t="s">
        <v>33</v>
      </c>
      <c r="J170" t="s">
        <v>404</v>
      </c>
      <c r="K170">
        <v>80</v>
      </c>
      <c r="L170">
        <v>87.4</v>
      </c>
      <c r="M170">
        <v>1.0925</v>
      </c>
      <c r="N170">
        <v>1.0925</v>
      </c>
      <c r="O170" t="s">
        <v>58</v>
      </c>
      <c r="P170" t="s">
        <v>58</v>
      </c>
      <c r="Q170" t="s">
        <v>463</v>
      </c>
      <c r="R170">
        <v>0</v>
      </c>
      <c r="S170">
        <v>1</v>
      </c>
      <c r="T170" t="s">
        <v>443</v>
      </c>
    </row>
    <row r="171" spans="1:20" x14ac:dyDescent="0.3">
      <c r="A171">
        <v>109</v>
      </c>
      <c r="B171" t="s">
        <v>469</v>
      </c>
      <c r="C171" t="s">
        <v>37</v>
      </c>
      <c r="D171" t="s">
        <v>99</v>
      </c>
      <c r="E171" t="s">
        <v>66</v>
      </c>
      <c r="F171" t="s">
        <v>32</v>
      </c>
      <c r="G171" s="2">
        <v>45838</v>
      </c>
      <c r="H171">
        <v>2025</v>
      </c>
      <c r="I171" t="s">
        <v>33</v>
      </c>
      <c r="J171" t="s">
        <v>404</v>
      </c>
      <c r="K171">
        <v>80</v>
      </c>
      <c r="L171">
        <v>85</v>
      </c>
      <c r="M171">
        <v>1.0625</v>
      </c>
      <c r="N171">
        <v>1.0625</v>
      </c>
      <c r="O171" t="s">
        <v>58</v>
      </c>
      <c r="P171" t="s">
        <v>58</v>
      </c>
      <c r="Q171" t="s">
        <v>464</v>
      </c>
      <c r="R171">
        <v>0</v>
      </c>
      <c r="S171">
        <v>0</v>
      </c>
      <c r="T171" t="s">
        <v>443</v>
      </c>
    </row>
    <row r="172" spans="1:20" x14ac:dyDescent="0.3">
      <c r="A172">
        <v>335</v>
      </c>
      <c r="B172" t="s">
        <v>252</v>
      </c>
      <c r="C172" t="s">
        <v>474</v>
      </c>
      <c r="D172" t="s">
        <v>130</v>
      </c>
      <c r="E172" t="s">
        <v>66</v>
      </c>
      <c r="F172" t="s">
        <v>32</v>
      </c>
      <c r="G172" s="2">
        <v>46022</v>
      </c>
      <c r="H172">
        <v>2025</v>
      </c>
      <c r="I172" t="s">
        <v>44</v>
      </c>
      <c r="J172" t="s">
        <v>465</v>
      </c>
      <c r="K172">
        <v>82</v>
      </c>
      <c r="L172">
        <v>80.95</v>
      </c>
      <c r="M172">
        <v>0.9871951219512195</v>
      </c>
      <c r="N172">
        <v>0.9871951219512195</v>
      </c>
      <c r="O172" t="s">
        <v>58</v>
      </c>
      <c r="P172" t="s">
        <v>58</v>
      </c>
      <c r="Q172" t="s">
        <v>466</v>
      </c>
      <c r="R172">
        <v>0</v>
      </c>
      <c r="S172">
        <v>0</v>
      </c>
      <c r="T172" t="s">
        <v>443</v>
      </c>
    </row>
    <row r="173" spans="1:20" x14ac:dyDescent="0.3">
      <c r="A173">
        <v>334</v>
      </c>
      <c r="B173" t="s">
        <v>248</v>
      </c>
      <c r="C173" t="s">
        <v>474</v>
      </c>
      <c r="D173" t="s">
        <v>130</v>
      </c>
      <c r="E173" t="s">
        <v>66</v>
      </c>
      <c r="F173" t="s">
        <v>32</v>
      </c>
      <c r="G173" s="2">
        <v>45838</v>
      </c>
      <c r="H173">
        <v>2025</v>
      </c>
      <c r="I173" t="s">
        <v>33</v>
      </c>
      <c r="J173" t="s">
        <v>404</v>
      </c>
      <c r="K173">
        <v>88</v>
      </c>
      <c r="L173">
        <v>88.84</v>
      </c>
      <c r="M173">
        <v>1.009545454545455</v>
      </c>
      <c r="N173">
        <v>1.009545454545455</v>
      </c>
      <c r="O173" t="s">
        <v>35</v>
      </c>
      <c r="P173" t="s">
        <v>245</v>
      </c>
      <c r="Q173" t="s">
        <v>467</v>
      </c>
      <c r="R173">
        <v>0</v>
      </c>
      <c r="S173">
        <v>1</v>
      </c>
      <c r="T173" t="s">
        <v>443</v>
      </c>
    </row>
    <row r="174" spans="1:20" x14ac:dyDescent="0.3">
      <c r="A174">
        <v>77</v>
      </c>
      <c r="B174" t="s">
        <v>55</v>
      </c>
      <c r="C174" t="s">
        <v>37</v>
      </c>
      <c r="D174" t="s">
        <v>56</v>
      </c>
      <c r="E174" t="s">
        <v>57</v>
      </c>
      <c r="F174" t="s">
        <v>32</v>
      </c>
      <c r="G174" s="2">
        <v>45838</v>
      </c>
      <c r="H174">
        <v>2025</v>
      </c>
      <c r="I174" t="s">
        <v>33</v>
      </c>
      <c r="J174" t="s">
        <v>404</v>
      </c>
      <c r="K174">
        <v>97</v>
      </c>
      <c r="L174">
        <v>94.65</v>
      </c>
      <c r="M174">
        <v>0.97577319587628875</v>
      </c>
      <c r="N174">
        <v>0.97577319587628875</v>
      </c>
      <c r="O174" t="s">
        <v>58</v>
      </c>
      <c r="P174" t="s">
        <v>58</v>
      </c>
      <c r="Q174" t="s">
        <v>433</v>
      </c>
      <c r="R174">
        <v>0</v>
      </c>
      <c r="S174">
        <v>1</v>
      </c>
      <c r="T174" t="s">
        <v>443</v>
      </c>
    </row>
    <row r="175" spans="1:20" x14ac:dyDescent="0.3">
      <c r="A175">
        <v>424</v>
      </c>
      <c r="B175" t="s">
        <v>325</v>
      </c>
      <c r="C175" t="s">
        <v>37</v>
      </c>
      <c r="D175" t="s">
        <v>83</v>
      </c>
      <c r="E175" t="s">
        <v>66</v>
      </c>
      <c r="F175" t="s">
        <v>32</v>
      </c>
      <c r="G175" s="2">
        <v>45838</v>
      </c>
      <c r="H175">
        <v>2025</v>
      </c>
      <c r="I175" t="s">
        <v>33</v>
      </c>
      <c r="J175" t="s">
        <v>404</v>
      </c>
      <c r="K175">
        <v>7</v>
      </c>
      <c r="L175">
        <v>9</v>
      </c>
      <c r="M175">
        <v>1.285714285714286</v>
      </c>
      <c r="N175">
        <v>1.285714285714286</v>
      </c>
      <c r="O175" t="s">
        <v>35</v>
      </c>
      <c r="P175" t="s">
        <v>35</v>
      </c>
      <c r="Q175" t="s">
        <v>468</v>
      </c>
      <c r="R175">
        <v>0</v>
      </c>
      <c r="S175">
        <v>0</v>
      </c>
      <c r="T175" t="s">
        <v>443</v>
      </c>
    </row>
    <row r="176" spans="1:20" x14ac:dyDescent="0.3">
      <c r="A176">
        <v>277</v>
      </c>
      <c r="B176" t="s">
        <v>210</v>
      </c>
      <c r="C176" t="s">
        <v>37</v>
      </c>
      <c r="D176" t="s">
        <v>202</v>
      </c>
      <c r="E176" t="s">
        <v>31</v>
      </c>
      <c r="F176" t="s">
        <v>171</v>
      </c>
      <c r="G176" s="2">
        <v>45838</v>
      </c>
      <c r="H176">
        <v>2025</v>
      </c>
      <c r="I176" t="s">
        <v>33</v>
      </c>
      <c r="J176" t="s">
        <v>404</v>
      </c>
      <c r="K176">
        <v>71</v>
      </c>
      <c r="L176">
        <v>69.39</v>
      </c>
      <c r="M176">
        <v>1.0232021905173661</v>
      </c>
      <c r="N176">
        <v>1.0232021905173661</v>
      </c>
      <c r="O176" t="s">
        <v>35</v>
      </c>
      <c r="P176" t="s">
        <v>245</v>
      </c>
      <c r="Q176" t="s">
        <v>434</v>
      </c>
      <c r="R176">
        <v>1</v>
      </c>
      <c r="S176">
        <v>1</v>
      </c>
      <c r="T176" t="s">
        <v>443</v>
      </c>
    </row>
    <row r="177" spans="1:20" x14ac:dyDescent="0.3">
      <c r="A177">
        <v>525</v>
      </c>
      <c r="B177" t="s">
        <v>435</v>
      </c>
      <c r="C177" t="s">
        <v>37</v>
      </c>
      <c r="D177" t="s">
        <v>310</v>
      </c>
      <c r="E177" t="s">
        <v>31</v>
      </c>
      <c r="F177" t="s">
        <v>32</v>
      </c>
      <c r="G177" s="2">
        <v>45838</v>
      </c>
      <c r="H177">
        <v>2025</v>
      </c>
      <c r="I177" t="s">
        <v>33</v>
      </c>
      <c r="J177" t="s">
        <v>404</v>
      </c>
      <c r="K177">
        <v>6845.8773119999996</v>
      </c>
      <c r="L177">
        <v>8790.9481190000006</v>
      </c>
      <c r="M177">
        <v>1.284122942663686</v>
      </c>
      <c r="N177">
        <v>1.284122942663686</v>
      </c>
      <c r="O177" t="s">
        <v>143</v>
      </c>
      <c r="P177" t="s">
        <v>143</v>
      </c>
      <c r="Q177" t="s">
        <v>436</v>
      </c>
      <c r="R177">
        <v>0</v>
      </c>
      <c r="S177">
        <v>0</v>
      </c>
      <c r="T177" t="s">
        <v>443</v>
      </c>
    </row>
    <row r="178" spans="1:20" x14ac:dyDescent="0.3">
      <c r="A178">
        <v>525.1</v>
      </c>
      <c r="B178" t="s">
        <v>437</v>
      </c>
      <c r="C178" t="s">
        <v>37</v>
      </c>
      <c r="D178" t="s">
        <v>310</v>
      </c>
      <c r="E178" t="s">
        <v>31</v>
      </c>
      <c r="F178" t="s">
        <v>32</v>
      </c>
      <c r="G178" s="2">
        <v>45838</v>
      </c>
      <c r="H178">
        <v>2025</v>
      </c>
      <c r="I178" t="s">
        <v>33</v>
      </c>
      <c r="J178" t="s">
        <v>404</v>
      </c>
      <c r="K178">
        <v>1392.56187</v>
      </c>
      <c r="L178">
        <v>1610.582185</v>
      </c>
      <c r="M178">
        <v>1.1565605950419999</v>
      </c>
      <c r="N178">
        <v>1.1565605950419999</v>
      </c>
      <c r="O178" t="s">
        <v>143</v>
      </c>
      <c r="P178" t="s">
        <v>143</v>
      </c>
      <c r="Q178" t="s">
        <v>438</v>
      </c>
      <c r="R178">
        <v>0</v>
      </c>
      <c r="S178">
        <v>0</v>
      </c>
      <c r="T178" t="s">
        <v>443</v>
      </c>
    </row>
    <row r="179" spans="1:20" x14ac:dyDescent="0.3">
      <c r="A179">
        <v>525.20000000000005</v>
      </c>
      <c r="B179" t="s">
        <v>439</v>
      </c>
      <c r="C179" t="s">
        <v>37</v>
      </c>
      <c r="D179" t="s">
        <v>310</v>
      </c>
      <c r="E179" t="s">
        <v>31</v>
      </c>
      <c r="F179" t="s">
        <v>32</v>
      </c>
      <c r="G179" s="2">
        <v>45838</v>
      </c>
      <c r="H179">
        <v>2025</v>
      </c>
      <c r="I179" t="s">
        <v>33</v>
      </c>
      <c r="J179" t="s">
        <v>404</v>
      </c>
      <c r="K179">
        <v>2655.6515559999998</v>
      </c>
      <c r="L179">
        <v>3358.9061839999999</v>
      </c>
      <c r="M179">
        <v>1.264814345244621</v>
      </c>
      <c r="N179">
        <v>1.264814345244621</v>
      </c>
      <c r="O179" t="s">
        <v>143</v>
      </c>
      <c r="P179" t="s">
        <v>143</v>
      </c>
      <c r="Q179" t="s">
        <v>440</v>
      </c>
      <c r="R179">
        <v>0</v>
      </c>
      <c r="S179">
        <v>0</v>
      </c>
      <c r="T179" t="s">
        <v>443</v>
      </c>
    </row>
    <row r="180" spans="1:20" x14ac:dyDescent="0.3">
      <c r="A180">
        <v>525.29999999999995</v>
      </c>
      <c r="B180" t="s">
        <v>441</v>
      </c>
      <c r="C180" t="s">
        <v>37</v>
      </c>
      <c r="D180" t="s">
        <v>310</v>
      </c>
      <c r="E180" t="s">
        <v>31</v>
      </c>
      <c r="F180" t="s">
        <v>32</v>
      </c>
      <c r="G180" s="2">
        <v>45838</v>
      </c>
      <c r="H180">
        <v>2025</v>
      </c>
      <c r="I180" t="s">
        <v>33</v>
      </c>
      <c r="J180" t="s">
        <v>404</v>
      </c>
      <c r="K180">
        <v>2797.6638859999998</v>
      </c>
      <c r="L180">
        <v>3821.45975</v>
      </c>
      <c r="M180">
        <v>1.365946699002426</v>
      </c>
      <c r="N180">
        <v>1.365946699002426</v>
      </c>
      <c r="O180" t="s">
        <v>143</v>
      </c>
      <c r="P180" t="s">
        <v>143</v>
      </c>
      <c r="Q180" t="s">
        <v>442</v>
      </c>
      <c r="R180">
        <v>0</v>
      </c>
      <c r="S180">
        <v>0</v>
      </c>
      <c r="T180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Unificado</vt:lpstr>
      <vt:lpstr>Base_Indicadores</vt:lpstr>
      <vt:lpstr>Semestral_Original</vt:lpstr>
      <vt:lpstr>Cierres_Original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2025-08-29T06:10:50Z</dcterms:created>
  <dcterms:modified xsi:type="dcterms:W3CDTF">2025-11-11T21:54:36Z</dcterms:modified>
</cp:coreProperties>
</file>